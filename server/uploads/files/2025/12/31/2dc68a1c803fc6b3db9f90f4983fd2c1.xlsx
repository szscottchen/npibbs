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726"/>
  <workbookPr/>
  <mc:AlternateContent xmlns:mc="http://schemas.openxmlformats.org/markup-compatibility/2006">
    <mc:Choice Requires="x15">
      <x15ac:absPath xmlns:x15ac="http://schemas.microsoft.com/office/spreadsheetml/2010/11/ac" url="C:\Users\fpmo\AppData\Local\Microsoft\Windows\INetCache\Content.Outlook\G9EJFLA2\"/>
    </mc:Choice>
  </mc:AlternateContent>
  <xr:revisionPtr revIDLastSave="0" documentId="13_ncr:1_{E3D271B7-2D01-4683-B5BE-04B15E61B6B6}" xr6:coauthVersionLast="47" xr6:coauthVersionMax="47" xr10:uidLastSave="{00000000-0000-0000-0000-000000000000}"/>
  <bookViews>
    <workbookView xWindow="-120" yWindow="-120" windowWidth="20730" windowHeight="11160" tabRatio="854" xr2:uid="{00000000-000D-0000-FFFF-FFFF00000000}"/>
  </bookViews>
  <sheets>
    <sheet name="TKP 终端汇总" sheetId="20" r:id="rId1"/>
    <sheet name="TKP 项目汇总" sheetId="2" r:id="rId2"/>
    <sheet name="按BU汇总" sheetId="17" state="hidden" r:id="rId3"/>
    <sheet name="HP1" sheetId="8" r:id="rId4"/>
    <sheet name="HP2" sheetId="10" state="hidden" r:id="rId5"/>
    <sheet name="HP3" sheetId="12" r:id="rId6"/>
    <sheet name="HP4" sheetId="5" r:id="rId7"/>
    <sheet name="SD1" sheetId="16" r:id="rId8"/>
    <sheet name="MDT" sheetId="15" r:id="rId9"/>
    <sheet name="HCT" sheetId="14" r:id="rId10"/>
    <sheet name="HZ1 " sheetId="4" r:id="rId11"/>
    <sheet name="HD1" sheetId="6" r:id="rId12"/>
    <sheet name="HD2" sheetId="7" r:id="rId13"/>
    <sheet name="TKTC" sheetId="11" r:id="rId14"/>
    <sheet name="TKYN" sheetId="13" r:id="rId15"/>
    <sheet name="PDS" sheetId="21" r:id="rId16"/>
    <sheet name="终端匹配" sheetId="22" state="hidden" r:id="rId17"/>
  </sheets>
  <definedNames>
    <definedName name="_xlnm._FilterDatabase" localSheetId="11" hidden="1">'HD1'!$A$3:$Y$29</definedName>
    <definedName name="_xlnm._FilterDatabase" localSheetId="12" hidden="1">'HD2'!$A$3:$Y$15</definedName>
    <definedName name="_xlnm._FilterDatabase" localSheetId="3" hidden="1">'HP1'!$A$3:$Y$58</definedName>
    <definedName name="_xlnm._FilterDatabase" localSheetId="4" hidden="1">'HP2'!$A$2:$Y$27</definedName>
    <definedName name="_xlnm._FilterDatabase" localSheetId="5" hidden="1">'HP3'!$A$3:$Y$57</definedName>
    <definedName name="_xlnm._FilterDatabase" localSheetId="6" hidden="1">'HP4'!$A$3:$Y$55</definedName>
    <definedName name="_xlnm._FilterDatabase" localSheetId="10" hidden="1">'HZ1 '!$A$3:$Y$93</definedName>
    <definedName name="_xlnm._FilterDatabase" localSheetId="7" hidden="1">'SD1'!$A$3:$Y$91</definedName>
    <definedName name="_xlnm._FilterDatabase" localSheetId="1" hidden="1">'TKP 项目汇总'!$A$3:$Y$394</definedName>
    <definedName name="_xlnm._FilterDatabase" localSheetId="0" hidden="1">'TKP 终端汇总'!$A$3:$G$72</definedName>
    <definedName name="_xlnm._FilterDatabase" localSheetId="13" hidden="1">TKTC!$A$3:$Y$50</definedName>
    <definedName name="_xlnm._FilterDatabase" localSheetId="2" hidden="1">按BU汇总!$A$1:$Y$289</definedName>
  </definedNames>
  <calcPr calcId="191029"/>
</workbook>
</file>

<file path=xl/calcChain.xml><?xml version="1.0" encoding="utf-8"?>
<calcChain xmlns="http://schemas.openxmlformats.org/spreadsheetml/2006/main">
  <c r="Y354" i="2" l="1"/>
  <c r="Y355" i="2"/>
  <c r="Y356" i="2"/>
  <c r="Y357" i="2"/>
  <c r="Y358" i="2"/>
  <c r="Y359" i="2"/>
  <c r="Y360" i="2"/>
  <c r="Y361" i="2"/>
  <c r="Y362" i="2"/>
  <c r="Y363" i="2"/>
  <c r="Y364" i="2"/>
  <c r="Y365" i="2"/>
  <c r="Y366" i="2"/>
  <c r="Y367" i="2"/>
  <c r="Y368" i="2"/>
  <c r="Y369" i="2"/>
  <c r="Y370" i="2"/>
  <c r="Y371" i="2"/>
  <c r="Y372" i="2"/>
  <c r="Y373" i="2"/>
  <c r="Y374" i="2"/>
  <c r="Y375" i="2"/>
  <c r="Y376" i="2"/>
  <c r="Y379" i="2"/>
  <c r="Y380" i="2"/>
  <c r="Y381" i="2"/>
  <c r="Y392" i="2"/>
  <c r="Y393" i="2"/>
  <c r="Y394" i="2"/>
  <c r="Y377" i="2"/>
  <c r="Y378" i="2"/>
  <c r="Y382" i="2"/>
  <c r="Y383" i="2"/>
  <c r="Y384" i="2"/>
  <c r="Y385" i="2"/>
  <c r="Y386" i="2"/>
  <c r="Y387" i="2"/>
  <c r="Y388" i="2"/>
  <c r="Y389" i="2"/>
  <c r="Y390" i="2"/>
  <c r="Y391" i="2"/>
  <c r="F66" i="20" l="1"/>
  <c r="D53" i="20"/>
  <c r="F68" i="20"/>
  <c r="C62" i="20"/>
  <c r="D61" i="20"/>
  <c r="E66" i="20"/>
  <c r="F52" i="20"/>
  <c r="B52" i="20"/>
  <c r="C53" i="20"/>
  <c r="D56" i="20"/>
  <c r="E68" i="20"/>
  <c r="E61" i="20"/>
  <c r="C52" i="20"/>
  <c r="E56" i="20"/>
  <c r="B68" i="20"/>
  <c r="F62" i="20"/>
  <c r="B62" i="20"/>
  <c r="C61" i="20"/>
  <c r="D66" i="20"/>
  <c r="E52" i="20"/>
  <c r="F53" i="20"/>
  <c r="B53" i="20"/>
  <c r="C56" i="20"/>
  <c r="D68" i="20"/>
  <c r="D62" i="20"/>
  <c r="B66" i="20"/>
  <c r="E62" i="20"/>
  <c r="F61" i="20"/>
  <c r="B61" i="20"/>
  <c r="C66" i="20"/>
  <c r="D52" i="20"/>
  <c r="E53" i="20"/>
  <c r="F56" i="20"/>
  <c r="B56" i="20"/>
  <c r="C68" i="20"/>
  <c r="Y19" i="13"/>
  <c r="X19" i="13"/>
  <c r="W19" i="13"/>
  <c r="V19" i="13"/>
  <c r="U19" i="13"/>
  <c r="T19" i="13"/>
  <c r="S19" i="13"/>
  <c r="R19" i="13"/>
  <c r="Q19" i="13"/>
  <c r="P19" i="13"/>
  <c r="O19" i="13"/>
  <c r="N19" i="13"/>
  <c r="M19" i="13"/>
  <c r="L19" i="13"/>
  <c r="K19" i="13"/>
  <c r="J19" i="13"/>
  <c r="I19" i="13"/>
  <c r="Z18" i="13"/>
  <c r="Y50" i="11"/>
  <c r="X50" i="11"/>
  <c r="W50" i="11"/>
  <c r="V50" i="11"/>
  <c r="U50" i="11"/>
  <c r="T50" i="11"/>
  <c r="S50" i="11"/>
  <c r="R50" i="11"/>
  <c r="Q50" i="11"/>
  <c r="P50" i="11"/>
  <c r="O50" i="11"/>
  <c r="N50" i="11"/>
  <c r="M50" i="11"/>
  <c r="L50" i="11"/>
  <c r="K50" i="11"/>
  <c r="J50" i="11"/>
  <c r="I50" i="11"/>
  <c r="Z48" i="11"/>
  <c r="Z49" i="11"/>
  <c r="Y50" i="7"/>
  <c r="X50" i="7"/>
  <c r="W50" i="7"/>
  <c r="V50" i="7"/>
  <c r="U50" i="7"/>
  <c r="T50" i="7"/>
  <c r="S50" i="7"/>
  <c r="R50" i="7"/>
  <c r="Q50" i="7"/>
  <c r="P50" i="7"/>
  <c r="O50" i="7"/>
  <c r="N50" i="7"/>
  <c r="M50" i="7"/>
  <c r="L50" i="7"/>
  <c r="K50" i="7"/>
  <c r="J50" i="7"/>
  <c r="I50" i="7"/>
  <c r="Z48" i="7"/>
  <c r="Z49" i="7"/>
  <c r="Z91" i="4"/>
  <c r="Y91" i="4"/>
  <c r="X91" i="4"/>
  <c r="W91" i="4"/>
  <c r="V91" i="4"/>
  <c r="U91" i="4"/>
  <c r="T91" i="4"/>
  <c r="S91" i="4"/>
  <c r="R91" i="4"/>
  <c r="Q91" i="4"/>
  <c r="P91" i="4"/>
  <c r="O91" i="4"/>
  <c r="N91" i="4"/>
  <c r="M91" i="4"/>
  <c r="L91" i="4"/>
  <c r="K91" i="4"/>
  <c r="J91" i="4"/>
  <c r="I91" i="4"/>
  <c r="Z89" i="4"/>
  <c r="Z90" i="4"/>
  <c r="Z91" i="16"/>
  <c r="Y91" i="16"/>
  <c r="X91" i="16"/>
  <c r="W91" i="16"/>
  <c r="V91" i="16"/>
  <c r="U91" i="16"/>
  <c r="T91" i="16"/>
  <c r="S91" i="16"/>
  <c r="R91" i="16"/>
  <c r="Q91" i="16"/>
  <c r="P91" i="16"/>
  <c r="O91" i="16"/>
  <c r="N91" i="16"/>
  <c r="M91" i="16"/>
  <c r="L91" i="16"/>
  <c r="K91" i="16"/>
  <c r="J91" i="16"/>
  <c r="I91" i="16"/>
  <c r="Z89" i="16"/>
  <c r="Z90" i="16"/>
  <c r="Z55" i="5"/>
  <c r="Y55" i="5"/>
  <c r="X55" i="5"/>
  <c r="W55" i="5"/>
  <c r="V55" i="5"/>
  <c r="U55" i="5"/>
  <c r="T55" i="5"/>
  <c r="S55" i="5"/>
  <c r="R55" i="5"/>
  <c r="Q55" i="5"/>
  <c r="P55" i="5"/>
  <c r="O55" i="5"/>
  <c r="N55" i="5"/>
  <c r="M55" i="5"/>
  <c r="L55" i="5"/>
  <c r="K55" i="5"/>
  <c r="J55" i="5"/>
  <c r="I55" i="5"/>
  <c r="Z52" i="5"/>
  <c r="Z53" i="5"/>
  <c r="Z54" i="5"/>
  <c r="Z55" i="12"/>
  <c r="Y55" i="12"/>
  <c r="X55" i="12"/>
  <c r="W55" i="12"/>
  <c r="V55" i="12"/>
  <c r="U55" i="12"/>
  <c r="T55" i="12"/>
  <c r="S55" i="12"/>
  <c r="R55" i="12"/>
  <c r="Q55" i="12"/>
  <c r="P55" i="12"/>
  <c r="O55" i="12"/>
  <c r="N55" i="12"/>
  <c r="M55" i="12"/>
  <c r="L55" i="12"/>
  <c r="K55" i="12"/>
  <c r="J55" i="12"/>
  <c r="I55" i="12"/>
  <c r="Z51" i="12"/>
  <c r="Z52" i="12"/>
  <c r="Z53" i="12"/>
  <c r="Z54" i="12"/>
  <c r="X393" i="2"/>
  <c r="Y58" i="8"/>
  <c r="X58" i="8"/>
  <c r="W58" i="8"/>
  <c r="V58" i="8"/>
  <c r="U58" i="8"/>
  <c r="T58" i="8"/>
  <c r="S58" i="8"/>
  <c r="R58" i="8"/>
  <c r="Q58" i="8"/>
  <c r="P58" i="8"/>
  <c r="O58" i="8"/>
  <c r="N58" i="8"/>
  <c r="M58" i="8"/>
  <c r="L58" i="8"/>
  <c r="K58" i="8"/>
  <c r="J58" i="8"/>
  <c r="I58" i="8"/>
  <c r="Z55" i="8"/>
  <c r="Z56" i="8"/>
  <c r="Z57" i="8"/>
  <c r="W393" i="2"/>
  <c r="V393" i="2"/>
  <c r="U393" i="2"/>
  <c r="T393" i="2"/>
  <c r="S393" i="2"/>
  <c r="R393" i="2"/>
  <c r="Q393" i="2"/>
  <c r="P393" i="2"/>
  <c r="O393" i="2"/>
  <c r="N393" i="2"/>
  <c r="M393" i="2"/>
  <c r="L393" i="2"/>
  <c r="K393" i="2"/>
  <c r="J393" i="2"/>
  <c r="I393" i="2"/>
  <c r="H393" i="2"/>
  <c r="G393" i="2"/>
  <c r="B74" i="20"/>
  <c r="C74" i="20"/>
  <c r="D74" i="20"/>
  <c r="E74" i="20"/>
  <c r="F74" i="20"/>
  <c r="B64" i="20"/>
  <c r="C64" i="20"/>
  <c r="D64" i="20"/>
  <c r="E64" i="20"/>
  <c r="F64" i="20"/>
  <c r="B41" i="20"/>
  <c r="C41" i="20"/>
  <c r="D41" i="20"/>
  <c r="E41" i="20"/>
  <c r="F41" i="20"/>
  <c r="B67" i="20"/>
  <c r="C67" i="20"/>
  <c r="D67" i="20"/>
  <c r="E67" i="20"/>
  <c r="F67" i="20"/>
  <c r="Y4" i="2" l="1"/>
  <c r="Y5" i="2"/>
  <c r="Y6" i="2"/>
  <c r="Y7" i="2"/>
  <c r="Y8" i="2"/>
  <c r="Y9" i="2"/>
  <c r="Y10" i="2"/>
  <c r="Y11" i="2"/>
  <c r="Y12" i="2"/>
  <c r="Y13" i="2"/>
  <c r="Y14" i="2"/>
  <c r="Y15" i="2"/>
  <c r="Y16" i="2"/>
  <c r="Y17" i="2"/>
  <c r="Y18" i="2"/>
  <c r="Y19" i="2"/>
  <c r="Y20" i="2"/>
  <c r="Y21" i="2"/>
  <c r="Y22" i="2"/>
  <c r="Y23" i="2"/>
  <c r="Y24" i="2"/>
  <c r="Y25" i="2"/>
  <c r="Y26" i="2"/>
  <c r="Y27" i="2"/>
  <c r="Y28" i="2"/>
  <c r="Y29" i="2"/>
  <c r="Y30" i="2"/>
  <c r="Y31" i="2"/>
  <c r="Y32" i="2"/>
  <c r="Y33" i="2"/>
  <c r="Y34" i="2"/>
  <c r="Y35" i="2"/>
  <c r="Y36" i="2"/>
  <c r="Y37" i="2"/>
  <c r="Y38" i="2"/>
  <c r="Y39" i="2"/>
  <c r="Y40" i="2"/>
  <c r="Y41" i="2"/>
  <c r="Y42" i="2"/>
  <c r="Y43" i="2"/>
  <c r="Y44" i="2"/>
  <c r="Y45" i="2"/>
  <c r="Y46" i="2"/>
  <c r="Y47" i="2"/>
  <c r="Y48" i="2"/>
  <c r="Y49" i="2"/>
  <c r="Y50" i="2"/>
  <c r="Y51" i="2"/>
  <c r="Y52" i="2"/>
  <c r="Y53" i="2"/>
  <c r="Y54" i="2"/>
  <c r="Y55" i="2"/>
  <c r="Y56" i="2"/>
  <c r="Y57" i="2"/>
  <c r="Y58" i="2"/>
  <c r="Y59" i="2"/>
  <c r="Y60" i="2"/>
  <c r="Y61" i="2"/>
  <c r="Y62" i="2"/>
  <c r="Y63" i="2"/>
  <c r="Y64" i="2"/>
  <c r="Y65" i="2"/>
  <c r="Y66" i="2"/>
  <c r="Y67" i="2"/>
  <c r="Y68" i="2"/>
  <c r="Y69" i="2"/>
  <c r="Y70" i="2"/>
  <c r="Y71" i="2"/>
  <c r="Y72" i="2"/>
  <c r="Y73" i="2"/>
  <c r="Y74" i="2"/>
  <c r="Y75" i="2"/>
  <c r="Y76" i="2"/>
  <c r="Y77" i="2"/>
  <c r="Y78" i="2"/>
  <c r="Y79" i="2"/>
  <c r="Y80" i="2"/>
  <c r="Y81" i="2"/>
  <c r="Y82" i="2"/>
  <c r="Y83" i="2"/>
  <c r="Y84" i="2"/>
  <c r="Y85" i="2"/>
  <c r="Y86" i="2"/>
  <c r="Y87" i="2"/>
  <c r="Y88" i="2"/>
  <c r="Y89" i="2"/>
  <c r="Y90" i="2"/>
  <c r="Y91" i="2"/>
  <c r="Y92" i="2"/>
  <c r="Y93" i="2"/>
  <c r="Y94" i="2"/>
  <c r="Y95" i="2"/>
  <c r="Y96" i="2"/>
  <c r="Y97" i="2"/>
  <c r="Y98" i="2"/>
  <c r="Y99" i="2"/>
  <c r="Y100" i="2"/>
  <c r="Y101" i="2"/>
  <c r="Y102" i="2"/>
  <c r="Y103" i="2"/>
  <c r="Y104" i="2"/>
  <c r="Y105" i="2"/>
  <c r="Y106" i="2"/>
  <c r="Y107" i="2"/>
  <c r="Y108" i="2"/>
  <c r="Y109" i="2"/>
  <c r="Y110" i="2"/>
  <c r="Y111" i="2"/>
  <c r="Y112" i="2"/>
  <c r="Y113" i="2"/>
  <c r="Y114" i="2"/>
  <c r="Y115" i="2"/>
  <c r="Y116" i="2"/>
  <c r="Y117" i="2"/>
  <c r="Y118" i="2"/>
  <c r="Y119" i="2"/>
  <c r="Y120" i="2"/>
  <c r="Y121" i="2"/>
  <c r="Y122" i="2"/>
  <c r="Y123" i="2"/>
  <c r="Y124" i="2"/>
  <c r="Y125" i="2"/>
  <c r="Y126" i="2"/>
  <c r="Y127" i="2"/>
  <c r="Y128" i="2"/>
  <c r="Y129" i="2"/>
  <c r="Y130" i="2"/>
  <c r="Y131" i="2"/>
  <c r="Y132" i="2"/>
  <c r="Y133" i="2"/>
  <c r="Y134" i="2"/>
  <c r="Y135" i="2"/>
  <c r="Y136" i="2"/>
  <c r="Y137" i="2"/>
  <c r="Y138" i="2"/>
  <c r="Y139" i="2"/>
  <c r="Y140" i="2"/>
  <c r="Y141" i="2"/>
  <c r="Y142" i="2"/>
  <c r="Y143" i="2"/>
  <c r="Y144" i="2"/>
  <c r="Y145" i="2"/>
  <c r="Y146" i="2"/>
  <c r="Y147" i="2"/>
  <c r="Y148" i="2"/>
  <c r="Y149" i="2"/>
  <c r="Y150" i="2"/>
  <c r="Y151" i="2"/>
  <c r="Y152" i="2"/>
  <c r="Y153" i="2"/>
  <c r="Y154" i="2"/>
  <c r="Y155" i="2"/>
  <c r="Y156" i="2"/>
  <c r="Y157" i="2"/>
  <c r="Y158" i="2"/>
  <c r="Y159" i="2"/>
  <c r="Y160" i="2"/>
  <c r="Y161" i="2"/>
  <c r="Y162" i="2"/>
  <c r="Y163" i="2"/>
  <c r="Y164" i="2"/>
  <c r="Y165" i="2"/>
  <c r="Y166" i="2"/>
  <c r="Y167" i="2"/>
  <c r="Y168" i="2"/>
  <c r="Y169" i="2"/>
  <c r="Y170" i="2"/>
  <c r="Y171" i="2"/>
  <c r="Y172" i="2"/>
  <c r="Y173" i="2"/>
  <c r="Y174" i="2"/>
  <c r="Y175" i="2"/>
  <c r="Y176" i="2"/>
  <c r="Y177" i="2"/>
  <c r="Y178" i="2"/>
  <c r="Y179" i="2"/>
  <c r="Y180" i="2"/>
  <c r="Y181" i="2"/>
  <c r="Y182" i="2"/>
  <c r="Y183" i="2"/>
  <c r="Y184" i="2"/>
  <c r="Y185" i="2"/>
  <c r="Y186" i="2"/>
  <c r="Y187" i="2"/>
  <c r="Y188" i="2"/>
  <c r="Y189" i="2"/>
  <c r="Y190" i="2"/>
  <c r="Y191" i="2"/>
  <c r="Y192" i="2"/>
  <c r="Y193" i="2"/>
  <c r="Y194" i="2"/>
  <c r="Y195" i="2"/>
  <c r="Y196" i="2"/>
  <c r="Y197" i="2"/>
  <c r="Y198" i="2"/>
  <c r="Y199" i="2"/>
  <c r="Y200" i="2"/>
  <c r="Y201" i="2"/>
  <c r="Y202" i="2"/>
  <c r="Y203" i="2"/>
  <c r="Y204" i="2"/>
  <c r="Y205" i="2"/>
  <c r="Y206" i="2"/>
  <c r="Y207" i="2"/>
  <c r="Y208" i="2"/>
  <c r="Y209" i="2"/>
  <c r="Y210" i="2"/>
  <c r="Y211" i="2"/>
  <c r="Y212" i="2"/>
  <c r="Y213" i="2"/>
  <c r="Y214" i="2"/>
  <c r="Y215" i="2"/>
  <c r="Y216" i="2"/>
  <c r="Y217" i="2"/>
  <c r="Y218" i="2"/>
  <c r="Y219" i="2"/>
  <c r="Y220" i="2"/>
  <c r="Y221" i="2"/>
  <c r="Y222" i="2"/>
  <c r="Y223" i="2"/>
  <c r="Y224" i="2"/>
  <c r="Y225" i="2"/>
  <c r="Y226" i="2"/>
  <c r="Y227" i="2"/>
  <c r="Y228" i="2"/>
  <c r="Y229" i="2"/>
  <c r="Y230" i="2"/>
  <c r="Y231" i="2"/>
  <c r="Y232" i="2"/>
  <c r="Y233" i="2"/>
  <c r="Y234" i="2"/>
  <c r="Y235" i="2"/>
  <c r="Y236" i="2"/>
  <c r="Y237" i="2"/>
  <c r="Y238" i="2"/>
  <c r="Y239" i="2"/>
  <c r="Y240" i="2"/>
  <c r="Y241" i="2"/>
  <c r="Y242" i="2"/>
  <c r="Y243" i="2"/>
  <c r="Y244" i="2"/>
  <c r="Y245" i="2"/>
  <c r="Y246" i="2"/>
  <c r="Y247" i="2"/>
  <c r="Y248" i="2"/>
  <c r="Y249" i="2"/>
  <c r="Y250" i="2"/>
  <c r="Y251" i="2"/>
  <c r="Y252" i="2"/>
  <c r="Y253" i="2"/>
  <c r="Y254" i="2"/>
  <c r="Y255" i="2"/>
  <c r="Y256" i="2"/>
  <c r="Y257" i="2"/>
  <c r="Y258" i="2"/>
  <c r="Y259" i="2"/>
  <c r="Y260" i="2"/>
  <c r="Y261" i="2"/>
  <c r="Y262" i="2"/>
  <c r="Y263" i="2"/>
  <c r="Y264" i="2"/>
  <c r="Y265" i="2"/>
  <c r="Y266" i="2"/>
  <c r="Y267" i="2"/>
  <c r="Y268" i="2"/>
  <c r="Y269" i="2"/>
  <c r="Y270" i="2"/>
  <c r="Y271" i="2"/>
  <c r="Y272" i="2"/>
  <c r="Y273" i="2"/>
  <c r="Y274" i="2"/>
  <c r="Y275" i="2"/>
  <c r="Y276" i="2"/>
  <c r="Y277" i="2"/>
  <c r="Y278" i="2"/>
  <c r="Y279" i="2"/>
  <c r="Y280" i="2"/>
  <c r="Y281" i="2"/>
  <c r="Y282" i="2"/>
  <c r="Y283" i="2"/>
  <c r="Y284" i="2"/>
  <c r="Y285" i="2"/>
  <c r="Y286" i="2"/>
  <c r="Y287" i="2"/>
  <c r="Y288" i="2"/>
  <c r="Y289" i="2"/>
  <c r="Y290" i="2"/>
  <c r="Y291" i="2"/>
  <c r="Y292" i="2"/>
  <c r="Y293" i="2"/>
  <c r="Y294" i="2"/>
  <c r="Y295" i="2"/>
  <c r="Y296" i="2"/>
  <c r="Y297" i="2"/>
  <c r="Y298" i="2"/>
  <c r="Y299" i="2"/>
  <c r="Y300" i="2"/>
  <c r="Y301" i="2"/>
  <c r="Y302" i="2"/>
  <c r="Y303" i="2"/>
  <c r="Y304" i="2"/>
  <c r="Y305" i="2"/>
  <c r="Y306" i="2"/>
  <c r="Y307" i="2"/>
  <c r="Y308" i="2"/>
  <c r="Y309" i="2"/>
  <c r="Y310" i="2"/>
  <c r="Y311" i="2"/>
  <c r="Y312" i="2"/>
  <c r="Y313" i="2"/>
  <c r="Y314" i="2"/>
  <c r="Y315" i="2"/>
  <c r="Y316" i="2"/>
  <c r="Y317" i="2"/>
  <c r="Y318" i="2"/>
  <c r="Y319" i="2"/>
  <c r="Y320" i="2"/>
  <c r="Y321" i="2"/>
  <c r="Y322" i="2"/>
  <c r="Y323" i="2"/>
  <c r="Y324" i="2"/>
  <c r="Y325" i="2"/>
  <c r="Y326" i="2"/>
  <c r="Y327" i="2"/>
  <c r="Y328" i="2"/>
  <c r="Y329" i="2"/>
  <c r="Y330" i="2"/>
  <c r="Y331" i="2"/>
  <c r="Y332" i="2"/>
  <c r="Y333" i="2"/>
  <c r="Y334" i="2"/>
  <c r="Y335" i="2"/>
  <c r="Y336" i="2"/>
  <c r="Y337" i="2"/>
  <c r="Y338" i="2"/>
  <c r="Y339" i="2"/>
  <c r="Y340" i="2"/>
  <c r="Y341" i="2"/>
  <c r="Y342" i="2"/>
  <c r="Y343" i="2"/>
  <c r="Y344" i="2"/>
  <c r="Y345" i="2"/>
  <c r="Y346" i="2"/>
  <c r="Y347" i="2"/>
  <c r="Y348" i="2"/>
  <c r="Y349" i="2"/>
  <c r="Y350" i="2"/>
  <c r="Y351" i="2"/>
  <c r="Y352" i="2"/>
  <c r="Y353" i="2"/>
  <c r="Z44" i="7"/>
  <c r="Z45" i="7"/>
  <c r="Z46" i="7"/>
  <c r="Z47" i="7"/>
  <c r="Y39" i="6"/>
  <c r="X39" i="6"/>
  <c r="W39" i="6"/>
  <c r="V39" i="6"/>
  <c r="U39" i="6"/>
  <c r="T39" i="6"/>
  <c r="S39" i="6"/>
  <c r="R39" i="6"/>
  <c r="Q39" i="6"/>
  <c r="P39" i="6"/>
  <c r="O39" i="6"/>
  <c r="N39" i="6"/>
  <c r="M39" i="6"/>
  <c r="L39" i="6"/>
  <c r="K39" i="6"/>
  <c r="J39" i="6"/>
  <c r="I39" i="6"/>
  <c r="Z38" i="6"/>
  <c r="Z85" i="4"/>
  <c r="Z86" i="4"/>
  <c r="Z87" i="4"/>
  <c r="Z88" i="4"/>
  <c r="Y34" i="14"/>
  <c r="X34" i="14"/>
  <c r="W34" i="14"/>
  <c r="V34" i="14"/>
  <c r="U34" i="14"/>
  <c r="T34" i="14"/>
  <c r="S34" i="14"/>
  <c r="R34" i="14"/>
  <c r="Q34" i="14"/>
  <c r="P34" i="14"/>
  <c r="O34" i="14"/>
  <c r="N34" i="14"/>
  <c r="M34" i="14"/>
  <c r="L34" i="14"/>
  <c r="K34" i="14"/>
  <c r="J34" i="14"/>
  <c r="I34" i="14"/>
  <c r="Z33" i="14"/>
  <c r="Z86" i="16"/>
  <c r="Z87" i="16"/>
  <c r="Z88" i="16"/>
  <c r="Z51" i="5"/>
  <c r="Z50" i="12"/>
  <c r="Z53" i="8"/>
  <c r="Z54" i="8"/>
  <c r="B70" i="20" l="1"/>
  <c r="C70" i="20"/>
  <c r="D70" i="20"/>
  <c r="E70" i="20"/>
  <c r="F70" i="20"/>
  <c r="B69" i="20"/>
  <c r="C69" i="20"/>
  <c r="D69" i="20"/>
  <c r="E69" i="20"/>
  <c r="F69" i="20"/>
  <c r="B28" i="20"/>
  <c r="C28" i="20"/>
  <c r="D28" i="20"/>
  <c r="E28" i="20"/>
  <c r="F28" i="20"/>
  <c r="B24" i="20"/>
  <c r="C24" i="20"/>
  <c r="D24" i="20"/>
  <c r="E24" i="20"/>
  <c r="F24" i="20"/>
  <c r="B45" i="20"/>
  <c r="C45" i="20"/>
  <c r="D45" i="20"/>
  <c r="E45" i="20"/>
  <c r="F45" i="20"/>
  <c r="B57" i="20"/>
  <c r="C57" i="20"/>
  <c r="D57" i="20"/>
  <c r="E57" i="20"/>
  <c r="F57" i="20"/>
  <c r="B59" i="20"/>
  <c r="C59" i="20"/>
  <c r="D59" i="20"/>
  <c r="E59" i="20"/>
  <c r="F59" i="20"/>
  <c r="B47" i="20"/>
  <c r="C47" i="20"/>
  <c r="D47" i="20"/>
  <c r="E47" i="20"/>
  <c r="F47" i="20"/>
  <c r="B77" i="20"/>
  <c r="C77" i="20"/>
  <c r="D77" i="20"/>
  <c r="E77" i="20"/>
  <c r="F77" i="20"/>
  <c r="B71" i="20"/>
  <c r="C71" i="20"/>
  <c r="D71" i="20"/>
  <c r="E71" i="20"/>
  <c r="F71" i="20"/>
  <c r="B15" i="20"/>
  <c r="C15" i="20"/>
  <c r="D15" i="20"/>
  <c r="E15" i="20"/>
  <c r="F15" i="20"/>
  <c r="B87" i="20"/>
  <c r="C87" i="20"/>
  <c r="D87" i="20"/>
  <c r="E87" i="20"/>
  <c r="F87" i="20"/>
  <c r="E108" i="20"/>
  <c r="C108" i="20"/>
  <c r="B108" i="20"/>
  <c r="D108" i="20" s="1"/>
  <c r="Z46" i="11"/>
  <c r="Z47" i="11"/>
  <c r="Z42" i="7"/>
  <c r="Z43" i="7"/>
  <c r="E106" i="20"/>
  <c r="C106" i="20"/>
  <c r="B106" i="20"/>
  <c r="Z37" i="6"/>
  <c r="E105" i="20"/>
  <c r="C105" i="20"/>
  <c r="B105" i="20"/>
  <c r="Z83" i="4"/>
  <c r="Z84" i="4"/>
  <c r="E104" i="20"/>
  <c r="C104" i="20"/>
  <c r="B104" i="20"/>
  <c r="Z32" i="14"/>
  <c r="Y10" i="15"/>
  <c r="E103" i="20" s="1"/>
  <c r="X10" i="15"/>
  <c r="W10" i="15"/>
  <c r="V10" i="15"/>
  <c r="U10" i="15"/>
  <c r="C103" i="20" s="1"/>
  <c r="D103" i="20" s="1"/>
  <c r="F103" i="20" s="1"/>
  <c r="T10" i="15"/>
  <c r="S10" i="15"/>
  <c r="R10" i="15"/>
  <c r="Q10" i="15"/>
  <c r="P10" i="15"/>
  <c r="O10" i="15"/>
  <c r="B103" i="20" s="1"/>
  <c r="N10" i="15"/>
  <c r="M10" i="15"/>
  <c r="L10" i="15"/>
  <c r="K10" i="15"/>
  <c r="J10" i="15"/>
  <c r="I10" i="15"/>
  <c r="Z8" i="15"/>
  <c r="Z9" i="15"/>
  <c r="E102" i="20"/>
  <c r="C102" i="20"/>
  <c r="B102" i="20"/>
  <c r="Z82" i="16"/>
  <c r="Z83" i="16"/>
  <c r="Z84" i="16"/>
  <c r="Z85" i="16"/>
  <c r="E101" i="20"/>
  <c r="C101" i="20"/>
  <c r="B101" i="20"/>
  <c r="Z49" i="5"/>
  <c r="Z50" i="5"/>
  <c r="E100" i="20"/>
  <c r="C100" i="20"/>
  <c r="B100" i="20"/>
  <c r="Z49" i="12"/>
  <c r="E99" i="20"/>
  <c r="C99" i="20"/>
  <c r="B99" i="20"/>
  <c r="Z52" i="8"/>
  <c r="F108" i="20" l="1"/>
  <c r="D100" i="20"/>
  <c r="F100" i="20" s="1"/>
  <c r="D104" i="20"/>
  <c r="F104" i="20" s="1"/>
  <c r="D106" i="20"/>
  <c r="F106" i="20" s="1"/>
  <c r="D105" i="20"/>
  <c r="F105" i="20" s="1"/>
  <c r="D102" i="20"/>
  <c r="F102" i="20" s="1"/>
  <c r="D101" i="20"/>
  <c r="F101" i="20" s="1"/>
  <c r="D99" i="20"/>
  <c r="Z5" i="15"/>
  <c r="Z6" i="15"/>
  <c r="Z7" i="15"/>
  <c r="Z17" i="4"/>
  <c r="Z18" i="4"/>
  <c r="Z19" i="4"/>
  <c r="Z20" i="4"/>
  <c r="Z21" i="4"/>
  <c r="Z22" i="4"/>
  <c r="Z23" i="4"/>
  <c r="Z24" i="4"/>
  <c r="Z25" i="4"/>
  <c r="Z26" i="4"/>
  <c r="Z27" i="4"/>
  <c r="Z28" i="4"/>
  <c r="Z29" i="4"/>
  <c r="Z30" i="4"/>
  <c r="Z31" i="4"/>
  <c r="Z32" i="4"/>
  <c r="Z33" i="4"/>
  <c r="Z34" i="4"/>
  <c r="Z35" i="4"/>
  <c r="Z36" i="4"/>
  <c r="Z37" i="4"/>
  <c r="Z38" i="4"/>
  <c r="Z39" i="4"/>
  <c r="Z40" i="4"/>
  <c r="Z41" i="4"/>
  <c r="Z42" i="4"/>
  <c r="Z43" i="4"/>
  <c r="Z44" i="4"/>
  <c r="Z45" i="4"/>
  <c r="Z46" i="4"/>
  <c r="Z47" i="4"/>
  <c r="Z48" i="4"/>
  <c r="Z49" i="4"/>
  <c r="Z50" i="4"/>
  <c r="Z51" i="4"/>
  <c r="Z52" i="4"/>
  <c r="Z53" i="4"/>
  <c r="Z54" i="4"/>
  <c r="Z55" i="4"/>
  <c r="Z56" i="4"/>
  <c r="Z57" i="4"/>
  <c r="Z58" i="4"/>
  <c r="Z59" i="4"/>
  <c r="Z60" i="4"/>
  <c r="Z61" i="4"/>
  <c r="Z62" i="4"/>
  <c r="Z63" i="4"/>
  <c r="Z64" i="4"/>
  <c r="Z65" i="4"/>
  <c r="Z66" i="4"/>
  <c r="Z67" i="4"/>
  <c r="Z68" i="4"/>
  <c r="Z69" i="4"/>
  <c r="Z70" i="4"/>
  <c r="Z71" i="4"/>
  <c r="Z72" i="4"/>
  <c r="Z73" i="4"/>
  <c r="Z74" i="4"/>
  <c r="Z75" i="4"/>
  <c r="Z76" i="4"/>
  <c r="Z77" i="4"/>
  <c r="Z78" i="4"/>
  <c r="Z79" i="4"/>
  <c r="Z80" i="4"/>
  <c r="Z81" i="4"/>
  <c r="Z82" i="4"/>
  <c r="Z5" i="16"/>
  <c r="Z6" i="16"/>
  <c r="Z7" i="16"/>
  <c r="Z8" i="16"/>
  <c r="Z9" i="16"/>
  <c r="Z10" i="16"/>
  <c r="Z11" i="16"/>
  <c r="Z12" i="16"/>
  <c r="Z13" i="16"/>
  <c r="Z14" i="16"/>
  <c r="Z15" i="16"/>
  <c r="Z16" i="16"/>
  <c r="Z17" i="16"/>
  <c r="Z18" i="16"/>
  <c r="Z19" i="16"/>
  <c r="Z20" i="16"/>
  <c r="Z21" i="16"/>
  <c r="Z22" i="16"/>
  <c r="Z23" i="16"/>
  <c r="Z24" i="16"/>
  <c r="Z25" i="16"/>
  <c r="Z26" i="16"/>
  <c r="Z27" i="16"/>
  <c r="Z28" i="16"/>
  <c r="Z29" i="16"/>
  <c r="Z30" i="16"/>
  <c r="Z31" i="16"/>
  <c r="Z32" i="16"/>
  <c r="Z33" i="16"/>
  <c r="Z34" i="16"/>
  <c r="Z35" i="16"/>
  <c r="Z36" i="16"/>
  <c r="Z37" i="16"/>
  <c r="Z38" i="16"/>
  <c r="Z39" i="16"/>
  <c r="Z40" i="16"/>
  <c r="Z41" i="16"/>
  <c r="Z42" i="16"/>
  <c r="Z43" i="16"/>
  <c r="Z44" i="16"/>
  <c r="Z45" i="16"/>
  <c r="Z46" i="16"/>
  <c r="Z47" i="16"/>
  <c r="Z48" i="16"/>
  <c r="Z49" i="16"/>
  <c r="Z50" i="16"/>
  <c r="Z51" i="16"/>
  <c r="Z52" i="16"/>
  <c r="Z53" i="16"/>
  <c r="Z54" i="16"/>
  <c r="Z55" i="16"/>
  <c r="Z56" i="16"/>
  <c r="Z57" i="16"/>
  <c r="Z58" i="16"/>
  <c r="Z59" i="16"/>
  <c r="Z60" i="16"/>
  <c r="Z61" i="16"/>
  <c r="Z62" i="16"/>
  <c r="Z63" i="16"/>
  <c r="Z64" i="16"/>
  <c r="Z65" i="16"/>
  <c r="Z66" i="16"/>
  <c r="Z67" i="16"/>
  <c r="Z68" i="16"/>
  <c r="Z69" i="16"/>
  <c r="Z70" i="16"/>
  <c r="Z71" i="16"/>
  <c r="Z72" i="16"/>
  <c r="Z73" i="16"/>
  <c r="Z74" i="16"/>
  <c r="Z75" i="16"/>
  <c r="Z76" i="16"/>
  <c r="Z77" i="16"/>
  <c r="Z78" i="16"/>
  <c r="Z79" i="16"/>
  <c r="Z80" i="16"/>
  <c r="Z81" i="16"/>
  <c r="Z4" i="16"/>
  <c r="Z5" i="5"/>
  <c r="Z6" i="5"/>
  <c r="Z7" i="5"/>
  <c r="Z8" i="5"/>
  <c r="Z9" i="5"/>
  <c r="Z10" i="5"/>
  <c r="Z11" i="5"/>
  <c r="Z12" i="5"/>
  <c r="Z13" i="5"/>
  <c r="Z14" i="5"/>
  <c r="Z15" i="5"/>
  <c r="Z16" i="5"/>
  <c r="Z17" i="5"/>
  <c r="Z18" i="5"/>
  <c r="Z19" i="5"/>
  <c r="Z20" i="5"/>
  <c r="Z21" i="5"/>
  <c r="Z22" i="5"/>
  <c r="Z23" i="5"/>
  <c r="Z24" i="5"/>
  <c r="Z25" i="5"/>
  <c r="Z26" i="5"/>
  <c r="Z27" i="5"/>
  <c r="Z28" i="5"/>
  <c r="Z29" i="5"/>
  <c r="Z30" i="5"/>
  <c r="Z31" i="5"/>
  <c r="Z32" i="5"/>
  <c r="Z33" i="5"/>
  <c r="Z34" i="5"/>
  <c r="Z35" i="5"/>
  <c r="Z36" i="5"/>
  <c r="Z37" i="5"/>
  <c r="Z38" i="5"/>
  <c r="Z39" i="5"/>
  <c r="Z40" i="5"/>
  <c r="Z41" i="5"/>
  <c r="Z42" i="5"/>
  <c r="Z43" i="5"/>
  <c r="Z44" i="5"/>
  <c r="Z45" i="5"/>
  <c r="Z46" i="5"/>
  <c r="Z47" i="5"/>
  <c r="Z48" i="5"/>
  <c r="Z5" i="14"/>
  <c r="Z6" i="14"/>
  <c r="Z7" i="14"/>
  <c r="Z8" i="14"/>
  <c r="Z9" i="14"/>
  <c r="Z10" i="14"/>
  <c r="Z11" i="14"/>
  <c r="Z12" i="14"/>
  <c r="Z13" i="14"/>
  <c r="Z14" i="14"/>
  <c r="Z15" i="14"/>
  <c r="Z16" i="14"/>
  <c r="Z17" i="14"/>
  <c r="Z18" i="14"/>
  <c r="Z19" i="14"/>
  <c r="Z20" i="14"/>
  <c r="Z21" i="14"/>
  <c r="Z22" i="14"/>
  <c r="Z23" i="14"/>
  <c r="Z24" i="14"/>
  <c r="Z25" i="14"/>
  <c r="Z26" i="14"/>
  <c r="Z27" i="14"/>
  <c r="Z28" i="14"/>
  <c r="Z29" i="14"/>
  <c r="Z30" i="14"/>
  <c r="Z31" i="14"/>
  <c r="Z5" i="4"/>
  <c r="Z6" i="4"/>
  <c r="Z7" i="4"/>
  <c r="Z8" i="4"/>
  <c r="Z9" i="4"/>
  <c r="Z10" i="4"/>
  <c r="Z11" i="4"/>
  <c r="Z12" i="4"/>
  <c r="Z13" i="4"/>
  <c r="Z14" i="4"/>
  <c r="Z15" i="4"/>
  <c r="Z16" i="4"/>
  <c r="Z5" i="6"/>
  <c r="Z6" i="6"/>
  <c r="Z7" i="6"/>
  <c r="Z8" i="6"/>
  <c r="Z9" i="6"/>
  <c r="Z10" i="6"/>
  <c r="Z11" i="6"/>
  <c r="Z12" i="6"/>
  <c r="Z13" i="6"/>
  <c r="Z14" i="6"/>
  <c r="Z15" i="6"/>
  <c r="Z16" i="6"/>
  <c r="Z17" i="6"/>
  <c r="Z18" i="6"/>
  <c r="Z19" i="6"/>
  <c r="Z20" i="6"/>
  <c r="Z21" i="6"/>
  <c r="Z22" i="6"/>
  <c r="Z23" i="6"/>
  <c r="Z24" i="6"/>
  <c r="Z25" i="6"/>
  <c r="Z26" i="6"/>
  <c r="Z27" i="6"/>
  <c r="Z28" i="6"/>
  <c r="Z29" i="6"/>
  <c r="Z30" i="6"/>
  <c r="Z31" i="6"/>
  <c r="Z32" i="6"/>
  <c r="Z33" i="6"/>
  <c r="Z34" i="6"/>
  <c r="Z35" i="6"/>
  <c r="Z36" i="6"/>
  <c r="Z5" i="7"/>
  <c r="Z6" i="7"/>
  <c r="Z7" i="7"/>
  <c r="Z8" i="7"/>
  <c r="Z9" i="7"/>
  <c r="Z10" i="7"/>
  <c r="Z11" i="7"/>
  <c r="Z12" i="7"/>
  <c r="Z13" i="7"/>
  <c r="Z14" i="7"/>
  <c r="Z15" i="7"/>
  <c r="Z16" i="7"/>
  <c r="Z17" i="7"/>
  <c r="Z18" i="7"/>
  <c r="Z19" i="7"/>
  <c r="Z20" i="7"/>
  <c r="Z21" i="7"/>
  <c r="Z22" i="7"/>
  <c r="Z23" i="7"/>
  <c r="Z24" i="7"/>
  <c r="Z25" i="7"/>
  <c r="Z26" i="7"/>
  <c r="Z27" i="7"/>
  <c r="Z28" i="7"/>
  <c r="Z29" i="7"/>
  <c r="Z30" i="7"/>
  <c r="Z31" i="7"/>
  <c r="Z32" i="7"/>
  <c r="Z33" i="7"/>
  <c r="Z34" i="7"/>
  <c r="Z35" i="7"/>
  <c r="Z36" i="7"/>
  <c r="Z37" i="7"/>
  <c r="Z38" i="7"/>
  <c r="Z39" i="7"/>
  <c r="Z40" i="7"/>
  <c r="Z41" i="7"/>
  <c r="Z5" i="11"/>
  <c r="Z6" i="11"/>
  <c r="Z7" i="11"/>
  <c r="Z8" i="11"/>
  <c r="Z9" i="11"/>
  <c r="Z10" i="11"/>
  <c r="Z11" i="11"/>
  <c r="Z12" i="11"/>
  <c r="Z13" i="11"/>
  <c r="Z14" i="11"/>
  <c r="Z15" i="11"/>
  <c r="Z16" i="11"/>
  <c r="Z17" i="11"/>
  <c r="Z18" i="11"/>
  <c r="Z19" i="11"/>
  <c r="Z20" i="11"/>
  <c r="Z21" i="11"/>
  <c r="Z22" i="11"/>
  <c r="Z23" i="11"/>
  <c r="Z24" i="11"/>
  <c r="Z25" i="11"/>
  <c r="Z26" i="11"/>
  <c r="Z27" i="11"/>
  <c r="Z28" i="11"/>
  <c r="Z29" i="11"/>
  <c r="Z30" i="11"/>
  <c r="Z31" i="11"/>
  <c r="Z32" i="11"/>
  <c r="Z33" i="11"/>
  <c r="Z34" i="11"/>
  <c r="Z35" i="11"/>
  <c r="Z36" i="11"/>
  <c r="Z37" i="11"/>
  <c r="Z38" i="11"/>
  <c r="Z39" i="11"/>
  <c r="Z40" i="11"/>
  <c r="Z41" i="11"/>
  <c r="Z42" i="11"/>
  <c r="Z43" i="11"/>
  <c r="Z44" i="11"/>
  <c r="Z45" i="11"/>
  <c r="Z5" i="13"/>
  <c r="Z6" i="13"/>
  <c r="Z7" i="13"/>
  <c r="Z8" i="13"/>
  <c r="Z9" i="13"/>
  <c r="Z10" i="13"/>
  <c r="Z11" i="13"/>
  <c r="Z12" i="13"/>
  <c r="Z13" i="13"/>
  <c r="Z14" i="13"/>
  <c r="Z15" i="13"/>
  <c r="Z16" i="13"/>
  <c r="Z17" i="13"/>
  <c r="Z5" i="21"/>
  <c r="Z5" i="12"/>
  <c r="Z6" i="12"/>
  <c r="Z7" i="12"/>
  <c r="Z8" i="12"/>
  <c r="Z9" i="12"/>
  <c r="Z10" i="12"/>
  <c r="Z11" i="12"/>
  <c r="Z12" i="12"/>
  <c r="Z13" i="12"/>
  <c r="Z14" i="12"/>
  <c r="Z15" i="12"/>
  <c r="Z16" i="12"/>
  <c r="Z17" i="12"/>
  <c r="Z18" i="12"/>
  <c r="Z19" i="12"/>
  <c r="Z20" i="12"/>
  <c r="Z21" i="12"/>
  <c r="Z22" i="12"/>
  <c r="Z23" i="12"/>
  <c r="Z24" i="12"/>
  <c r="Z25" i="12"/>
  <c r="Z26" i="12"/>
  <c r="Z27" i="12"/>
  <c r="Z28" i="12"/>
  <c r="Z29" i="12"/>
  <c r="Z30" i="12"/>
  <c r="Z31" i="12"/>
  <c r="Z32" i="12"/>
  <c r="Z33" i="12"/>
  <c r="Z34" i="12"/>
  <c r="Z35" i="12"/>
  <c r="Z36" i="12"/>
  <c r="Z37" i="12"/>
  <c r="Z38" i="12"/>
  <c r="Z39" i="12"/>
  <c r="Z40" i="12"/>
  <c r="Z41" i="12"/>
  <c r="Z42" i="12"/>
  <c r="Z43" i="12"/>
  <c r="Z44" i="12"/>
  <c r="Z45" i="12"/>
  <c r="Z46" i="12"/>
  <c r="Z47" i="12"/>
  <c r="Z48" i="12"/>
  <c r="Z4" i="5"/>
  <c r="Z4" i="15"/>
  <c r="Z4" i="14"/>
  <c r="Z4" i="4"/>
  <c r="Z4" i="6"/>
  <c r="Z4" i="7"/>
  <c r="Z4" i="11"/>
  <c r="Z4" i="13"/>
  <c r="Z4" i="21"/>
  <c r="Z4" i="12"/>
  <c r="Z5" i="8"/>
  <c r="Z6" i="8"/>
  <c r="Z7" i="8"/>
  <c r="Z8" i="8"/>
  <c r="Z9" i="8"/>
  <c r="Z10" i="8"/>
  <c r="Z11" i="8"/>
  <c r="Z12" i="8"/>
  <c r="Z13" i="8"/>
  <c r="Z14" i="8"/>
  <c r="Z15" i="8"/>
  <c r="Z16" i="8"/>
  <c r="Z17" i="8"/>
  <c r="Z18" i="8"/>
  <c r="Z19" i="8"/>
  <c r="Z20" i="8"/>
  <c r="Z21" i="8"/>
  <c r="Z22" i="8"/>
  <c r="Z23" i="8"/>
  <c r="Z24" i="8"/>
  <c r="Z25" i="8"/>
  <c r="Z26" i="8"/>
  <c r="Z27" i="8"/>
  <c r="Z28" i="8"/>
  <c r="Z29" i="8"/>
  <c r="Z30" i="8"/>
  <c r="Z31" i="8"/>
  <c r="Z32" i="8"/>
  <c r="Z33" i="8"/>
  <c r="Z34" i="8"/>
  <c r="Z35" i="8"/>
  <c r="Z36" i="8"/>
  <c r="Z37" i="8"/>
  <c r="Z38" i="8"/>
  <c r="Z39" i="8"/>
  <c r="Z40" i="8"/>
  <c r="Z41" i="8"/>
  <c r="Z42" i="8"/>
  <c r="Z43" i="8"/>
  <c r="Z44" i="8"/>
  <c r="Z45" i="8"/>
  <c r="Z46" i="8"/>
  <c r="Z47" i="8"/>
  <c r="Z48" i="8"/>
  <c r="Z49" i="8"/>
  <c r="Z50" i="8"/>
  <c r="Z51" i="8"/>
  <c r="Z4" i="8"/>
  <c r="F99" i="20" l="1"/>
  <c r="E36" i="20"/>
  <c r="E46" i="20"/>
  <c r="C46" i="20" l="1"/>
  <c r="B46" i="20"/>
  <c r="C36" i="20"/>
  <c r="B36" i="20"/>
  <c r="F46" i="20" l="1"/>
  <c r="D46" i="20"/>
  <c r="F36" i="20"/>
  <c r="D36" i="20"/>
  <c r="B90" i="20" l="1"/>
  <c r="C90" i="20"/>
  <c r="D90" i="20"/>
  <c r="E90" i="20"/>
  <c r="B16" i="20"/>
  <c r="C16" i="20"/>
  <c r="D16" i="20"/>
  <c r="E16" i="20"/>
  <c r="B92" i="20"/>
  <c r="C92" i="20"/>
  <c r="D92" i="20"/>
  <c r="E92" i="20"/>
  <c r="B86" i="20"/>
  <c r="C86" i="20"/>
  <c r="D86" i="20"/>
  <c r="E86" i="20"/>
  <c r="B4" i="20"/>
  <c r="C4" i="20"/>
  <c r="D4" i="20"/>
  <c r="E4" i="20"/>
  <c r="B91" i="20"/>
  <c r="C91" i="20"/>
  <c r="D91" i="20"/>
  <c r="E91" i="20"/>
  <c r="B9" i="20"/>
  <c r="C9" i="20"/>
  <c r="D9" i="20"/>
  <c r="E9" i="20"/>
  <c r="B6" i="20"/>
  <c r="C6" i="20"/>
  <c r="D6" i="20"/>
  <c r="E6" i="20"/>
  <c r="B5" i="20"/>
  <c r="C5" i="20"/>
  <c r="D5" i="20"/>
  <c r="E5" i="20"/>
  <c r="B81" i="20"/>
  <c r="C81" i="20"/>
  <c r="D81" i="20"/>
  <c r="E81" i="20"/>
  <c r="B88" i="20"/>
  <c r="C88" i="20"/>
  <c r="D88" i="20"/>
  <c r="E88" i="20"/>
  <c r="B84" i="20"/>
  <c r="C84" i="20"/>
  <c r="D84" i="20"/>
  <c r="E84" i="20"/>
  <c r="B78" i="20"/>
  <c r="C78" i="20"/>
  <c r="D78" i="20"/>
  <c r="E78" i="20"/>
  <c r="B8" i="20"/>
  <c r="C8" i="20"/>
  <c r="D8" i="20"/>
  <c r="E8" i="20"/>
  <c r="B76" i="20"/>
  <c r="C76" i="20"/>
  <c r="D76" i="20"/>
  <c r="E76" i="20"/>
  <c r="B12" i="20"/>
  <c r="C12" i="20"/>
  <c r="D12" i="20"/>
  <c r="E12" i="20"/>
  <c r="B75" i="20"/>
  <c r="C75" i="20"/>
  <c r="D75" i="20"/>
  <c r="E75" i="20"/>
  <c r="B79" i="20"/>
  <c r="C79" i="20"/>
  <c r="D79" i="20"/>
  <c r="E79" i="20"/>
  <c r="B7" i="20"/>
  <c r="C7" i="20"/>
  <c r="D7" i="20"/>
  <c r="E7" i="20"/>
  <c r="B30" i="20"/>
  <c r="C30" i="20"/>
  <c r="D30" i="20"/>
  <c r="E30" i="20"/>
  <c r="B31" i="20"/>
  <c r="C31" i="20"/>
  <c r="D31" i="20"/>
  <c r="E31" i="20"/>
  <c r="B10" i="20"/>
  <c r="C10" i="20"/>
  <c r="D10" i="20"/>
  <c r="E10" i="20"/>
  <c r="B82" i="20"/>
  <c r="C82" i="20"/>
  <c r="D82" i="20"/>
  <c r="E82" i="20"/>
  <c r="B60" i="20"/>
  <c r="C60" i="20"/>
  <c r="D60" i="20"/>
  <c r="E60" i="20"/>
  <c r="B13" i="20"/>
  <c r="C13" i="20"/>
  <c r="D13" i="20"/>
  <c r="E13" i="20"/>
  <c r="B14" i="20"/>
  <c r="C14" i="20"/>
  <c r="D14" i="20"/>
  <c r="E14" i="20"/>
  <c r="B33" i="20"/>
  <c r="C33" i="20"/>
  <c r="D33" i="20"/>
  <c r="E33" i="20"/>
  <c r="B37" i="20"/>
  <c r="C37" i="20"/>
  <c r="D37" i="20"/>
  <c r="E37" i="20"/>
  <c r="B23" i="20"/>
  <c r="C23" i="20"/>
  <c r="D23" i="20"/>
  <c r="E23" i="20"/>
  <c r="B58" i="20"/>
  <c r="C58" i="20"/>
  <c r="D58" i="20"/>
  <c r="E58" i="20"/>
  <c r="B73" i="20"/>
  <c r="C73" i="20"/>
  <c r="D73" i="20"/>
  <c r="E73" i="20"/>
  <c r="B27" i="20"/>
  <c r="C27" i="20"/>
  <c r="D27" i="20"/>
  <c r="E27" i="20"/>
  <c r="B38" i="20"/>
  <c r="C38" i="20"/>
  <c r="D38" i="20"/>
  <c r="E38" i="20"/>
  <c r="B22" i="20"/>
  <c r="C22" i="20"/>
  <c r="D22" i="20"/>
  <c r="E22" i="20"/>
  <c r="B17" i="20"/>
  <c r="C17" i="20"/>
  <c r="D17" i="20"/>
  <c r="E17" i="20"/>
  <c r="B20" i="20"/>
  <c r="C20" i="20"/>
  <c r="D20" i="20"/>
  <c r="E20" i="20"/>
  <c r="B11" i="20"/>
  <c r="C11" i="20"/>
  <c r="D11" i="20"/>
  <c r="E11" i="20"/>
  <c r="B25" i="20"/>
  <c r="C25" i="20"/>
  <c r="D25" i="20"/>
  <c r="E25" i="20"/>
  <c r="B29" i="20"/>
  <c r="C29" i="20"/>
  <c r="D29" i="20"/>
  <c r="E29" i="20"/>
  <c r="B39" i="20"/>
  <c r="C39" i="20"/>
  <c r="D39" i="20"/>
  <c r="E39" i="20"/>
  <c r="B34" i="20"/>
  <c r="C34" i="20"/>
  <c r="D34" i="20"/>
  <c r="E34" i="20"/>
  <c r="B83" i="20"/>
  <c r="C83" i="20"/>
  <c r="D83" i="20"/>
  <c r="E83" i="20"/>
  <c r="B26" i="20"/>
  <c r="C26" i="20"/>
  <c r="D26" i="20"/>
  <c r="E26" i="20"/>
  <c r="B35" i="20"/>
  <c r="C35" i="20"/>
  <c r="D35" i="20"/>
  <c r="E35" i="20"/>
  <c r="B80" i="20"/>
  <c r="C80" i="20"/>
  <c r="D80" i="20"/>
  <c r="E80" i="20"/>
  <c r="B43" i="20"/>
  <c r="C43" i="20"/>
  <c r="D43" i="20"/>
  <c r="E43" i="20"/>
  <c r="B65" i="20"/>
  <c r="C65" i="20"/>
  <c r="D65" i="20"/>
  <c r="E65" i="20"/>
  <c r="B48" i="20"/>
  <c r="C48" i="20"/>
  <c r="D48" i="20"/>
  <c r="E48" i="20"/>
  <c r="B19" i="20"/>
  <c r="C19" i="20"/>
  <c r="D19" i="20"/>
  <c r="E19" i="20"/>
  <c r="B42" i="20"/>
  <c r="C42" i="20"/>
  <c r="D42" i="20"/>
  <c r="E42" i="20"/>
  <c r="B55" i="20"/>
  <c r="C55" i="20"/>
  <c r="D55" i="20"/>
  <c r="E55" i="20"/>
  <c r="B44" i="20"/>
  <c r="C44" i="20"/>
  <c r="D44" i="20"/>
  <c r="E44" i="20"/>
  <c r="B50" i="20"/>
  <c r="C50" i="20"/>
  <c r="D50" i="20"/>
  <c r="E50" i="20"/>
  <c r="B72" i="20"/>
  <c r="C72" i="20"/>
  <c r="D72" i="20"/>
  <c r="E72" i="20"/>
  <c r="B40" i="20"/>
  <c r="C40" i="20"/>
  <c r="D40" i="20"/>
  <c r="E40" i="20"/>
  <c r="B21" i="20"/>
  <c r="C21" i="20"/>
  <c r="D21" i="20"/>
  <c r="E21" i="20"/>
  <c r="B54" i="20"/>
  <c r="C54" i="20"/>
  <c r="D54" i="20"/>
  <c r="E54" i="20"/>
  <c r="B51" i="20"/>
  <c r="C51" i="20"/>
  <c r="D51" i="20"/>
  <c r="E51" i="20"/>
  <c r="B85" i="20"/>
  <c r="C85" i="20"/>
  <c r="D85" i="20"/>
  <c r="E85" i="20"/>
  <c r="B63" i="20"/>
  <c r="C63" i="20"/>
  <c r="D63" i="20"/>
  <c r="E63" i="20"/>
  <c r="B32" i="20"/>
  <c r="C32" i="20"/>
  <c r="D32" i="20"/>
  <c r="E32" i="20"/>
  <c r="B49" i="20"/>
  <c r="C49" i="20"/>
  <c r="D49" i="20"/>
  <c r="E49" i="20"/>
  <c r="B18" i="20"/>
  <c r="C18" i="20"/>
  <c r="D18" i="20"/>
  <c r="E18" i="20"/>
  <c r="Y6" i="21" l="1"/>
  <c r="E110" i="20" s="1"/>
  <c r="X6" i="21"/>
  <c r="W6" i="21"/>
  <c r="V6" i="21"/>
  <c r="Z6" i="21" s="1"/>
  <c r="T6" i="21"/>
  <c r="S6" i="21"/>
  <c r="R6" i="21"/>
  <c r="Q6" i="21"/>
  <c r="P6" i="21"/>
  <c r="O6" i="21"/>
  <c r="B110" i="20" s="1"/>
  <c r="N6" i="21"/>
  <c r="M6" i="21"/>
  <c r="L6" i="21"/>
  <c r="K6" i="21"/>
  <c r="J6" i="21"/>
  <c r="I6" i="21"/>
  <c r="E109" i="20"/>
  <c r="C109" i="20"/>
  <c r="B109" i="20"/>
  <c r="E89" i="20"/>
  <c r="E93" i="20" s="1"/>
  <c r="E94" i="20" s="1"/>
  <c r="D109" i="20" l="1"/>
  <c r="F109" i="20" s="1"/>
  <c r="Z19" i="13"/>
  <c r="Z50" i="11"/>
  <c r="F54" i="20"/>
  <c r="F51" i="20"/>
  <c r="F63" i="20"/>
  <c r="F44" i="20"/>
  <c r="F58" i="20"/>
  <c r="U6" i="21"/>
  <c r="C110" i="20" s="1"/>
  <c r="D110" i="20" s="1"/>
  <c r="F110" i="20" s="1"/>
  <c r="F49" i="20" l="1"/>
  <c r="F32" i="20"/>
  <c r="F85" i="20"/>
  <c r="I25" i="10" l="1"/>
  <c r="X289" i="17" l="1"/>
  <c r="W289" i="17"/>
  <c r="T289" i="17"/>
  <c r="S289" i="17"/>
  <c r="R289" i="17"/>
  <c r="Q289" i="17"/>
  <c r="P289" i="17"/>
  <c r="N289" i="17"/>
  <c r="M289" i="17"/>
  <c r="L289" i="17"/>
  <c r="K289" i="17"/>
  <c r="J289" i="17"/>
  <c r="I289" i="17"/>
  <c r="U287" i="17"/>
  <c r="O287" i="17"/>
  <c r="U286" i="17"/>
  <c r="O286" i="17"/>
  <c r="U285" i="17"/>
  <c r="O285" i="17"/>
  <c r="U284" i="17"/>
  <c r="O284" i="17"/>
  <c r="U283" i="17"/>
  <c r="O283" i="17"/>
  <c r="U282" i="17"/>
  <c r="V282" i="17" s="1"/>
  <c r="O282" i="17"/>
  <c r="U281" i="17"/>
  <c r="O281" i="17"/>
  <c r="U280" i="17"/>
  <c r="O280" i="17"/>
  <c r="U279" i="17"/>
  <c r="O279" i="17"/>
  <c r="U278" i="17"/>
  <c r="O278" i="17"/>
  <c r="U277" i="17"/>
  <c r="O277" i="17"/>
  <c r="U276" i="17"/>
  <c r="O276" i="17"/>
  <c r="U275" i="17"/>
  <c r="O275" i="17"/>
  <c r="U274" i="17"/>
  <c r="O274" i="17"/>
  <c r="U273" i="17"/>
  <c r="O273" i="17"/>
  <c r="U272" i="17"/>
  <c r="O272" i="17"/>
  <c r="U271" i="17"/>
  <c r="O271" i="17"/>
  <c r="U270" i="17"/>
  <c r="O270" i="17"/>
  <c r="U269" i="17"/>
  <c r="O269" i="17"/>
  <c r="U268" i="17"/>
  <c r="O268" i="17"/>
  <c r="U267" i="17"/>
  <c r="O267" i="17"/>
  <c r="U266" i="17"/>
  <c r="O266" i="17"/>
  <c r="U265" i="17"/>
  <c r="O265" i="17"/>
  <c r="U264" i="17"/>
  <c r="O264" i="17"/>
  <c r="U263" i="17"/>
  <c r="O263" i="17"/>
  <c r="U262" i="17"/>
  <c r="O262" i="17"/>
  <c r="U261" i="17"/>
  <c r="O261" i="17"/>
  <c r="U260" i="17"/>
  <c r="O260" i="17"/>
  <c r="U259" i="17"/>
  <c r="O259" i="17"/>
  <c r="U258" i="17"/>
  <c r="O258" i="17"/>
  <c r="U257" i="17"/>
  <c r="O257" i="17"/>
  <c r="U256" i="17"/>
  <c r="O256" i="17"/>
  <c r="U255" i="17"/>
  <c r="O255" i="17"/>
  <c r="U254" i="17"/>
  <c r="O254" i="17"/>
  <c r="U253" i="17"/>
  <c r="O253" i="17"/>
  <c r="U252" i="17"/>
  <c r="O252" i="17"/>
  <c r="U251" i="17"/>
  <c r="O251" i="17"/>
  <c r="U250" i="17"/>
  <c r="O250" i="17"/>
  <c r="U249" i="17"/>
  <c r="O249" i="17"/>
  <c r="U248" i="17"/>
  <c r="O248" i="17"/>
  <c r="U247" i="17"/>
  <c r="O247" i="17"/>
  <c r="U246" i="17"/>
  <c r="O246" i="17"/>
  <c r="U245" i="17"/>
  <c r="O245" i="17"/>
  <c r="U244" i="17"/>
  <c r="O244" i="17"/>
  <c r="U243" i="17"/>
  <c r="O243" i="17"/>
  <c r="U242" i="17"/>
  <c r="O242" i="17"/>
  <c r="U241" i="17"/>
  <c r="O241" i="17"/>
  <c r="U240" i="17"/>
  <c r="O240" i="17"/>
  <c r="U239" i="17"/>
  <c r="V239" i="17" s="1"/>
  <c r="O239" i="17"/>
  <c r="U238" i="17"/>
  <c r="O238" i="17"/>
  <c r="U237" i="17"/>
  <c r="O237" i="17"/>
  <c r="U236" i="17"/>
  <c r="O236" i="17"/>
  <c r="U235" i="17"/>
  <c r="O235" i="17"/>
  <c r="U234" i="17"/>
  <c r="O234" i="17"/>
  <c r="U233" i="17"/>
  <c r="O233" i="17"/>
  <c r="U232" i="17"/>
  <c r="O232" i="17"/>
  <c r="U231" i="17"/>
  <c r="V231" i="17" s="1"/>
  <c r="O231" i="17"/>
  <c r="U230" i="17"/>
  <c r="O230" i="17"/>
  <c r="U229" i="17"/>
  <c r="O229" i="17"/>
  <c r="U228" i="17"/>
  <c r="O228" i="17"/>
  <c r="U227" i="17"/>
  <c r="O227" i="17"/>
  <c r="U226" i="17"/>
  <c r="O226" i="17"/>
  <c r="U225" i="17"/>
  <c r="O225" i="17"/>
  <c r="U224" i="17"/>
  <c r="O224" i="17"/>
  <c r="U223" i="17"/>
  <c r="O223" i="17"/>
  <c r="U222" i="17"/>
  <c r="O222" i="17"/>
  <c r="U221" i="17"/>
  <c r="O221" i="17"/>
  <c r="U220" i="17"/>
  <c r="O220" i="17"/>
  <c r="U219" i="17"/>
  <c r="O219" i="17"/>
  <c r="U218" i="17"/>
  <c r="O218" i="17"/>
  <c r="U217" i="17"/>
  <c r="O217" i="17"/>
  <c r="U216" i="17"/>
  <c r="O216" i="17"/>
  <c r="U215" i="17"/>
  <c r="O215" i="17"/>
  <c r="U214" i="17"/>
  <c r="O214" i="17"/>
  <c r="U213" i="17"/>
  <c r="O213" i="17"/>
  <c r="U212" i="17"/>
  <c r="O212" i="17"/>
  <c r="U211" i="17"/>
  <c r="O211" i="17"/>
  <c r="U210" i="17"/>
  <c r="O210" i="17"/>
  <c r="U209" i="17"/>
  <c r="O209" i="17"/>
  <c r="U208" i="17"/>
  <c r="O208" i="17"/>
  <c r="U207" i="17"/>
  <c r="O207" i="17"/>
  <c r="U206" i="17"/>
  <c r="O206" i="17"/>
  <c r="U205" i="17"/>
  <c r="O205" i="17"/>
  <c r="U204" i="17"/>
  <c r="O204" i="17"/>
  <c r="U203" i="17"/>
  <c r="O203" i="17"/>
  <c r="U202" i="17"/>
  <c r="O202" i="17"/>
  <c r="U201" i="17"/>
  <c r="O201" i="17"/>
  <c r="U200" i="17"/>
  <c r="O200" i="17"/>
  <c r="U199" i="17"/>
  <c r="O199" i="17"/>
  <c r="U198" i="17"/>
  <c r="O198" i="17"/>
  <c r="U197" i="17"/>
  <c r="O197" i="17"/>
  <c r="U196" i="17"/>
  <c r="O196" i="17"/>
  <c r="U195" i="17"/>
  <c r="O195" i="17"/>
  <c r="U194" i="17"/>
  <c r="O194" i="17"/>
  <c r="U193" i="17"/>
  <c r="O193" i="17"/>
  <c r="U192" i="17"/>
  <c r="O192" i="17"/>
  <c r="U191" i="17"/>
  <c r="O191" i="17"/>
  <c r="U190" i="17"/>
  <c r="O190" i="17"/>
  <c r="U189" i="17"/>
  <c r="O189" i="17"/>
  <c r="U188" i="17"/>
  <c r="O188" i="17"/>
  <c r="U187" i="17"/>
  <c r="O187" i="17"/>
  <c r="U186" i="17"/>
  <c r="O186" i="17"/>
  <c r="U185" i="17"/>
  <c r="O185" i="17"/>
  <c r="U184" i="17"/>
  <c r="O184" i="17"/>
  <c r="U183" i="17"/>
  <c r="O183" i="17"/>
  <c r="U182" i="17"/>
  <c r="O182" i="17"/>
  <c r="U181" i="17"/>
  <c r="O181" i="17"/>
  <c r="U180" i="17"/>
  <c r="O180" i="17"/>
  <c r="U179" i="17"/>
  <c r="O179" i="17"/>
  <c r="U178" i="17"/>
  <c r="O178" i="17"/>
  <c r="U177" i="17"/>
  <c r="O177" i="17"/>
  <c r="U176" i="17"/>
  <c r="O176" i="17"/>
  <c r="U175" i="17"/>
  <c r="O175" i="17"/>
  <c r="U174" i="17"/>
  <c r="O174" i="17"/>
  <c r="U173" i="17"/>
  <c r="O173" i="17"/>
  <c r="U172" i="17"/>
  <c r="O172" i="17"/>
  <c r="U171" i="17"/>
  <c r="O171" i="17"/>
  <c r="U170" i="17"/>
  <c r="O170" i="17"/>
  <c r="U169" i="17"/>
  <c r="O169" i="17"/>
  <c r="U168" i="17"/>
  <c r="O168" i="17"/>
  <c r="U167" i="17"/>
  <c r="O167" i="17"/>
  <c r="U166" i="17"/>
  <c r="O166" i="17"/>
  <c r="U165" i="17"/>
  <c r="O165" i="17"/>
  <c r="U164" i="17"/>
  <c r="O164" i="17"/>
  <c r="Y163" i="17"/>
  <c r="U163" i="17"/>
  <c r="O163" i="17"/>
  <c r="V163" i="17" s="1"/>
  <c r="Y162" i="17"/>
  <c r="U162" i="17"/>
  <c r="O162" i="17"/>
  <c r="U161" i="17"/>
  <c r="O161" i="17"/>
  <c r="U160" i="17"/>
  <c r="O160" i="17"/>
  <c r="U159" i="17"/>
  <c r="O159" i="17"/>
  <c r="U158" i="17"/>
  <c r="O158" i="17"/>
  <c r="U157" i="17"/>
  <c r="O157" i="17"/>
  <c r="U156" i="17"/>
  <c r="O156" i="17"/>
  <c r="U155" i="17"/>
  <c r="O155" i="17"/>
  <c r="U154" i="17"/>
  <c r="O154" i="17"/>
  <c r="U153" i="17"/>
  <c r="O153" i="17"/>
  <c r="U152" i="17"/>
  <c r="O152" i="17"/>
  <c r="U151" i="17"/>
  <c r="O151" i="17"/>
  <c r="U150" i="17"/>
  <c r="O150" i="17"/>
  <c r="U149" i="17"/>
  <c r="O149" i="17"/>
  <c r="U148" i="17"/>
  <c r="O148" i="17"/>
  <c r="U147" i="17"/>
  <c r="O147" i="17"/>
  <c r="U146" i="17"/>
  <c r="O146" i="17"/>
  <c r="U145" i="17"/>
  <c r="O145" i="17"/>
  <c r="U144" i="17"/>
  <c r="O144" i="17"/>
  <c r="U143" i="17"/>
  <c r="O143" i="17"/>
  <c r="U142" i="17"/>
  <c r="O142" i="17"/>
  <c r="U141" i="17"/>
  <c r="O141" i="17"/>
  <c r="U140" i="17"/>
  <c r="O140" i="17"/>
  <c r="Y139" i="17"/>
  <c r="U139" i="17"/>
  <c r="O139" i="17"/>
  <c r="V139" i="17" s="1"/>
  <c r="Y138" i="17"/>
  <c r="U138" i="17"/>
  <c r="O138" i="17"/>
  <c r="Y137" i="17"/>
  <c r="U137" i="17"/>
  <c r="O137" i="17"/>
  <c r="Y136" i="17"/>
  <c r="U136" i="17"/>
  <c r="O136" i="17"/>
  <c r="Y135" i="17"/>
  <c r="U135" i="17"/>
  <c r="O135" i="17"/>
  <c r="V135" i="17" s="1"/>
  <c r="Y134" i="17"/>
  <c r="U134" i="17"/>
  <c r="O134" i="17"/>
  <c r="Y133" i="17"/>
  <c r="U133" i="17"/>
  <c r="O133" i="17"/>
  <c r="Y132" i="17"/>
  <c r="U132" i="17"/>
  <c r="O132" i="17"/>
  <c r="Y131" i="17"/>
  <c r="U131" i="17"/>
  <c r="O131" i="17"/>
  <c r="V131" i="17" s="1"/>
  <c r="Y130" i="17"/>
  <c r="U130" i="17"/>
  <c r="O130" i="17"/>
  <c r="Y129" i="17"/>
  <c r="U129" i="17"/>
  <c r="O129" i="17"/>
  <c r="Y128" i="17"/>
  <c r="U128" i="17"/>
  <c r="O128" i="17"/>
  <c r="Y127" i="17"/>
  <c r="U127" i="17"/>
  <c r="O127" i="17"/>
  <c r="V127" i="17" s="1"/>
  <c r="Y126" i="17"/>
  <c r="U126" i="17"/>
  <c r="O126" i="17"/>
  <c r="Y125" i="17"/>
  <c r="U125" i="17"/>
  <c r="O125" i="17"/>
  <c r="Y124" i="17"/>
  <c r="U124" i="17"/>
  <c r="O124" i="17"/>
  <c r="Y123" i="17"/>
  <c r="U123" i="17"/>
  <c r="O123" i="17"/>
  <c r="V123" i="17" s="1"/>
  <c r="Y122" i="17"/>
  <c r="U122" i="17"/>
  <c r="O122" i="17"/>
  <c r="Y121" i="17"/>
  <c r="U121" i="17"/>
  <c r="O121" i="17"/>
  <c r="Y120" i="17"/>
  <c r="U120" i="17"/>
  <c r="O120" i="17"/>
  <c r="Y119" i="17"/>
  <c r="U119" i="17"/>
  <c r="O119" i="17"/>
  <c r="V119" i="17" s="1"/>
  <c r="Y118" i="17"/>
  <c r="U118" i="17"/>
  <c r="O118" i="17"/>
  <c r="Y117" i="17"/>
  <c r="U117" i="17"/>
  <c r="O117" i="17"/>
  <c r="Y116" i="17"/>
  <c r="U116" i="17"/>
  <c r="O116" i="17"/>
  <c r="Y115" i="17"/>
  <c r="U115" i="17"/>
  <c r="O115" i="17"/>
  <c r="V115" i="17" s="1"/>
  <c r="Y114" i="17"/>
  <c r="U114" i="17"/>
  <c r="O114" i="17"/>
  <c r="Y113" i="17"/>
  <c r="U113" i="17"/>
  <c r="O113" i="17"/>
  <c r="Y112" i="17"/>
  <c r="U112" i="17"/>
  <c r="O112" i="17"/>
  <c r="Y111" i="17"/>
  <c r="U111" i="17"/>
  <c r="O111" i="17"/>
  <c r="V111" i="17" s="1"/>
  <c r="Y110" i="17"/>
  <c r="U110" i="17"/>
  <c r="O110" i="17"/>
  <c r="Y109" i="17"/>
  <c r="U109" i="17"/>
  <c r="O109" i="17"/>
  <c r="Y108" i="17"/>
  <c r="U108" i="17"/>
  <c r="O108" i="17"/>
  <c r="Y107" i="17"/>
  <c r="U107" i="17"/>
  <c r="O107" i="17"/>
  <c r="V107" i="17" s="1"/>
  <c r="Y106" i="17"/>
  <c r="U106" i="17"/>
  <c r="O106" i="17"/>
  <c r="Y105" i="17"/>
  <c r="U105" i="17"/>
  <c r="O105" i="17"/>
  <c r="Y104" i="17"/>
  <c r="U104" i="17"/>
  <c r="O104" i="17"/>
  <c r="Y103" i="17"/>
  <c r="U103" i="17"/>
  <c r="O103" i="17"/>
  <c r="V103" i="17" s="1"/>
  <c r="Y102" i="17"/>
  <c r="U102" i="17"/>
  <c r="O102" i="17"/>
  <c r="Y101" i="17"/>
  <c r="U101" i="17"/>
  <c r="O101" i="17"/>
  <c r="Y100" i="17"/>
  <c r="U100" i="17"/>
  <c r="O100" i="17"/>
  <c r="Y99" i="17"/>
  <c r="U99" i="17"/>
  <c r="O99" i="17"/>
  <c r="V99" i="17" s="1"/>
  <c r="Y98" i="17"/>
  <c r="U98" i="17"/>
  <c r="O98" i="17"/>
  <c r="Y97" i="17"/>
  <c r="U97" i="17"/>
  <c r="O97" i="17"/>
  <c r="Y96" i="17"/>
  <c r="U96" i="17"/>
  <c r="O96" i="17"/>
  <c r="Y95" i="17"/>
  <c r="U95" i="17"/>
  <c r="O95" i="17"/>
  <c r="V95" i="17" s="1"/>
  <c r="Y94" i="17"/>
  <c r="U94" i="17"/>
  <c r="O94" i="17"/>
  <c r="Y93" i="17"/>
  <c r="U93" i="17"/>
  <c r="O93" i="17"/>
  <c r="Y92" i="17"/>
  <c r="U92" i="17"/>
  <c r="O92" i="17"/>
  <c r="Y91" i="17"/>
  <c r="U91" i="17"/>
  <c r="O91" i="17"/>
  <c r="V91" i="17" s="1"/>
  <c r="Y90" i="17"/>
  <c r="U90" i="17"/>
  <c r="O90" i="17"/>
  <c r="Y89" i="17"/>
  <c r="U89" i="17"/>
  <c r="O89" i="17"/>
  <c r="Y88" i="17"/>
  <c r="U88" i="17"/>
  <c r="O88" i="17"/>
  <c r="U87" i="17"/>
  <c r="O87" i="17"/>
  <c r="U86" i="17"/>
  <c r="O86" i="17"/>
  <c r="U85" i="17"/>
  <c r="O85" i="17"/>
  <c r="U84" i="17"/>
  <c r="O84" i="17"/>
  <c r="U83" i="17"/>
  <c r="O83" i="17"/>
  <c r="U82" i="17"/>
  <c r="O82" i="17"/>
  <c r="U81" i="17"/>
  <c r="O81" i="17"/>
  <c r="U80" i="17"/>
  <c r="O80" i="17"/>
  <c r="U79" i="17"/>
  <c r="O79" i="17"/>
  <c r="U78" i="17"/>
  <c r="O78" i="17"/>
  <c r="U77" i="17"/>
  <c r="O77" i="17"/>
  <c r="V76" i="17"/>
  <c r="U76" i="17"/>
  <c r="O76" i="17"/>
  <c r="U75" i="17"/>
  <c r="O75" i="17"/>
  <c r="V75" i="17" s="1"/>
  <c r="U74" i="17"/>
  <c r="O74" i="17"/>
  <c r="U73" i="17"/>
  <c r="O73" i="17"/>
  <c r="U72" i="17"/>
  <c r="O72" i="17"/>
  <c r="U71" i="17"/>
  <c r="O71" i="17"/>
  <c r="U70" i="17"/>
  <c r="O70" i="17"/>
  <c r="U69" i="17"/>
  <c r="O69" i="17"/>
  <c r="V69" i="17" s="1"/>
  <c r="U68" i="17"/>
  <c r="O68" i="17"/>
  <c r="U67" i="17"/>
  <c r="O67" i="17"/>
  <c r="V67" i="17" s="1"/>
  <c r="U66" i="17"/>
  <c r="O66" i="17"/>
  <c r="V66" i="17" s="1"/>
  <c r="U65" i="17"/>
  <c r="O65" i="17"/>
  <c r="V65" i="17" s="1"/>
  <c r="U64" i="17"/>
  <c r="O64" i="17"/>
  <c r="V64" i="17" s="1"/>
  <c r="U63" i="17"/>
  <c r="O63" i="17"/>
  <c r="U62" i="17"/>
  <c r="O62" i="17"/>
  <c r="U61" i="17"/>
  <c r="O61" i="17"/>
  <c r="U60" i="17"/>
  <c r="O60" i="17"/>
  <c r="V60" i="17" s="1"/>
  <c r="U59" i="17"/>
  <c r="O59" i="17"/>
  <c r="V59" i="17" s="1"/>
  <c r="U58" i="17"/>
  <c r="O58" i="17"/>
  <c r="U57" i="17"/>
  <c r="O57" i="17"/>
  <c r="U56" i="17"/>
  <c r="O56" i="17"/>
  <c r="V56" i="17" s="1"/>
  <c r="U55" i="17"/>
  <c r="O55" i="17"/>
  <c r="U54" i="17"/>
  <c r="O54" i="17"/>
  <c r="V54" i="17" s="1"/>
  <c r="U53" i="17"/>
  <c r="O53" i="17"/>
  <c r="U52" i="17"/>
  <c r="O52" i="17"/>
  <c r="V52" i="17" s="1"/>
  <c r="U51" i="17"/>
  <c r="O51" i="17"/>
  <c r="V51" i="17" s="1"/>
  <c r="U50" i="17"/>
  <c r="O50" i="17"/>
  <c r="U49" i="17"/>
  <c r="O49" i="17"/>
  <c r="U48" i="17"/>
  <c r="O48" i="17"/>
  <c r="U47" i="17"/>
  <c r="O47" i="17"/>
  <c r="U46" i="17"/>
  <c r="O46" i="17"/>
  <c r="U45" i="17"/>
  <c r="O45" i="17"/>
  <c r="U44" i="17"/>
  <c r="O44" i="17"/>
  <c r="U43" i="17"/>
  <c r="O43" i="17"/>
  <c r="U42" i="17"/>
  <c r="O42" i="17"/>
  <c r="U41" i="17"/>
  <c r="O41" i="17"/>
  <c r="U40" i="17"/>
  <c r="O40" i="17"/>
  <c r="U39" i="17"/>
  <c r="O39" i="17"/>
  <c r="U38" i="17"/>
  <c r="O38" i="17"/>
  <c r="U37" i="17"/>
  <c r="O37" i="17"/>
  <c r="U36" i="17"/>
  <c r="O36" i="17"/>
  <c r="U35" i="17"/>
  <c r="O35" i="17"/>
  <c r="U34" i="17"/>
  <c r="O34" i="17"/>
  <c r="U33" i="17"/>
  <c r="O33" i="17"/>
  <c r="U32" i="17"/>
  <c r="O32" i="17"/>
  <c r="U31" i="17"/>
  <c r="O31" i="17"/>
  <c r="U30" i="17"/>
  <c r="O30" i="17"/>
  <c r="U29" i="17"/>
  <c r="O29" i="17"/>
  <c r="U28" i="17"/>
  <c r="O28" i="17"/>
  <c r="U27" i="17"/>
  <c r="O27" i="17"/>
  <c r="U26" i="17"/>
  <c r="O26" i="17"/>
  <c r="U25" i="17"/>
  <c r="O25" i="17"/>
  <c r="U24" i="17"/>
  <c r="O24" i="17"/>
  <c r="V24" i="17" s="1"/>
  <c r="U23" i="17"/>
  <c r="O23" i="17"/>
  <c r="U22" i="17"/>
  <c r="O22" i="17"/>
  <c r="U21" i="17"/>
  <c r="O21" i="17"/>
  <c r="V21" i="17" s="1"/>
  <c r="U20" i="17"/>
  <c r="O20" i="17"/>
  <c r="V20" i="17" s="1"/>
  <c r="U19" i="17"/>
  <c r="O19" i="17"/>
  <c r="U18" i="17"/>
  <c r="O18" i="17"/>
  <c r="V18" i="17" s="1"/>
  <c r="U17" i="17"/>
  <c r="O17" i="17"/>
  <c r="U16" i="17"/>
  <c r="O16" i="17"/>
  <c r="U15" i="17"/>
  <c r="O15" i="17"/>
  <c r="U14" i="17"/>
  <c r="O14" i="17"/>
  <c r="U13" i="17"/>
  <c r="O13" i="17"/>
  <c r="U12" i="17"/>
  <c r="O12" i="17"/>
  <c r="V12" i="17" s="1"/>
  <c r="U11" i="17"/>
  <c r="O11" i="17"/>
  <c r="U10" i="17"/>
  <c r="O10" i="17"/>
  <c r="U9" i="17"/>
  <c r="O9" i="17"/>
  <c r="U8" i="17"/>
  <c r="O8" i="17"/>
  <c r="V8" i="17" s="1"/>
  <c r="U7" i="17"/>
  <c r="O7" i="17"/>
  <c r="U6" i="17"/>
  <c r="O6" i="17"/>
  <c r="V6" i="17" s="1"/>
  <c r="U5" i="17"/>
  <c r="O5" i="17"/>
  <c r="U4" i="17"/>
  <c r="O4" i="17"/>
  <c r="V4" i="17" s="1"/>
  <c r="U3" i="17"/>
  <c r="O3" i="17"/>
  <c r="V3" i="17" s="1"/>
  <c r="U2" i="17"/>
  <c r="O2" i="17"/>
  <c r="V15" i="17" l="1"/>
  <c r="V147" i="17"/>
  <c r="V159" i="17"/>
  <c r="V250" i="17"/>
  <c r="V44" i="17"/>
  <c r="V251" i="17"/>
  <c r="V253" i="17"/>
  <c r="V275" i="17"/>
  <c r="V277" i="17"/>
  <c r="V286" i="17"/>
  <c r="V260" i="17"/>
  <c r="V262" i="17"/>
  <c r="V264" i="17"/>
  <c r="V266" i="17"/>
  <c r="V268" i="17"/>
  <c r="V50" i="17"/>
  <c r="V81" i="17"/>
  <c r="V83" i="17"/>
  <c r="V85" i="17"/>
  <c r="V90" i="17"/>
  <c r="V94" i="17"/>
  <c r="V98" i="17"/>
  <c r="V102" i="17"/>
  <c r="V106" i="17"/>
  <c r="V110" i="17"/>
  <c r="V114" i="17"/>
  <c r="V118" i="17"/>
  <c r="V122" i="17"/>
  <c r="V126" i="17"/>
  <c r="V130" i="17"/>
  <c r="V134" i="17"/>
  <c r="V138" i="17"/>
  <c r="V232" i="17"/>
  <c r="V234" i="17"/>
  <c r="V236" i="17"/>
  <c r="V238" i="17"/>
  <c r="V240" i="17"/>
  <c r="V242" i="17"/>
  <c r="V263" i="17"/>
  <c r="V271" i="17"/>
  <c r="V283" i="17"/>
  <c r="V285" i="17"/>
  <c r="V287" i="17"/>
  <c r="V5" i="17"/>
  <c r="V11" i="17"/>
  <c r="V68" i="17"/>
  <c r="V70" i="17"/>
  <c r="V72" i="17"/>
  <c r="V89" i="17"/>
  <c r="V93" i="17"/>
  <c r="V97" i="17"/>
  <c r="V101" i="17"/>
  <c r="V105" i="17"/>
  <c r="V109" i="17"/>
  <c r="V113" i="17"/>
  <c r="V117" i="17"/>
  <c r="V121" i="17"/>
  <c r="V125" i="17"/>
  <c r="V129" i="17"/>
  <c r="V133" i="17"/>
  <c r="V137" i="17"/>
  <c r="V270" i="17"/>
  <c r="V272" i="17"/>
  <c r="V274" i="17"/>
  <c r="V19" i="17"/>
  <c r="V27" i="17"/>
  <c r="V33" i="17"/>
  <c r="V35" i="17"/>
  <c r="V37" i="17"/>
  <c r="V49" i="17"/>
  <c r="V86" i="17"/>
  <c r="V88" i="17"/>
  <c r="V92" i="17"/>
  <c r="V96" i="17"/>
  <c r="V100" i="17"/>
  <c r="V104" i="17"/>
  <c r="V108" i="17"/>
  <c r="V112" i="17"/>
  <c r="V116" i="17"/>
  <c r="V120" i="17"/>
  <c r="V124" i="17"/>
  <c r="V128" i="17"/>
  <c r="V132" i="17"/>
  <c r="V136" i="17"/>
  <c r="V140" i="17"/>
  <c r="V144" i="17"/>
  <c r="V148" i="17"/>
  <c r="V150" i="17"/>
  <c r="V154" i="17"/>
  <c r="V156" i="17"/>
  <c r="V160" i="17"/>
  <c r="V243" i="17"/>
  <c r="V245" i="17"/>
  <c r="V258" i="17"/>
  <c r="U289" i="17"/>
  <c r="V63" i="17"/>
  <c r="V247" i="17"/>
  <c r="V279" i="17"/>
  <c r="V16" i="17"/>
  <c r="V22" i="17"/>
  <c r="V31" i="17"/>
  <c r="V43" i="17"/>
  <c r="V79" i="17"/>
  <c r="V152" i="17"/>
  <c r="V244" i="17"/>
  <c r="V246" i="17"/>
  <c r="V248" i="17"/>
  <c r="V255" i="17"/>
  <c r="V259" i="17"/>
  <c r="V261" i="17"/>
  <c r="V276" i="17"/>
  <c r="V278" i="17"/>
  <c r="V280" i="17"/>
  <c r="V48" i="17"/>
  <c r="V84" i="17"/>
  <c r="V17" i="17"/>
  <c r="V28" i="17"/>
  <c r="V32" i="17"/>
  <c r="V34" i="17"/>
  <c r="V36" i="17"/>
  <c r="V38" i="17"/>
  <c r="V40" i="17"/>
  <c r="V47" i="17"/>
  <c r="V53" i="17"/>
  <c r="V80" i="17"/>
  <c r="V82" i="17"/>
  <c r="V143" i="17"/>
  <c r="V149" i="17"/>
  <c r="V151" i="17"/>
  <c r="V153" i="17"/>
  <c r="V235" i="17"/>
  <c r="V237" i="17"/>
  <c r="V252" i="17"/>
  <c r="V254" i="17"/>
  <c r="V256" i="17"/>
  <c r="V267" i="17"/>
  <c r="V269" i="17"/>
  <c r="V7" i="17"/>
  <c r="V9" i="17"/>
  <c r="V14" i="17"/>
  <c r="V26" i="17"/>
  <c r="V29" i="17"/>
  <c r="V39" i="17"/>
  <c r="V41" i="17"/>
  <c r="V46" i="17"/>
  <c r="V58" i="17"/>
  <c r="V61" i="17"/>
  <c r="V71" i="17"/>
  <c r="V73" i="17"/>
  <c r="V78" i="17"/>
  <c r="V142" i="17"/>
  <c r="V145" i="17"/>
  <c r="V155" i="17"/>
  <c r="V157" i="17"/>
  <c r="V162" i="17"/>
  <c r="V284" i="17"/>
  <c r="V10" i="17"/>
  <c r="V13" i="17"/>
  <c r="V23" i="17"/>
  <c r="V25" i="17"/>
  <c r="V30" i="17"/>
  <c r="V42" i="17"/>
  <c r="V45" i="17"/>
  <c r="V55" i="17"/>
  <c r="V57" i="17"/>
  <c r="V62" i="17"/>
  <c r="V74" i="17"/>
  <c r="V77" i="17"/>
  <c r="V87" i="17"/>
  <c r="Y289" i="17"/>
  <c r="V141" i="17"/>
  <c r="V146" i="17"/>
  <c r="V158" i="17"/>
  <c r="V161" i="17"/>
  <c r="V2" i="17"/>
  <c r="O289" i="17"/>
  <c r="V233" i="17"/>
  <c r="V241" i="17"/>
  <c r="V249" i="17"/>
  <c r="V257" i="17"/>
  <c r="V265" i="17"/>
  <c r="V273" i="17"/>
  <c r="V281" i="17"/>
  <c r="M25" i="10"/>
  <c r="L25" i="10"/>
  <c r="K25" i="10"/>
  <c r="J25" i="10"/>
  <c r="V289" i="17" l="1"/>
  <c r="N25" i="10"/>
  <c r="P25" i="10"/>
  <c r="Q25" i="10"/>
  <c r="R25" i="10"/>
  <c r="S25" i="10"/>
  <c r="T25" i="10"/>
  <c r="W25" i="10"/>
  <c r="X25" i="10"/>
  <c r="Y25" i="10" l="1"/>
  <c r="U25" i="10" l="1"/>
  <c r="O25" i="10"/>
  <c r="V25" i="10" l="1"/>
  <c r="Z39" i="6" l="1"/>
  <c r="Z10" i="15"/>
  <c r="Z58" i="8"/>
  <c r="Z34" i="14"/>
  <c r="F43" i="20" l="1"/>
  <c r="C89" i="20" l="1"/>
  <c r="C93" i="20" s="1"/>
  <c r="C94" i="20" s="1"/>
  <c r="F21" i="20" l="1"/>
  <c r="B89" i="20"/>
  <c r="B93" i="20" s="1"/>
  <c r="B94" i="20" s="1"/>
  <c r="F10" i="20" l="1"/>
  <c r="F38" i="20"/>
  <c r="F72" i="20"/>
  <c r="F60" i="20"/>
  <c r="F8" i="20"/>
  <c r="F26" i="20"/>
  <c r="F4" i="20"/>
  <c r="F14" i="20"/>
  <c r="F82" i="20"/>
  <c r="F17" i="20"/>
  <c r="F42" i="20"/>
  <c r="F33" i="20"/>
  <c r="F9" i="20"/>
  <c r="F34" i="20"/>
  <c r="F50" i="20"/>
  <c r="F29" i="20"/>
  <c r="F78" i="20"/>
  <c r="F73" i="20"/>
  <c r="F20" i="20"/>
  <c r="F76" i="20"/>
  <c r="F23" i="20"/>
  <c r="F16" i="20"/>
  <c r="F75" i="20"/>
  <c r="F35" i="20"/>
  <c r="F25" i="20"/>
  <c r="F37" i="20"/>
  <c r="D89" i="20"/>
  <c r="D93" i="20" s="1"/>
  <c r="D94" i="20" s="1"/>
  <c r="F40" i="20"/>
  <c r="F48" i="20"/>
  <c r="F19" i="20"/>
  <c r="F55" i="20"/>
  <c r="F91" i="20"/>
  <c r="F88" i="20"/>
  <c r="F92" i="20"/>
  <c r="F18" i="20"/>
  <c r="F31" i="20"/>
  <c r="F65" i="20"/>
  <c r="F83" i="20"/>
  <c r="F86" i="20"/>
  <c r="F27" i="20"/>
  <c r="F11" i="20"/>
  <c r="F80" i="20"/>
  <c r="F22" i="20"/>
  <c r="F5" i="20"/>
  <c r="F90" i="20"/>
  <c r="F79" i="20"/>
  <c r="F39" i="20"/>
  <c r="F30" i="20"/>
  <c r="F7" i="20"/>
  <c r="F13" i="20"/>
  <c r="F81" i="20"/>
  <c r="F84" i="20" l="1"/>
  <c r="F89" i="20"/>
  <c r="F6" i="20"/>
  <c r="F12" i="20"/>
  <c r="F93" i="20" l="1"/>
  <c r="F94" i="20" s="1"/>
  <c r="Z50" i="7" l="1"/>
  <c r="X394" i="2" s="1"/>
  <c r="C107" i="20"/>
  <c r="C111" i="20" s="1"/>
  <c r="B107" i="20"/>
  <c r="E107" i="20"/>
  <c r="E111" i="20" s="1"/>
  <c r="D107" i="20" l="1"/>
  <c r="F107" i="20" s="1"/>
  <c r="F111" i="20" s="1"/>
  <c r="F112" i="20" s="1"/>
  <c r="B111" i="20"/>
  <c r="D111" i="20" l="1"/>
  <c r="D112" i="20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作者</author>
  </authors>
  <commentList>
    <comment ref="J1" authorId="0" shapeId="0" xr:uid="{00000000-0006-0000-0200-000001000000}">
      <text>
        <r>
          <rPr>
            <b/>
            <sz val="9"/>
            <color indexed="81"/>
            <rFont val="宋体"/>
            <family val="3"/>
            <charset val="134"/>
          </rPr>
          <t>模具毛利报表收入</t>
        </r>
      </text>
    </comment>
    <comment ref="K1" authorId="0" shapeId="0" xr:uid="{00000000-0006-0000-0200-000002000000}">
      <text>
        <r>
          <rPr>
            <b/>
            <sz val="9"/>
            <color indexed="81"/>
            <rFont val="宋体"/>
            <family val="3"/>
            <charset val="134"/>
          </rPr>
          <t>模具毛利报表收入</t>
        </r>
        <r>
          <rPr>
            <sz val="9"/>
            <color indexed="81"/>
            <rFont val="宋体"/>
            <family val="3"/>
            <charset val="134"/>
          </rPr>
          <t xml:space="preserve">
</t>
        </r>
      </text>
    </comment>
    <comment ref="L1" authorId="0" shapeId="0" xr:uid="{00000000-0006-0000-0200-000003000000}">
      <text>
        <r>
          <rPr>
            <sz val="9"/>
            <color indexed="81"/>
            <rFont val="宋体"/>
            <family val="3"/>
            <charset val="134"/>
          </rPr>
          <t xml:space="preserve">主营业收入-打样收入
</t>
        </r>
      </text>
    </comment>
    <comment ref="M1" authorId="0" shapeId="0" xr:uid="{00000000-0006-0000-0200-000004000000}">
      <text>
        <r>
          <rPr>
            <sz val="9"/>
            <color indexed="81"/>
            <rFont val="宋体"/>
            <family val="3"/>
            <charset val="134"/>
          </rPr>
          <t xml:space="preserve">主营业务收入-夹具收入
</t>
        </r>
      </text>
    </comment>
    <comment ref="N1" authorId="0" shapeId="0" xr:uid="{00000000-0006-0000-0200-000005000000}">
      <text>
        <r>
          <rPr>
            <sz val="9"/>
            <color indexed="81"/>
            <rFont val="宋体"/>
            <family val="3"/>
            <charset val="134"/>
          </rPr>
          <t xml:space="preserve">主营业务收入-其他收入
</t>
        </r>
      </text>
    </comment>
    <comment ref="O1" authorId="0" shapeId="0" xr:uid="{00000000-0006-0000-0200-000006000000}">
      <text>
        <r>
          <rPr>
            <b/>
            <sz val="9"/>
            <color indexed="81"/>
            <rFont val="宋体"/>
            <family val="3"/>
            <charset val="134"/>
          </rPr>
          <t>=j+k+l+m+n</t>
        </r>
        <r>
          <rPr>
            <sz val="9"/>
            <color indexed="81"/>
            <rFont val="宋体"/>
            <family val="3"/>
            <charset val="134"/>
          </rPr>
          <t xml:space="preserve">
</t>
        </r>
      </text>
    </comment>
    <comment ref="P1" authorId="0" shapeId="0" xr:uid="{00000000-0006-0000-0200-000007000000}">
      <text>
        <r>
          <rPr>
            <b/>
            <sz val="9"/>
            <color indexed="81"/>
            <rFont val="宋体"/>
            <family val="3"/>
            <charset val="134"/>
          </rPr>
          <t>模具毛利报表-模具成本</t>
        </r>
      </text>
    </comment>
    <comment ref="Q1" authorId="0" shapeId="0" xr:uid="{00000000-0006-0000-0200-000008000000}">
      <text>
        <r>
          <rPr>
            <b/>
            <sz val="9"/>
            <color indexed="81"/>
            <rFont val="宋体"/>
            <family val="3"/>
            <charset val="134"/>
          </rPr>
          <t>模具毛利报表-模具成本</t>
        </r>
      </text>
    </comment>
    <comment ref="R1" authorId="0" shapeId="0" xr:uid="{00000000-0006-0000-0200-000009000000}">
      <text>
        <r>
          <rPr>
            <b/>
            <sz val="9"/>
            <color indexed="81"/>
            <rFont val="宋体"/>
            <family val="3"/>
            <charset val="134"/>
          </rPr>
          <t>主营业务成本-试模成本</t>
        </r>
      </text>
    </comment>
    <comment ref="S1" authorId="0" shapeId="0" xr:uid="{00000000-0006-0000-0200-00000A000000}">
      <text>
        <r>
          <rPr>
            <b/>
            <sz val="9"/>
            <color indexed="81"/>
            <rFont val="宋体"/>
            <family val="3"/>
            <charset val="134"/>
          </rPr>
          <t>研发投入-加工成本</t>
        </r>
      </text>
    </comment>
    <comment ref="T1" authorId="0" shapeId="0" xr:uid="{00000000-0006-0000-0200-00000B000000}">
      <text>
        <r>
          <rPr>
            <b/>
            <sz val="9"/>
            <color indexed="81"/>
            <rFont val="宋体"/>
            <family val="3"/>
            <charset val="134"/>
          </rPr>
          <t>直接人工成本
研发支出-投入材料成本
机器工时成本</t>
        </r>
      </text>
    </comment>
    <comment ref="U1" authorId="0" shapeId="0" xr:uid="{00000000-0006-0000-0200-00000C000000}">
      <text>
        <r>
          <rPr>
            <sz val="9"/>
            <color indexed="81"/>
            <rFont val="宋体"/>
            <family val="3"/>
            <charset val="134"/>
          </rPr>
          <t xml:space="preserve">=p+q+r+s+t
</t>
        </r>
      </text>
    </comment>
    <comment ref="V1" authorId="0" shapeId="0" xr:uid="{00000000-0006-0000-0200-00000D000000}">
      <text>
        <r>
          <rPr>
            <b/>
            <sz val="9"/>
            <color indexed="81"/>
            <rFont val="宋体"/>
            <family val="3"/>
            <charset val="134"/>
          </rPr>
          <t>=o-u</t>
        </r>
        <r>
          <rPr>
            <sz val="9"/>
            <color indexed="81"/>
            <rFont val="宋体"/>
            <family val="3"/>
            <charset val="134"/>
          </rPr>
          <t xml:space="preserve">
</t>
        </r>
      </text>
    </comment>
    <comment ref="Y1" authorId="0" shapeId="0" xr:uid="{00000000-0006-0000-0200-00000E000000}">
      <text>
        <r>
          <rPr>
            <b/>
            <sz val="9"/>
            <color indexed="81"/>
            <rFont val="宋体"/>
            <family val="3"/>
            <charset val="134"/>
          </rPr>
          <t>X+Y</t>
        </r>
        <r>
          <rPr>
            <sz val="9"/>
            <color indexed="81"/>
            <rFont val="宋体"/>
            <family val="3"/>
            <charset val="134"/>
          </rPr>
          <t xml:space="preserve">
</t>
        </r>
      </text>
    </comment>
    <comment ref="P32" authorId="0" shapeId="0" xr:uid="{00000000-0006-0000-0200-00000F000000}">
      <text>
        <r>
          <rPr>
            <sz val="9"/>
            <color indexed="81"/>
            <rFont val="宋体"/>
            <family val="3"/>
            <charset val="134"/>
          </rPr>
          <t xml:space="preserve">
1、注塑模具成本应为2469521.6；
2、主营业务成本-模具成本1576153.6未取到数</t>
        </r>
      </text>
    </comment>
    <comment ref="N38" authorId="0" shapeId="0" xr:uid="{00000000-0006-0000-0200-000010000000}">
      <text>
        <r>
          <rPr>
            <sz val="9"/>
            <color indexed="81"/>
            <rFont val="宋体"/>
            <family val="3"/>
            <charset val="134"/>
          </rPr>
          <t xml:space="preserve">
1、其它杂项收入513162.54；
2、主营业务收入-其他收入513162.54未取到数</t>
        </r>
      </text>
    </comment>
    <comment ref="P49" authorId="0" shapeId="0" xr:uid="{00000000-0006-0000-0200-000011000000}">
      <text>
        <r>
          <rPr>
            <sz val="9"/>
            <color indexed="81"/>
            <rFont val="宋体"/>
            <family val="3"/>
            <charset val="134"/>
          </rPr>
          <t xml:space="preserve">
1、注塑模具成本应为113680；
2、主营业务成本-模具成本113680未取到数</t>
        </r>
      </text>
    </comment>
    <comment ref="P52" authorId="0" shapeId="0" xr:uid="{00000000-0006-0000-0200-000012000000}">
      <text>
        <r>
          <rPr>
            <sz val="9"/>
            <color indexed="81"/>
            <rFont val="宋体"/>
            <family val="3"/>
            <charset val="134"/>
          </rPr>
          <t xml:space="preserve">
1、注塑模具成本应为836959.2；
2、主营业务成本-模具成本540176未取到数，主营业务成本-改模成本296783.2未取到数</t>
        </r>
      </text>
    </comment>
    <comment ref="J69" authorId="0" shapeId="0" xr:uid="{00000000-0006-0000-0200-000013000000}">
      <text>
        <r>
          <rPr>
            <sz val="9"/>
            <color indexed="81"/>
            <rFont val="宋体"/>
            <family val="3"/>
            <charset val="134"/>
          </rPr>
          <t xml:space="preserve">
1、主营业务收入-内销模具收入2860717.96未取到数</t>
        </r>
      </text>
    </comment>
    <comment ref="P101" authorId="0" shapeId="0" xr:uid="{00000000-0006-0000-0200-000014000000}">
      <text>
        <r>
          <rPr>
            <b/>
            <sz val="9"/>
            <color indexed="81"/>
            <rFont val="宋体"/>
            <family val="3"/>
            <charset val="134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1、注塑模具成本应为542740.26；
2、主营业务成本-模具成本194432未取到数</t>
        </r>
      </text>
    </comment>
    <comment ref="S105" authorId="0" shapeId="0" xr:uid="{00000000-0006-0000-0200-000015000000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1、量产前夹治具成本应为621344.21
2、研发支出-投入加工成本582750.57未取到数</t>
        </r>
      </text>
    </comment>
    <comment ref="M136" authorId="0" shapeId="0" xr:uid="{00000000-0006-0000-0200-000016000000}">
      <text>
        <r>
          <rPr>
            <sz val="9"/>
            <color indexed="81"/>
            <rFont val="宋体"/>
            <family val="3"/>
            <charset val="134"/>
          </rPr>
          <t xml:space="preserve">
1、夹治具收入应为139552
2、主营业务收入-夹治具收入139552未取到数
</t>
        </r>
      </text>
    </comment>
    <comment ref="P177" authorId="0" shapeId="0" xr:uid="{00000000-0006-0000-0200-000017000000}">
      <text>
        <r>
          <rPr>
            <sz val="9"/>
            <color indexed="81"/>
            <rFont val="宋体"/>
            <family val="3"/>
            <charset val="134"/>
          </rPr>
          <t xml:space="preserve">
1、注塑模具成本372400；
2、主营业务成本-模具成本372400未未取到数</t>
        </r>
      </text>
    </comment>
    <comment ref="J249" authorId="0" shapeId="0" xr:uid="{00000000-0006-0000-0200-000018000000}">
      <text>
        <r>
          <rPr>
            <sz val="9"/>
            <color indexed="81"/>
            <rFont val="宋体"/>
            <family val="3"/>
            <charset val="134"/>
          </rPr>
          <t xml:space="preserve">1、注塑模具收入应为758928.57；
2、主营业务收入-内销模具收入455357.14未取到数
</t>
        </r>
      </text>
    </comment>
    <comment ref="L253" authorId="0" shapeId="0" xr:uid="{00000000-0006-0000-0200-000019000000}">
      <text>
        <r>
          <rPr>
            <sz val="9"/>
            <color indexed="81"/>
            <rFont val="宋体"/>
            <family val="3"/>
            <charset val="134"/>
          </rPr>
          <t>1、样板费收入应为10723.13；
2、主营业务收入-样板收入10723.13未取到数</t>
        </r>
      </text>
    </comment>
    <comment ref="J258" authorId="0" shapeId="0" xr:uid="{00000000-0006-0000-0200-00001A000000}">
      <text>
        <r>
          <rPr>
            <sz val="9"/>
            <color indexed="81"/>
            <rFont val="宋体"/>
            <family val="3"/>
            <charset val="134"/>
          </rPr>
          <t>1、注塑模具收入应为705128.21；
2、主营业务收入-内销模具收入705128.21未取到数</t>
        </r>
      </text>
    </comment>
    <comment ref="P258" authorId="0" shapeId="0" xr:uid="{00000000-0006-0000-0200-00001B000000}">
      <text>
        <r>
          <rPr>
            <sz val="9"/>
            <color indexed="81"/>
            <rFont val="宋体"/>
            <family val="3"/>
            <charset val="134"/>
          </rPr>
          <t xml:space="preserve">
1、注塑模具成本应为719812.43；
2、主营业务成本-模具成本705128.21多取数</t>
        </r>
      </text>
    </comment>
    <comment ref="S263" authorId="0" shapeId="0" xr:uid="{00000000-0006-0000-0200-00001C000000}">
      <text>
        <r>
          <rPr>
            <sz val="9"/>
            <color indexed="81"/>
            <rFont val="宋体"/>
            <family val="3"/>
            <charset val="134"/>
          </rPr>
          <t>1、量产前夹治具成本应为163680.94</t>
        </r>
        <r>
          <rPr>
            <b/>
            <sz val="9"/>
            <color indexed="81"/>
            <rFont val="宋体"/>
            <family val="3"/>
            <charset val="134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2、研发支出-投入加工成本-37349.67未取到数</t>
        </r>
      </text>
    </comment>
    <comment ref="L269" authorId="0" shapeId="0" xr:uid="{00000000-0006-0000-0200-00001D000000}">
      <text>
        <r>
          <rPr>
            <sz val="9"/>
            <color indexed="81"/>
            <rFont val="宋体"/>
            <family val="3"/>
            <charset val="134"/>
          </rPr>
          <t>1、样板费收入应为36160.19；
2、主营业务收入-样板收入36160.19未取到数</t>
        </r>
      </text>
    </comment>
    <comment ref="S269" authorId="0" shapeId="0" xr:uid="{00000000-0006-0000-0200-00001E000000}">
      <text>
        <r>
          <rPr>
            <sz val="9"/>
            <color indexed="81"/>
            <rFont val="宋体"/>
            <family val="3"/>
            <charset val="134"/>
          </rPr>
          <t>1、量产前夹治具成本应为22390.75
2、研发支出-投入加工成本-9330.2未取到数</t>
        </r>
      </text>
    </comment>
    <comment ref="J278" authorId="0" shapeId="0" xr:uid="{00000000-0006-0000-0200-00001F000000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1、注塑模具收入应为32178.22；
2、主营业务收入-内销模具收入32059.19多取数</t>
        </r>
      </text>
    </comment>
    <comment ref="L285" authorId="0" shapeId="0" xr:uid="{00000000-0006-0000-0200-000020000000}">
      <text>
        <r>
          <rPr>
            <sz val="9"/>
            <color indexed="81"/>
            <rFont val="宋体"/>
            <family val="3"/>
            <charset val="134"/>
          </rPr>
          <t xml:space="preserve">
1、样板费收入应为29698.18；
2、主营业务收入-样板收入18953.51未取到数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作者</author>
  </authors>
  <commentList>
    <comment ref="J3" authorId="0" shapeId="0" xr:uid="{00000000-0006-0000-0300-000001000000}">
      <text>
        <r>
          <rPr>
            <b/>
            <sz val="9"/>
            <color indexed="81"/>
            <rFont val="宋体"/>
            <family val="3"/>
            <charset val="134"/>
          </rPr>
          <t>模具毛利报表收入</t>
        </r>
      </text>
    </comment>
    <comment ref="K3" authorId="0" shapeId="0" xr:uid="{00000000-0006-0000-0300-000002000000}">
      <text>
        <r>
          <rPr>
            <b/>
            <sz val="9"/>
            <color indexed="81"/>
            <rFont val="宋体"/>
            <family val="3"/>
            <charset val="134"/>
          </rPr>
          <t>模具毛利报表收入</t>
        </r>
        <r>
          <rPr>
            <sz val="9"/>
            <color indexed="81"/>
            <rFont val="宋体"/>
            <family val="3"/>
            <charset val="134"/>
          </rPr>
          <t xml:space="preserve">
</t>
        </r>
      </text>
    </comment>
    <comment ref="L3" authorId="0" shapeId="0" xr:uid="{00000000-0006-0000-0300-000003000000}">
      <text>
        <r>
          <rPr>
            <sz val="9"/>
            <color indexed="81"/>
            <rFont val="宋体"/>
            <family val="3"/>
            <charset val="134"/>
          </rPr>
          <t xml:space="preserve">主营业收入-打样收入
</t>
        </r>
      </text>
    </comment>
    <comment ref="M3" authorId="0" shapeId="0" xr:uid="{00000000-0006-0000-0300-000004000000}">
      <text>
        <r>
          <rPr>
            <sz val="9"/>
            <color indexed="81"/>
            <rFont val="宋体"/>
            <family val="3"/>
            <charset val="134"/>
          </rPr>
          <t xml:space="preserve">主营业务收入-夹具收入
</t>
        </r>
      </text>
    </comment>
    <comment ref="N3" authorId="0" shapeId="0" xr:uid="{00000000-0006-0000-0300-000005000000}">
      <text>
        <r>
          <rPr>
            <sz val="9"/>
            <color indexed="81"/>
            <rFont val="宋体"/>
            <family val="3"/>
            <charset val="134"/>
          </rPr>
          <t xml:space="preserve">主营业务收入-其他收入
</t>
        </r>
      </text>
    </comment>
    <comment ref="O3" authorId="0" shapeId="0" xr:uid="{00000000-0006-0000-0300-000006000000}">
      <text>
        <r>
          <rPr>
            <b/>
            <sz val="9"/>
            <color indexed="81"/>
            <rFont val="宋体"/>
            <family val="3"/>
            <charset val="134"/>
          </rPr>
          <t>=j+k+l+m+n</t>
        </r>
        <r>
          <rPr>
            <sz val="9"/>
            <color indexed="81"/>
            <rFont val="宋体"/>
            <family val="3"/>
            <charset val="134"/>
          </rPr>
          <t xml:space="preserve">
</t>
        </r>
      </text>
    </comment>
    <comment ref="P3" authorId="0" shapeId="0" xr:uid="{00000000-0006-0000-0300-000007000000}">
      <text>
        <r>
          <rPr>
            <b/>
            <sz val="9"/>
            <color indexed="81"/>
            <rFont val="宋体"/>
            <family val="3"/>
            <charset val="134"/>
          </rPr>
          <t>模具毛利报表-模具成本</t>
        </r>
      </text>
    </comment>
    <comment ref="Q3" authorId="0" shapeId="0" xr:uid="{00000000-0006-0000-0300-000008000000}">
      <text>
        <r>
          <rPr>
            <b/>
            <sz val="9"/>
            <color indexed="81"/>
            <rFont val="宋体"/>
            <family val="3"/>
            <charset val="134"/>
          </rPr>
          <t>模具毛利报表-模具成本</t>
        </r>
      </text>
    </comment>
    <comment ref="R3" authorId="0" shapeId="0" xr:uid="{00000000-0006-0000-0300-000009000000}">
      <text>
        <r>
          <rPr>
            <b/>
            <sz val="9"/>
            <color indexed="81"/>
            <rFont val="宋体"/>
            <family val="3"/>
            <charset val="134"/>
          </rPr>
          <t>主营业务成本-试模成本</t>
        </r>
      </text>
    </comment>
    <comment ref="S3" authorId="0" shapeId="0" xr:uid="{00000000-0006-0000-0300-00000A000000}">
      <text>
        <r>
          <rPr>
            <b/>
            <sz val="9"/>
            <color indexed="81"/>
            <rFont val="宋体"/>
            <family val="3"/>
            <charset val="134"/>
          </rPr>
          <t>研发投入-加工成本</t>
        </r>
      </text>
    </comment>
    <comment ref="T3" authorId="0" shapeId="0" xr:uid="{00000000-0006-0000-0300-00000B000000}">
      <text>
        <r>
          <rPr>
            <b/>
            <sz val="9"/>
            <color indexed="81"/>
            <rFont val="宋体"/>
            <family val="3"/>
            <charset val="134"/>
          </rPr>
          <t>直接人工成本
研发支出-投入材料成本
机器工时成本</t>
        </r>
      </text>
    </comment>
    <comment ref="U3" authorId="0" shapeId="0" xr:uid="{00000000-0006-0000-0300-00000C000000}">
      <text>
        <r>
          <rPr>
            <sz val="9"/>
            <color indexed="81"/>
            <rFont val="宋体"/>
            <family val="3"/>
            <charset val="134"/>
          </rPr>
          <t xml:space="preserve">=p+q+r+s+t
</t>
        </r>
      </text>
    </comment>
    <comment ref="V3" authorId="0" shapeId="0" xr:uid="{00000000-0006-0000-0300-00000D000000}">
      <text>
        <r>
          <rPr>
            <b/>
            <sz val="9"/>
            <color indexed="81"/>
            <rFont val="宋体"/>
            <family val="3"/>
            <charset val="134"/>
          </rPr>
          <t>=o-u</t>
        </r>
        <r>
          <rPr>
            <sz val="9"/>
            <color indexed="81"/>
            <rFont val="宋体"/>
            <family val="3"/>
            <charset val="134"/>
          </rPr>
          <t xml:space="preserve">
</t>
        </r>
      </text>
    </comment>
    <comment ref="Y3" authorId="0" shapeId="0" xr:uid="{00000000-0006-0000-0300-00000E000000}">
      <text>
        <r>
          <rPr>
            <b/>
            <sz val="9"/>
            <color indexed="81"/>
            <rFont val="宋体"/>
            <family val="3"/>
            <charset val="134"/>
          </rPr>
          <t>X+Y</t>
        </r>
        <r>
          <rPr>
            <sz val="9"/>
            <color indexed="81"/>
            <rFont val="宋体"/>
            <family val="3"/>
            <charset val="134"/>
          </rPr>
          <t xml:space="preserve">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作者</author>
  </authors>
  <commentList>
    <comment ref="J2" authorId="0" shapeId="0" xr:uid="{00000000-0006-0000-0400-000001000000}">
      <text>
        <r>
          <rPr>
            <b/>
            <sz val="9"/>
            <color indexed="81"/>
            <rFont val="宋体"/>
            <family val="3"/>
            <charset val="134"/>
          </rPr>
          <t>模具毛利报表收入</t>
        </r>
      </text>
    </comment>
    <comment ref="K2" authorId="0" shapeId="0" xr:uid="{00000000-0006-0000-0400-000002000000}">
      <text>
        <r>
          <rPr>
            <b/>
            <sz val="9"/>
            <color indexed="81"/>
            <rFont val="宋体"/>
            <family val="3"/>
            <charset val="134"/>
          </rPr>
          <t>模具毛利报表收入</t>
        </r>
        <r>
          <rPr>
            <sz val="9"/>
            <color indexed="81"/>
            <rFont val="宋体"/>
            <family val="3"/>
            <charset val="134"/>
          </rPr>
          <t xml:space="preserve">
</t>
        </r>
      </text>
    </comment>
    <comment ref="L2" authorId="0" shapeId="0" xr:uid="{00000000-0006-0000-0400-000003000000}">
      <text>
        <r>
          <rPr>
            <sz val="9"/>
            <color indexed="81"/>
            <rFont val="宋体"/>
            <family val="3"/>
            <charset val="134"/>
          </rPr>
          <t xml:space="preserve">主营业收入-打样收入
</t>
        </r>
      </text>
    </comment>
    <comment ref="M2" authorId="0" shapeId="0" xr:uid="{00000000-0006-0000-0400-000004000000}">
      <text>
        <r>
          <rPr>
            <sz val="9"/>
            <color indexed="81"/>
            <rFont val="宋体"/>
            <family val="3"/>
            <charset val="134"/>
          </rPr>
          <t xml:space="preserve">主营业务收入-夹具收入
</t>
        </r>
      </text>
    </comment>
    <comment ref="N2" authorId="0" shapeId="0" xr:uid="{00000000-0006-0000-0400-000005000000}">
      <text>
        <r>
          <rPr>
            <sz val="9"/>
            <color indexed="81"/>
            <rFont val="宋体"/>
            <family val="3"/>
            <charset val="134"/>
          </rPr>
          <t xml:space="preserve">主营业务收入-其他收入
</t>
        </r>
      </text>
    </comment>
    <comment ref="O2" authorId="0" shapeId="0" xr:uid="{00000000-0006-0000-0400-000006000000}">
      <text>
        <r>
          <rPr>
            <b/>
            <sz val="9"/>
            <color indexed="81"/>
            <rFont val="宋体"/>
            <family val="3"/>
            <charset val="134"/>
          </rPr>
          <t>=j+k+l+m+n</t>
        </r>
        <r>
          <rPr>
            <sz val="9"/>
            <color indexed="81"/>
            <rFont val="宋体"/>
            <family val="3"/>
            <charset val="134"/>
          </rPr>
          <t xml:space="preserve">
</t>
        </r>
      </text>
    </comment>
    <comment ref="P2" authorId="0" shapeId="0" xr:uid="{00000000-0006-0000-0400-000007000000}">
      <text>
        <r>
          <rPr>
            <b/>
            <sz val="9"/>
            <color indexed="81"/>
            <rFont val="宋体"/>
            <family val="3"/>
            <charset val="134"/>
          </rPr>
          <t>模具毛利报表-模具成本</t>
        </r>
      </text>
    </comment>
    <comment ref="Q2" authorId="0" shapeId="0" xr:uid="{00000000-0006-0000-0400-000008000000}">
      <text>
        <r>
          <rPr>
            <b/>
            <sz val="9"/>
            <color indexed="81"/>
            <rFont val="宋体"/>
            <family val="3"/>
            <charset val="134"/>
          </rPr>
          <t>模具毛利报表-模具成本</t>
        </r>
      </text>
    </comment>
    <comment ref="R2" authorId="0" shapeId="0" xr:uid="{00000000-0006-0000-0400-000009000000}">
      <text>
        <r>
          <rPr>
            <b/>
            <sz val="9"/>
            <color indexed="81"/>
            <rFont val="宋体"/>
            <family val="3"/>
            <charset val="134"/>
          </rPr>
          <t>主营业务成本-试模成本</t>
        </r>
      </text>
    </comment>
    <comment ref="S2" authorId="0" shapeId="0" xr:uid="{00000000-0006-0000-0400-00000A000000}">
      <text>
        <r>
          <rPr>
            <b/>
            <sz val="9"/>
            <color indexed="81"/>
            <rFont val="宋体"/>
            <family val="3"/>
            <charset val="134"/>
          </rPr>
          <t>研发投入-加工成本</t>
        </r>
      </text>
    </comment>
    <comment ref="T2" authorId="0" shapeId="0" xr:uid="{00000000-0006-0000-0400-00000B000000}">
      <text>
        <r>
          <rPr>
            <b/>
            <sz val="9"/>
            <color indexed="81"/>
            <rFont val="宋体"/>
            <family val="3"/>
            <charset val="134"/>
          </rPr>
          <t>直接人工成本
研发支出-投入材料成本
机器工时成本</t>
        </r>
      </text>
    </comment>
    <comment ref="U2" authorId="0" shapeId="0" xr:uid="{00000000-0006-0000-0400-00000C000000}">
      <text>
        <r>
          <rPr>
            <sz val="9"/>
            <color indexed="81"/>
            <rFont val="宋体"/>
            <family val="3"/>
            <charset val="134"/>
          </rPr>
          <t xml:space="preserve">=p+q+r+s+t
</t>
        </r>
      </text>
    </comment>
    <comment ref="V2" authorId="0" shapeId="0" xr:uid="{00000000-0006-0000-0400-00000D000000}">
      <text>
        <r>
          <rPr>
            <b/>
            <sz val="9"/>
            <color indexed="81"/>
            <rFont val="宋体"/>
            <family val="3"/>
            <charset val="134"/>
          </rPr>
          <t>=o-u</t>
        </r>
        <r>
          <rPr>
            <sz val="9"/>
            <color indexed="81"/>
            <rFont val="宋体"/>
            <family val="3"/>
            <charset val="134"/>
          </rPr>
          <t xml:space="preserve">
</t>
        </r>
      </text>
    </comment>
    <comment ref="Y2" authorId="0" shapeId="0" xr:uid="{00000000-0006-0000-0400-00000E000000}">
      <text>
        <r>
          <rPr>
            <b/>
            <sz val="9"/>
            <color indexed="81"/>
            <rFont val="宋体"/>
            <family val="3"/>
            <charset val="134"/>
          </rPr>
          <t>X+Y</t>
        </r>
        <r>
          <rPr>
            <sz val="9"/>
            <color indexed="81"/>
            <rFont val="宋体"/>
            <family val="3"/>
            <charset val="134"/>
          </rPr>
          <t xml:space="preserve">
</t>
        </r>
      </text>
    </comment>
    <comment ref="P4" authorId="0" shapeId="0" xr:uid="{00000000-0006-0000-0400-00000F000000}">
      <text>
        <r>
          <rPr>
            <sz val="9"/>
            <color indexed="81"/>
            <rFont val="宋体"/>
            <family val="3"/>
            <charset val="134"/>
          </rPr>
          <t xml:space="preserve">
1、注塑模具成本应为2469521.6；
2、主营业务成本-模具成本1576153.6未取到数</t>
        </r>
      </text>
    </comment>
    <comment ref="N10" authorId="0" shapeId="0" xr:uid="{00000000-0006-0000-0400-000010000000}">
      <text>
        <r>
          <rPr>
            <sz val="9"/>
            <color indexed="81"/>
            <rFont val="宋体"/>
            <family val="3"/>
            <charset val="134"/>
          </rPr>
          <t xml:space="preserve">
1、其它杂项收入513162.54；
2、主营业务收入-其他收入513162.54未取到数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作者</author>
  </authors>
  <commentList>
    <comment ref="J3" authorId="0" shapeId="0" xr:uid="{00000000-0006-0000-0500-000001000000}">
      <text>
        <r>
          <rPr>
            <b/>
            <sz val="9"/>
            <color indexed="81"/>
            <rFont val="宋体"/>
            <family val="3"/>
            <charset val="134"/>
          </rPr>
          <t>模具毛利报表收入</t>
        </r>
      </text>
    </comment>
    <comment ref="K3" authorId="0" shapeId="0" xr:uid="{00000000-0006-0000-0500-000002000000}">
      <text>
        <r>
          <rPr>
            <b/>
            <sz val="9"/>
            <color indexed="81"/>
            <rFont val="宋体"/>
            <family val="3"/>
            <charset val="134"/>
          </rPr>
          <t>模具毛利报表收入</t>
        </r>
        <r>
          <rPr>
            <sz val="9"/>
            <color indexed="81"/>
            <rFont val="宋体"/>
            <family val="3"/>
            <charset val="134"/>
          </rPr>
          <t xml:space="preserve">
</t>
        </r>
      </text>
    </comment>
    <comment ref="L3" authorId="0" shapeId="0" xr:uid="{00000000-0006-0000-0500-000003000000}">
      <text>
        <r>
          <rPr>
            <sz val="9"/>
            <color indexed="81"/>
            <rFont val="宋体"/>
            <family val="3"/>
            <charset val="134"/>
          </rPr>
          <t xml:space="preserve">主营业收入-打样收入
</t>
        </r>
      </text>
    </comment>
    <comment ref="M3" authorId="0" shapeId="0" xr:uid="{00000000-0006-0000-0500-000004000000}">
      <text>
        <r>
          <rPr>
            <sz val="9"/>
            <color indexed="81"/>
            <rFont val="宋体"/>
            <family val="3"/>
            <charset val="134"/>
          </rPr>
          <t xml:space="preserve">主营业务收入-夹具收入
</t>
        </r>
      </text>
    </comment>
    <comment ref="N3" authorId="0" shapeId="0" xr:uid="{00000000-0006-0000-0500-000005000000}">
      <text>
        <r>
          <rPr>
            <sz val="9"/>
            <color indexed="81"/>
            <rFont val="宋体"/>
            <family val="3"/>
            <charset val="134"/>
          </rPr>
          <t xml:space="preserve">主营业务收入-其他收入
</t>
        </r>
      </text>
    </comment>
    <comment ref="O3" authorId="0" shapeId="0" xr:uid="{00000000-0006-0000-0500-000006000000}">
      <text>
        <r>
          <rPr>
            <b/>
            <sz val="9"/>
            <color indexed="81"/>
            <rFont val="宋体"/>
            <family val="3"/>
            <charset val="134"/>
          </rPr>
          <t>=j+k+l+m+n</t>
        </r>
        <r>
          <rPr>
            <sz val="9"/>
            <color indexed="81"/>
            <rFont val="宋体"/>
            <family val="3"/>
            <charset val="134"/>
          </rPr>
          <t xml:space="preserve">
</t>
        </r>
      </text>
    </comment>
    <comment ref="P3" authorId="0" shapeId="0" xr:uid="{00000000-0006-0000-0500-000007000000}">
      <text>
        <r>
          <rPr>
            <b/>
            <sz val="9"/>
            <color indexed="81"/>
            <rFont val="宋体"/>
            <family val="3"/>
            <charset val="134"/>
          </rPr>
          <t>模具毛利报表-模具成本</t>
        </r>
      </text>
    </comment>
    <comment ref="Q3" authorId="0" shapeId="0" xr:uid="{00000000-0006-0000-0500-000008000000}">
      <text>
        <r>
          <rPr>
            <b/>
            <sz val="9"/>
            <color indexed="81"/>
            <rFont val="宋体"/>
            <family val="3"/>
            <charset val="134"/>
          </rPr>
          <t>模具毛利报表-模具成本</t>
        </r>
      </text>
    </comment>
    <comment ref="R3" authorId="0" shapeId="0" xr:uid="{00000000-0006-0000-0500-000009000000}">
      <text>
        <r>
          <rPr>
            <b/>
            <sz val="9"/>
            <color indexed="81"/>
            <rFont val="宋体"/>
            <family val="3"/>
            <charset val="134"/>
          </rPr>
          <t>主营业务成本-试模成本</t>
        </r>
      </text>
    </comment>
    <comment ref="S3" authorId="0" shapeId="0" xr:uid="{00000000-0006-0000-0500-00000A000000}">
      <text>
        <r>
          <rPr>
            <b/>
            <sz val="9"/>
            <color indexed="81"/>
            <rFont val="宋体"/>
            <family val="3"/>
            <charset val="134"/>
          </rPr>
          <t>研发投入-加工成本</t>
        </r>
      </text>
    </comment>
    <comment ref="T3" authorId="0" shapeId="0" xr:uid="{00000000-0006-0000-0500-00000B000000}">
      <text>
        <r>
          <rPr>
            <b/>
            <sz val="9"/>
            <color indexed="81"/>
            <rFont val="宋体"/>
            <family val="3"/>
            <charset val="134"/>
          </rPr>
          <t>直接人工成本
研发支出-投入材料成本
机器工时成本</t>
        </r>
      </text>
    </comment>
    <comment ref="U3" authorId="0" shapeId="0" xr:uid="{00000000-0006-0000-0500-00000C000000}">
      <text>
        <r>
          <rPr>
            <sz val="9"/>
            <color indexed="81"/>
            <rFont val="宋体"/>
            <family val="3"/>
            <charset val="134"/>
          </rPr>
          <t xml:space="preserve">=p+q+r+s+t
</t>
        </r>
      </text>
    </comment>
    <comment ref="V3" authorId="0" shapeId="0" xr:uid="{00000000-0006-0000-0500-00000D000000}">
      <text>
        <r>
          <rPr>
            <b/>
            <sz val="9"/>
            <color indexed="81"/>
            <rFont val="宋体"/>
            <family val="3"/>
            <charset val="134"/>
          </rPr>
          <t>=o-u</t>
        </r>
        <r>
          <rPr>
            <sz val="9"/>
            <color indexed="81"/>
            <rFont val="宋体"/>
            <family val="3"/>
            <charset val="134"/>
          </rPr>
          <t xml:space="preserve">
</t>
        </r>
      </text>
    </comment>
    <comment ref="Y3" authorId="0" shapeId="0" xr:uid="{00000000-0006-0000-0500-00000E000000}">
      <text>
        <r>
          <rPr>
            <b/>
            <sz val="9"/>
            <color indexed="81"/>
            <rFont val="宋体"/>
            <family val="3"/>
            <charset val="134"/>
          </rPr>
          <t>X+Y</t>
        </r>
        <r>
          <rPr>
            <sz val="9"/>
            <color indexed="81"/>
            <rFont val="宋体"/>
            <family val="3"/>
            <charset val="134"/>
          </rPr>
          <t xml:space="preserve">
</t>
        </r>
      </text>
    </comment>
    <comment ref="P10" authorId="0" shapeId="0" xr:uid="{00000000-0006-0000-0500-00000F000000}">
      <text>
        <r>
          <rPr>
            <sz val="9"/>
            <color indexed="81"/>
            <rFont val="宋体"/>
            <family val="3"/>
            <charset val="134"/>
          </rPr>
          <t xml:space="preserve">
1、注塑模具成本应为113680；
2、主营业务成本-模具成本113680未取到数</t>
        </r>
      </text>
    </comment>
    <comment ref="P13" authorId="0" shapeId="0" xr:uid="{00000000-0006-0000-0500-000010000000}">
      <text>
        <r>
          <rPr>
            <sz val="9"/>
            <color indexed="81"/>
            <rFont val="宋体"/>
            <family val="3"/>
            <charset val="134"/>
          </rPr>
          <t xml:space="preserve">
1、注塑模具成本应为836959.2；
2、主营业务成本-模具成本540176未取到数，主营业务成本-改模成本296783.2未取到数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作者</author>
  </authors>
  <commentList>
    <comment ref="J3" authorId="0" shapeId="0" xr:uid="{00000000-0006-0000-0600-000001000000}">
      <text>
        <r>
          <rPr>
            <b/>
            <sz val="9"/>
            <color indexed="81"/>
            <rFont val="宋体"/>
            <family val="3"/>
            <charset val="134"/>
          </rPr>
          <t>模具毛利报表收入</t>
        </r>
      </text>
    </comment>
    <comment ref="K3" authorId="0" shapeId="0" xr:uid="{00000000-0006-0000-0600-000002000000}">
      <text>
        <r>
          <rPr>
            <b/>
            <sz val="9"/>
            <color indexed="81"/>
            <rFont val="宋体"/>
            <family val="3"/>
            <charset val="134"/>
          </rPr>
          <t>模具毛利报表收入</t>
        </r>
        <r>
          <rPr>
            <sz val="9"/>
            <color indexed="81"/>
            <rFont val="宋体"/>
            <family val="3"/>
            <charset val="134"/>
          </rPr>
          <t xml:space="preserve">
</t>
        </r>
      </text>
    </comment>
    <comment ref="L3" authorId="0" shapeId="0" xr:uid="{00000000-0006-0000-0600-000003000000}">
      <text>
        <r>
          <rPr>
            <sz val="9"/>
            <color indexed="81"/>
            <rFont val="宋体"/>
            <family val="3"/>
            <charset val="134"/>
          </rPr>
          <t xml:space="preserve">主营业收入-打样收入
</t>
        </r>
      </text>
    </comment>
    <comment ref="M3" authorId="0" shapeId="0" xr:uid="{00000000-0006-0000-0600-000004000000}">
      <text>
        <r>
          <rPr>
            <sz val="9"/>
            <color indexed="81"/>
            <rFont val="宋体"/>
            <family val="3"/>
            <charset val="134"/>
          </rPr>
          <t xml:space="preserve">主营业务收入-夹具收入
</t>
        </r>
      </text>
    </comment>
    <comment ref="N3" authorId="0" shapeId="0" xr:uid="{00000000-0006-0000-0600-000005000000}">
      <text>
        <r>
          <rPr>
            <sz val="9"/>
            <color indexed="81"/>
            <rFont val="宋体"/>
            <family val="3"/>
            <charset val="134"/>
          </rPr>
          <t xml:space="preserve">主营业务收入-其他收入
</t>
        </r>
      </text>
    </comment>
    <comment ref="O3" authorId="0" shapeId="0" xr:uid="{00000000-0006-0000-0600-000006000000}">
      <text>
        <r>
          <rPr>
            <b/>
            <sz val="9"/>
            <color indexed="81"/>
            <rFont val="宋体"/>
            <family val="3"/>
            <charset val="134"/>
          </rPr>
          <t>=j+k+l+m+n</t>
        </r>
        <r>
          <rPr>
            <sz val="9"/>
            <color indexed="81"/>
            <rFont val="宋体"/>
            <family val="3"/>
            <charset val="134"/>
          </rPr>
          <t xml:space="preserve">
</t>
        </r>
      </text>
    </comment>
    <comment ref="P3" authorId="0" shapeId="0" xr:uid="{00000000-0006-0000-0600-000007000000}">
      <text>
        <r>
          <rPr>
            <b/>
            <sz val="9"/>
            <color indexed="81"/>
            <rFont val="宋体"/>
            <family val="3"/>
            <charset val="134"/>
          </rPr>
          <t>模具毛利报表-模具成本</t>
        </r>
      </text>
    </comment>
    <comment ref="Q3" authorId="0" shapeId="0" xr:uid="{00000000-0006-0000-0600-000008000000}">
      <text>
        <r>
          <rPr>
            <b/>
            <sz val="9"/>
            <color indexed="81"/>
            <rFont val="宋体"/>
            <family val="3"/>
            <charset val="134"/>
          </rPr>
          <t>模具毛利报表-模具成本</t>
        </r>
      </text>
    </comment>
    <comment ref="R3" authorId="0" shapeId="0" xr:uid="{00000000-0006-0000-0600-000009000000}">
      <text>
        <r>
          <rPr>
            <b/>
            <sz val="9"/>
            <color indexed="81"/>
            <rFont val="宋体"/>
            <family val="3"/>
            <charset val="134"/>
          </rPr>
          <t>主营业务成本-试模成本</t>
        </r>
      </text>
    </comment>
    <comment ref="S3" authorId="0" shapeId="0" xr:uid="{00000000-0006-0000-0600-00000A000000}">
      <text>
        <r>
          <rPr>
            <b/>
            <sz val="9"/>
            <color indexed="81"/>
            <rFont val="宋体"/>
            <family val="3"/>
            <charset val="134"/>
          </rPr>
          <t>研发投入-加工成本</t>
        </r>
      </text>
    </comment>
    <comment ref="T3" authorId="0" shapeId="0" xr:uid="{00000000-0006-0000-0600-00000B000000}">
      <text>
        <r>
          <rPr>
            <b/>
            <sz val="9"/>
            <color indexed="81"/>
            <rFont val="宋体"/>
            <family val="3"/>
            <charset val="134"/>
          </rPr>
          <t>直接人工成本
研发支出-投入材料成本
机器工时成本</t>
        </r>
      </text>
    </comment>
    <comment ref="U3" authorId="0" shapeId="0" xr:uid="{00000000-0006-0000-0600-00000C000000}">
      <text>
        <r>
          <rPr>
            <sz val="9"/>
            <color indexed="81"/>
            <rFont val="宋体"/>
            <family val="3"/>
            <charset val="134"/>
          </rPr>
          <t xml:space="preserve">=p+q+r+s+t
</t>
        </r>
      </text>
    </comment>
    <comment ref="V3" authorId="0" shapeId="0" xr:uid="{00000000-0006-0000-0600-00000D000000}">
      <text>
        <r>
          <rPr>
            <b/>
            <sz val="9"/>
            <color indexed="81"/>
            <rFont val="宋体"/>
            <family val="3"/>
            <charset val="134"/>
          </rPr>
          <t>=o-u</t>
        </r>
        <r>
          <rPr>
            <sz val="9"/>
            <color indexed="81"/>
            <rFont val="宋体"/>
            <family val="3"/>
            <charset val="134"/>
          </rPr>
          <t xml:space="preserve">
</t>
        </r>
      </text>
    </comment>
    <comment ref="Y3" authorId="0" shapeId="0" xr:uid="{00000000-0006-0000-0600-00000E000000}">
      <text>
        <r>
          <rPr>
            <b/>
            <sz val="9"/>
            <color indexed="81"/>
            <rFont val="宋体"/>
            <family val="3"/>
            <charset val="134"/>
          </rPr>
          <t>X+Y</t>
        </r>
        <r>
          <rPr>
            <sz val="9"/>
            <color indexed="81"/>
            <rFont val="宋体"/>
            <family val="3"/>
            <charset val="134"/>
          </rPr>
          <t xml:space="preserve">
</t>
        </r>
      </text>
    </comment>
    <comment ref="J6" authorId="0" shapeId="0" xr:uid="{00000000-0006-0000-0600-00000F000000}">
      <text>
        <r>
          <rPr>
            <sz val="9"/>
            <color indexed="81"/>
            <rFont val="宋体"/>
            <family val="3"/>
            <charset val="134"/>
          </rPr>
          <t xml:space="preserve">
1、主营业务收入-内销模具收入2860717.96未取到数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作者</author>
  </authors>
  <commentList>
    <comment ref="J3" authorId="0" shapeId="0" xr:uid="{00000000-0006-0000-0700-000001000000}">
      <text>
        <r>
          <rPr>
            <b/>
            <sz val="9"/>
            <color indexed="81"/>
            <rFont val="宋体"/>
            <family val="3"/>
            <charset val="134"/>
          </rPr>
          <t>模具毛利报表收入</t>
        </r>
      </text>
    </comment>
    <comment ref="K3" authorId="0" shapeId="0" xr:uid="{00000000-0006-0000-0700-000002000000}">
      <text>
        <r>
          <rPr>
            <b/>
            <sz val="9"/>
            <color indexed="81"/>
            <rFont val="宋体"/>
            <family val="3"/>
            <charset val="134"/>
          </rPr>
          <t>模具毛利报表收入</t>
        </r>
        <r>
          <rPr>
            <sz val="9"/>
            <color indexed="81"/>
            <rFont val="宋体"/>
            <family val="3"/>
            <charset val="134"/>
          </rPr>
          <t xml:space="preserve">
</t>
        </r>
      </text>
    </comment>
    <comment ref="L3" authorId="0" shapeId="0" xr:uid="{00000000-0006-0000-0700-000003000000}">
      <text>
        <r>
          <rPr>
            <sz val="9"/>
            <color indexed="81"/>
            <rFont val="宋体"/>
            <family val="3"/>
            <charset val="134"/>
          </rPr>
          <t xml:space="preserve">主营业收入-打样收入
</t>
        </r>
      </text>
    </comment>
    <comment ref="M3" authorId="0" shapeId="0" xr:uid="{00000000-0006-0000-0700-000004000000}">
      <text>
        <r>
          <rPr>
            <sz val="9"/>
            <color indexed="81"/>
            <rFont val="宋体"/>
            <family val="3"/>
            <charset val="134"/>
          </rPr>
          <t xml:space="preserve">主营业务收入-夹具收入
</t>
        </r>
      </text>
    </comment>
    <comment ref="N3" authorId="0" shapeId="0" xr:uid="{00000000-0006-0000-0700-000005000000}">
      <text>
        <r>
          <rPr>
            <sz val="9"/>
            <color indexed="81"/>
            <rFont val="宋体"/>
            <family val="3"/>
            <charset val="134"/>
          </rPr>
          <t xml:space="preserve">主营业务收入-其他收入
</t>
        </r>
      </text>
    </comment>
    <comment ref="O3" authorId="0" shapeId="0" xr:uid="{00000000-0006-0000-0700-000006000000}">
      <text>
        <r>
          <rPr>
            <b/>
            <sz val="9"/>
            <color indexed="81"/>
            <rFont val="宋体"/>
            <family val="3"/>
            <charset val="134"/>
          </rPr>
          <t>=j+k+l+m+n</t>
        </r>
        <r>
          <rPr>
            <sz val="9"/>
            <color indexed="81"/>
            <rFont val="宋体"/>
            <family val="3"/>
            <charset val="134"/>
          </rPr>
          <t xml:space="preserve">
</t>
        </r>
      </text>
    </comment>
    <comment ref="P3" authorId="0" shapeId="0" xr:uid="{00000000-0006-0000-0700-000007000000}">
      <text>
        <r>
          <rPr>
            <b/>
            <sz val="9"/>
            <color indexed="81"/>
            <rFont val="宋体"/>
            <family val="3"/>
            <charset val="134"/>
          </rPr>
          <t>模具毛利报表-模具成本</t>
        </r>
      </text>
    </comment>
    <comment ref="Q3" authorId="0" shapeId="0" xr:uid="{00000000-0006-0000-0700-000008000000}">
      <text>
        <r>
          <rPr>
            <b/>
            <sz val="9"/>
            <color indexed="81"/>
            <rFont val="宋体"/>
            <family val="3"/>
            <charset val="134"/>
          </rPr>
          <t>模具毛利报表-模具成本</t>
        </r>
      </text>
    </comment>
    <comment ref="R3" authorId="0" shapeId="0" xr:uid="{00000000-0006-0000-0700-000009000000}">
      <text>
        <r>
          <rPr>
            <b/>
            <sz val="9"/>
            <color indexed="81"/>
            <rFont val="宋体"/>
            <family val="3"/>
            <charset val="134"/>
          </rPr>
          <t>主营业务成本-试模成本</t>
        </r>
      </text>
    </comment>
    <comment ref="S3" authorId="0" shapeId="0" xr:uid="{00000000-0006-0000-0700-00000A000000}">
      <text>
        <r>
          <rPr>
            <b/>
            <sz val="9"/>
            <color indexed="81"/>
            <rFont val="宋体"/>
            <family val="3"/>
            <charset val="134"/>
          </rPr>
          <t>研发投入-加工成本</t>
        </r>
      </text>
    </comment>
    <comment ref="T3" authorId="0" shapeId="0" xr:uid="{00000000-0006-0000-0700-00000B000000}">
      <text>
        <r>
          <rPr>
            <b/>
            <sz val="9"/>
            <color indexed="81"/>
            <rFont val="宋体"/>
            <family val="3"/>
            <charset val="134"/>
          </rPr>
          <t>直接人工成本
研发支出-投入材料成本
机器工时成本</t>
        </r>
      </text>
    </comment>
    <comment ref="U3" authorId="0" shapeId="0" xr:uid="{00000000-0006-0000-0700-00000C000000}">
      <text>
        <r>
          <rPr>
            <sz val="9"/>
            <color indexed="81"/>
            <rFont val="宋体"/>
            <family val="3"/>
            <charset val="134"/>
          </rPr>
          <t xml:space="preserve">=p+q+r+s+t
</t>
        </r>
      </text>
    </comment>
    <comment ref="V3" authorId="0" shapeId="0" xr:uid="{00000000-0006-0000-0700-00000D000000}">
      <text>
        <r>
          <rPr>
            <b/>
            <sz val="9"/>
            <color indexed="81"/>
            <rFont val="宋体"/>
            <family val="3"/>
            <charset val="134"/>
          </rPr>
          <t>=o-u</t>
        </r>
        <r>
          <rPr>
            <sz val="9"/>
            <color indexed="81"/>
            <rFont val="宋体"/>
            <family val="3"/>
            <charset val="134"/>
          </rPr>
          <t xml:space="preserve">
</t>
        </r>
      </text>
    </comment>
    <comment ref="Y3" authorId="0" shapeId="0" xr:uid="{00000000-0006-0000-0700-00000E000000}">
      <text>
        <r>
          <rPr>
            <b/>
            <sz val="9"/>
            <color indexed="81"/>
            <rFont val="宋体"/>
            <family val="3"/>
            <charset val="134"/>
          </rPr>
          <t>X+Y</t>
        </r>
        <r>
          <rPr>
            <sz val="9"/>
            <color indexed="81"/>
            <rFont val="宋体"/>
            <family val="3"/>
            <charset val="134"/>
          </rPr>
          <t xml:space="preserve">
</t>
        </r>
      </text>
    </comment>
    <comment ref="P17" authorId="0" shapeId="0" xr:uid="{00000000-0006-0000-0700-00000F000000}">
      <text>
        <r>
          <rPr>
            <b/>
            <sz val="9"/>
            <color indexed="81"/>
            <rFont val="宋体"/>
            <family val="3"/>
            <charset val="134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1、注塑模具成本应为542740.26；
2、主营业务成本-模具成本194432未取到数</t>
        </r>
      </text>
    </comment>
    <comment ref="S21" authorId="0" shapeId="0" xr:uid="{00000000-0006-0000-0700-000010000000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1、量产前夹治具成本应为621344.21
2、研发支出-投入加工成本582750.57未取到数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作者</author>
  </authors>
  <commentList>
    <comment ref="J3" authorId="0" shapeId="0" xr:uid="{00000000-0006-0000-0800-000001000000}">
      <text>
        <r>
          <rPr>
            <b/>
            <sz val="9"/>
            <color indexed="81"/>
            <rFont val="宋体"/>
            <family val="3"/>
            <charset val="134"/>
          </rPr>
          <t>模具毛利报表收入</t>
        </r>
      </text>
    </comment>
    <comment ref="K3" authorId="0" shapeId="0" xr:uid="{00000000-0006-0000-0800-000002000000}">
      <text>
        <r>
          <rPr>
            <b/>
            <sz val="9"/>
            <color indexed="81"/>
            <rFont val="宋体"/>
            <family val="3"/>
            <charset val="134"/>
          </rPr>
          <t>模具毛利报表收入</t>
        </r>
        <r>
          <rPr>
            <sz val="9"/>
            <color indexed="81"/>
            <rFont val="宋体"/>
            <family val="3"/>
            <charset val="134"/>
          </rPr>
          <t xml:space="preserve">
</t>
        </r>
      </text>
    </comment>
    <comment ref="L3" authorId="0" shapeId="0" xr:uid="{00000000-0006-0000-0800-000003000000}">
      <text>
        <r>
          <rPr>
            <sz val="9"/>
            <color indexed="81"/>
            <rFont val="宋体"/>
            <family val="3"/>
            <charset val="134"/>
          </rPr>
          <t xml:space="preserve">主营业收入-打样收入
</t>
        </r>
      </text>
    </comment>
    <comment ref="M3" authorId="0" shapeId="0" xr:uid="{00000000-0006-0000-0800-000004000000}">
      <text>
        <r>
          <rPr>
            <sz val="9"/>
            <color indexed="81"/>
            <rFont val="宋体"/>
            <family val="3"/>
            <charset val="134"/>
          </rPr>
          <t xml:space="preserve">主营业务收入-夹具收入
</t>
        </r>
      </text>
    </comment>
    <comment ref="N3" authorId="0" shapeId="0" xr:uid="{00000000-0006-0000-0800-000005000000}">
      <text>
        <r>
          <rPr>
            <sz val="9"/>
            <color indexed="81"/>
            <rFont val="宋体"/>
            <family val="3"/>
            <charset val="134"/>
          </rPr>
          <t xml:space="preserve">主营业务收入-其他收入
</t>
        </r>
      </text>
    </comment>
    <comment ref="O3" authorId="0" shapeId="0" xr:uid="{00000000-0006-0000-0800-000006000000}">
      <text>
        <r>
          <rPr>
            <b/>
            <sz val="9"/>
            <color indexed="81"/>
            <rFont val="宋体"/>
            <family val="3"/>
            <charset val="134"/>
          </rPr>
          <t>=j+k+l+m+n</t>
        </r>
        <r>
          <rPr>
            <sz val="9"/>
            <color indexed="81"/>
            <rFont val="宋体"/>
            <family val="3"/>
            <charset val="134"/>
          </rPr>
          <t xml:space="preserve">
</t>
        </r>
      </text>
    </comment>
    <comment ref="P3" authorId="0" shapeId="0" xr:uid="{00000000-0006-0000-0800-000007000000}">
      <text>
        <r>
          <rPr>
            <b/>
            <sz val="9"/>
            <color indexed="81"/>
            <rFont val="宋体"/>
            <family val="3"/>
            <charset val="134"/>
          </rPr>
          <t>模具毛利报表-模具成本</t>
        </r>
      </text>
    </comment>
    <comment ref="Q3" authorId="0" shapeId="0" xr:uid="{00000000-0006-0000-0800-000008000000}">
      <text>
        <r>
          <rPr>
            <b/>
            <sz val="9"/>
            <color indexed="81"/>
            <rFont val="宋体"/>
            <family val="3"/>
            <charset val="134"/>
          </rPr>
          <t>模具毛利报表-模具成本</t>
        </r>
      </text>
    </comment>
    <comment ref="R3" authorId="0" shapeId="0" xr:uid="{00000000-0006-0000-0800-000009000000}">
      <text>
        <r>
          <rPr>
            <b/>
            <sz val="9"/>
            <color indexed="81"/>
            <rFont val="宋体"/>
            <family val="3"/>
            <charset val="134"/>
          </rPr>
          <t>主营业务成本-试模成本</t>
        </r>
      </text>
    </comment>
    <comment ref="S3" authorId="0" shapeId="0" xr:uid="{00000000-0006-0000-0800-00000A000000}">
      <text>
        <r>
          <rPr>
            <b/>
            <sz val="9"/>
            <color indexed="81"/>
            <rFont val="宋体"/>
            <family val="3"/>
            <charset val="134"/>
          </rPr>
          <t>研发投入-加工成本</t>
        </r>
      </text>
    </comment>
    <comment ref="T3" authorId="0" shapeId="0" xr:uid="{00000000-0006-0000-0800-00000B000000}">
      <text>
        <r>
          <rPr>
            <b/>
            <sz val="9"/>
            <color indexed="81"/>
            <rFont val="宋体"/>
            <family val="3"/>
            <charset val="134"/>
          </rPr>
          <t>直接人工成本
研发支出-投入材料成本
机器工时成本</t>
        </r>
      </text>
    </comment>
    <comment ref="U3" authorId="0" shapeId="0" xr:uid="{00000000-0006-0000-0800-00000C000000}">
      <text>
        <r>
          <rPr>
            <sz val="9"/>
            <color indexed="81"/>
            <rFont val="宋体"/>
            <family val="3"/>
            <charset val="134"/>
          </rPr>
          <t xml:space="preserve">=p+q+r+s+t
</t>
        </r>
      </text>
    </comment>
    <comment ref="V3" authorId="0" shapeId="0" xr:uid="{00000000-0006-0000-0800-00000D000000}">
      <text>
        <r>
          <rPr>
            <b/>
            <sz val="9"/>
            <color indexed="81"/>
            <rFont val="宋体"/>
            <family val="3"/>
            <charset val="134"/>
          </rPr>
          <t>=o-u</t>
        </r>
        <r>
          <rPr>
            <sz val="9"/>
            <color indexed="81"/>
            <rFont val="宋体"/>
            <family val="3"/>
            <charset val="134"/>
          </rPr>
          <t xml:space="preserve">
</t>
        </r>
      </text>
    </comment>
    <comment ref="Y3" authorId="0" shapeId="0" xr:uid="{00000000-0006-0000-0800-00000E000000}">
      <text>
        <r>
          <rPr>
            <b/>
            <sz val="9"/>
            <color indexed="81"/>
            <rFont val="宋体"/>
            <family val="3"/>
            <charset val="134"/>
          </rPr>
          <t>X+Y</t>
        </r>
        <r>
          <rPr>
            <sz val="9"/>
            <color indexed="81"/>
            <rFont val="宋体"/>
            <family val="3"/>
            <charset val="134"/>
          </rPr>
          <t xml:space="preserve">
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作者</author>
  </authors>
  <commentList>
    <comment ref="J3" authorId="0" shapeId="0" xr:uid="{00000000-0006-0000-0900-000001000000}">
      <text>
        <r>
          <rPr>
            <b/>
            <sz val="9"/>
            <color indexed="81"/>
            <rFont val="宋体"/>
            <family val="3"/>
            <charset val="134"/>
          </rPr>
          <t>模具毛利报表收入</t>
        </r>
      </text>
    </comment>
    <comment ref="K3" authorId="0" shapeId="0" xr:uid="{00000000-0006-0000-0900-000002000000}">
      <text>
        <r>
          <rPr>
            <b/>
            <sz val="9"/>
            <color indexed="81"/>
            <rFont val="宋体"/>
            <family val="3"/>
            <charset val="134"/>
          </rPr>
          <t>模具毛利报表收入</t>
        </r>
        <r>
          <rPr>
            <sz val="9"/>
            <color indexed="81"/>
            <rFont val="宋体"/>
            <family val="3"/>
            <charset val="134"/>
          </rPr>
          <t xml:space="preserve">
</t>
        </r>
      </text>
    </comment>
    <comment ref="L3" authorId="0" shapeId="0" xr:uid="{00000000-0006-0000-0900-000003000000}">
      <text>
        <r>
          <rPr>
            <sz val="9"/>
            <color indexed="81"/>
            <rFont val="宋体"/>
            <family val="3"/>
            <charset val="134"/>
          </rPr>
          <t xml:space="preserve">主营业收入-打样收入
</t>
        </r>
      </text>
    </comment>
    <comment ref="M3" authorId="0" shapeId="0" xr:uid="{00000000-0006-0000-0900-000004000000}">
      <text>
        <r>
          <rPr>
            <sz val="9"/>
            <color indexed="81"/>
            <rFont val="宋体"/>
            <family val="3"/>
            <charset val="134"/>
          </rPr>
          <t xml:space="preserve">主营业务收入-夹具收入
</t>
        </r>
      </text>
    </comment>
    <comment ref="N3" authorId="0" shapeId="0" xr:uid="{00000000-0006-0000-0900-000005000000}">
      <text>
        <r>
          <rPr>
            <sz val="9"/>
            <color indexed="81"/>
            <rFont val="宋体"/>
            <family val="3"/>
            <charset val="134"/>
          </rPr>
          <t xml:space="preserve">主营业务收入-其他收入
</t>
        </r>
      </text>
    </comment>
    <comment ref="O3" authorId="0" shapeId="0" xr:uid="{00000000-0006-0000-0900-000006000000}">
      <text>
        <r>
          <rPr>
            <b/>
            <sz val="9"/>
            <color indexed="81"/>
            <rFont val="宋体"/>
            <family val="3"/>
            <charset val="134"/>
          </rPr>
          <t>=j+k+l+m+n</t>
        </r>
        <r>
          <rPr>
            <sz val="9"/>
            <color indexed="81"/>
            <rFont val="宋体"/>
            <family val="3"/>
            <charset val="134"/>
          </rPr>
          <t xml:space="preserve">
</t>
        </r>
      </text>
    </comment>
    <comment ref="P3" authorId="0" shapeId="0" xr:uid="{00000000-0006-0000-0900-000007000000}">
      <text>
        <r>
          <rPr>
            <b/>
            <sz val="9"/>
            <color indexed="81"/>
            <rFont val="宋体"/>
            <family val="3"/>
            <charset val="134"/>
          </rPr>
          <t>模具毛利报表-模具成本</t>
        </r>
      </text>
    </comment>
    <comment ref="Q3" authorId="0" shapeId="0" xr:uid="{00000000-0006-0000-0900-000008000000}">
      <text>
        <r>
          <rPr>
            <b/>
            <sz val="9"/>
            <color indexed="81"/>
            <rFont val="宋体"/>
            <family val="3"/>
            <charset val="134"/>
          </rPr>
          <t>模具毛利报表-模具成本</t>
        </r>
      </text>
    </comment>
    <comment ref="R3" authorId="0" shapeId="0" xr:uid="{00000000-0006-0000-0900-000009000000}">
      <text>
        <r>
          <rPr>
            <b/>
            <sz val="9"/>
            <color indexed="81"/>
            <rFont val="宋体"/>
            <family val="3"/>
            <charset val="134"/>
          </rPr>
          <t>主营业务成本-试模成本</t>
        </r>
      </text>
    </comment>
    <comment ref="S3" authorId="0" shapeId="0" xr:uid="{00000000-0006-0000-0900-00000A000000}">
      <text>
        <r>
          <rPr>
            <b/>
            <sz val="9"/>
            <color indexed="81"/>
            <rFont val="宋体"/>
            <family val="3"/>
            <charset val="134"/>
          </rPr>
          <t>研发投入-加工成本</t>
        </r>
      </text>
    </comment>
    <comment ref="T3" authorId="0" shapeId="0" xr:uid="{00000000-0006-0000-0900-00000B000000}">
      <text>
        <r>
          <rPr>
            <b/>
            <sz val="9"/>
            <color indexed="81"/>
            <rFont val="宋体"/>
            <family val="3"/>
            <charset val="134"/>
          </rPr>
          <t>直接人工成本
研发支出-投入材料成本
机器工时成本</t>
        </r>
      </text>
    </comment>
    <comment ref="U3" authorId="0" shapeId="0" xr:uid="{00000000-0006-0000-0900-00000C000000}">
      <text>
        <r>
          <rPr>
            <sz val="9"/>
            <color indexed="81"/>
            <rFont val="宋体"/>
            <family val="3"/>
            <charset val="134"/>
          </rPr>
          <t xml:space="preserve">=p+q+r+s+t
</t>
        </r>
      </text>
    </comment>
    <comment ref="V3" authorId="0" shapeId="0" xr:uid="{00000000-0006-0000-0900-00000D000000}">
      <text>
        <r>
          <rPr>
            <b/>
            <sz val="9"/>
            <color indexed="81"/>
            <rFont val="宋体"/>
            <family val="3"/>
            <charset val="134"/>
          </rPr>
          <t>=o-u</t>
        </r>
        <r>
          <rPr>
            <sz val="9"/>
            <color indexed="81"/>
            <rFont val="宋体"/>
            <family val="3"/>
            <charset val="134"/>
          </rPr>
          <t xml:space="preserve">
</t>
        </r>
      </text>
    </comment>
    <comment ref="Y3" authorId="0" shapeId="0" xr:uid="{00000000-0006-0000-0900-00000E000000}">
      <text>
        <r>
          <rPr>
            <b/>
            <sz val="9"/>
            <color indexed="81"/>
            <rFont val="宋体"/>
            <family val="3"/>
            <charset val="134"/>
          </rPr>
          <t>X+Y</t>
        </r>
        <r>
          <rPr>
            <sz val="9"/>
            <color indexed="81"/>
            <rFont val="宋体"/>
            <family val="3"/>
            <charset val="134"/>
          </rPr>
          <t xml:space="preserve">
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作者</author>
  </authors>
  <commentList>
    <comment ref="J3" authorId="0" shapeId="0" xr:uid="{00000000-0006-0000-0A00-000001000000}">
      <text>
        <r>
          <rPr>
            <b/>
            <sz val="9"/>
            <color indexed="81"/>
            <rFont val="宋体"/>
            <family val="3"/>
            <charset val="134"/>
          </rPr>
          <t>模具毛利报表收入</t>
        </r>
      </text>
    </comment>
    <comment ref="K3" authorId="0" shapeId="0" xr:uid="{00000000-0006-0000-0A00-000002000000}">
      <text>
        <r>
          <rPr>
            <b/>
            <sz val="9"/>
            <color indexed="81"/>
            <rFont val="宋体"/>
            <family val="3"/>
            <charset val="134"/>
          </rPr>
          <t>模具毛利报表收入</t>
        </r>
        <r>
          <rPr>
            <sz val="9"/>
            <color indexed="81"/>
            <rFont val="宋体"/>
            <family val="3"/>
            <charset val="134"/>
          </rPr>
          <t xml:space="preserve">
</t>
        </r>
      </text>
    </comment>
    <comment ref="L3" authorId="0" shapeId="0" xr:uid="{00000000-0006-0000-0A00-000003000000}">
      <text>
        <r>
          <rPr>
            <sz val="9"/>
            <color indexed="81"/>
            <rFont val="宋体"/>
            <family val="3"/>
            <charset val="134"/>
          </rPr>
          <t xml:space="preserve">主营业收入-打样收入
</t>
        </r>
      </text>
    </comment>
    <comment ref="M3" authorId="0" shapeId="0" xr:uid="{00000000-0006-0000-0A00-000004000000}">
      <text>
        <r>
          <rPr>
            <sz val="9"/>
            <color indexed="81"/>
            <rFont val="宋体"/>
            <family val="3"/>
            <charset val="134"/>
          </rPr>
          <t xml:space="preserve">主营业务收入-夹具收入
</t>
        </r>
      </text>
    </comment>
    <comment ref="N3" authorId="0" shapeId="0" xr:uid="{00000000-0006-0000-0A00-000005000000}">
      <text>
        <r>
          <rPr>
            <sz val="9"/>
            <color indexed="81"/>
            <rFont val="宋体"/>
            <family val="3"/>
            <charset val="134"/>
          </rPr>
          <t xml:space="preserve">主营业务收入-其他收入
</t>
        </r>
      </text>
    </comment>
    <comment ref="O3" authorId="0" shapeId="0" xr:uid="{00000000-0006-0000-0A00-000006000000}">
      <text>
        <r>
          <rPr>
            <b/>
            <sz val="9"/>
            <color indexed="81"/>
            <rFont val="宋体"/>
            <family val="3"/>
            <charset val="134"/>
          </rPr>
          <t>=j+k+l+m+n</t>
        </r>
        <r>
          <rPr>
            <sz val="9"/>
            <color indexed="81"/>
            <rFont val="宋体"/>
            <family val="3"/>
            <charset val="134"/>
          </rPr>
          <t xml:space="preserve">
</t>
        </r>
      </text>
    </comment>
    <comment ref="P3" authorId="0" shapeId="0" xr:uid="{00000000-0006-0000-0A00-000007000000}">
      <text>
        <r>
          <rPr>
            <b/>
            <sz val="9"/>
            <color indexed="81"/>
            <rFont val="宋体"/>
            <family val="3"/>
            <charset val="134"/>
          </rPr>
          <t>模具毛利报表-模具成本</t>
        </r>
      </text>
    </comment>
    <comment ref="Q3" authorId="0" shapeId="0" xr:uid="{00000000-0006-0000-0A00-000008000000}">
      <text>
        <r>
          <rPr>
            <b/>
            <sz val="9"/>
            <color indexed="81"/>
            <rFont val="宋体"/>
            <family val="3"/>
            <charset val="134"/>
          </rPr>
          <t>模具毛利报表-模具成本</t>
        </r>
      </text>
    </comment>
    <comment ref="R3" authorId="0" shapeId="0" xr:uid="{00000000-0006-0000-0A00-000009000000}">
      <text>
        <r>
          <rPr>
            <b/>
            <sz val="9"/>
            <color indexed="81"/>
            <rFont val="宋体"/>
            <family val="3"/>
            <charset val="134"/>
          </rPr>
          <t>主营业务成本-试模成本</t>
        </r>
      </text>
    </comment>
    <comment ref="S3" authorId="0" shapeId="0" xr:uid="{00000000-0006-0000-0A00-00000A000000}">
      <text>
        <r>
          <rPr>
            <b/>
            <sz val="9"/>
            <color indexed="81"/>
            <rFont val="宋体"/>
            <family val="3"/>
            <charset val="134"/>
          </rPr>
          <t>研发投入-加工成本</t>
        </r>
      </text>
    </comment>
    <comment ref="T3" authorId="0" shapeId="0" xr:uid="{00000000-0006-0000-0A00-00000B000000}">
      <text>
        <r>
          <rPr>
            <b/>
            <sz val="9"/>
            <color indexed="81"/>
            <rFont val="宋体"/>
            <family val="3"/>
            <charset val="134"/>
          </rPr>
          <t>直接人工成本
研发支出-投入材料成本
机器工时成本</t>
        </r>
      </text>
    </comment>
    <comment ref="U3" authorId="0" shapeId="0" xr:uid="{00000000-0006-0000-0A00-00000C000000}">
      <text>
        <r>
          <rPr>
            <sz val="9"/>
            <color indexed="81"/>
            <rFont val="宋体"/>
            <family val="3"/>
            <charset val="134"/>
          </rPr>
          <t xml:space="preserve">=p+q+r+s+t
</t>
        </r>
      </text>
    </comment>
    <comment ref="V3" authorId="0" shapeId="0" xr:uid="{00000000-0006-0000-0A00-00000D000000}">
      <text>
        <r>
          <rPr>
            <b/>
            <sz val="9"/>
            <color indexed="81"/>
            <rFont val="宋体"/>
            <family val="3"/>
            <charset val="134"/>
          </rPr>
          <t>=o-u</t>
        </r>
        <r>
          <rPr>
            <sz val="9"/>
            <color indexed="81"/>
            <rFont val="宋体"/>
            <family val="3"/>
            <charset val="134"/>
          </rPr>
          <t xml:space="preserve">
</t>
        </r>
      </text>
    </comment>
    <comment ref="Y3" authorId="0" shapeId="0" xr:uid="{00000000-0006-0000-0A00-00000E000000}">
      <text>
        <r>
          <rPr>
            <b/>
            <sz val="9"/>
            <color indexed="81"/>
            <rFont val="宋体"/>
            <family val="3"/>
            <charset val="134"/>
          </rPr>
          <t>X+Y</t>
        </r>
        <r>
          <rPr>
            <sz val="9"/>
            <color indexed="81"/>
            <rFont val="宋体"/>
            <family val="3"/>
            <charset val="134"/>
          </rPr>
          <t xml:space="preserve">
</t>
        </r>
      </text>
    </comment>
    <comment ref="P17" authorId="0" shapeId="0" xr:uid="{00000000-0006-0000-0A00-00000F000000}">
      <text>
        <r>
          <rPr>
            <sz val="9"/>
            <color indexed="81"/>
            <rFont val="宋体"/>
            <family val="3"/>
            <charset val="134"/>
          </rPr>
          <t xml:space="preserve">
1、注塑模具成本372400；
2、主营业务成本-模具成本372400未未取到数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作者</author>
  </authors>
  <commentList>
    <comment ref="J3" authorId="0" shapeId="0" xr:uid="{00000000-0006-0000-0B00-000001000000}">
      <text>
        <r>
          <rPr>
            <b/>
            <sz val="9"/>
            <color indexed="81"/>
            <rFont val="宋体"/>
            <family val="3"/>
            <charset val="134"/>
          </rPr>
          <t>模具毛利报表收入</t>
        </r>
      </text>
    </comment>
    <comment ref="K3" authorId="0" shapeId="0" xr:uid="{00000000-0006-0000-0B00-000002000000}">
      <text>
        <r>
          <rPr>
            <b/>
            <sz val="9"/>
            <color indexed="81"/>
            <rFont val="宋体"/>
            <family val="3"/>
            <charset val="134"/>
          </rPr>
          <t>模具毛利报表收入</t>
        </r>
        <r>
          <rPr>
            <sz val="9"/>
            <color indexed="81"/>
            <rFont val="宋体"/>
            <family val="3"/>
            <charset val="134"/>
          </rPr>
          <t xml:space="preserve">
</t>
        </r>
      </text>
    </comment>
    <comment ref="L3" authorId="0" shapeId="0" xr:uid="{00000000-0006-0000-0B00-000003000000}">
      <text>
        <r>
          <rPr>
            <sz val="9"/>
            <color indexed="81"/>
            <rFont val="宋体"/>
            <family val="3"/>
            <charset val="134"/>
          </rPr>
          <t xml:space="preserve">主营业收入-打样收入
</t>
        </r>
      </text>
    </comment>
    <comment ref="M3" authorId="0" shapeId="0" xr:uid="{00000000-0006-0000-0B00-000004000000}">
      <text>
        <r>
          <rPr>
            <sz val="9"/>
            <color indexed="81"/>
            <rFont val="宋体"/>
            <family val="3"/>
            <charset val="134"/>
          </rPr>
          <t xml:space="preserve">主营业务收入-夹具收入
</t>
        </r>
      </text>
    </comment>
    <comment ref="N3" authorId="0" shapeId="0" xr:uid="{00000000-0006-0000-0B00-000005000000}">
      <text>
        <r>
          <rPr>
            <sz val="9"/>
            <color indexed="81"/>
            <rFont val="宋体"/>
            <family val="3"/>
            <charset val="134"/>
          </rPr>
          <t xml:space="preserve">主营业务收入-其他收入
</t>
        </r>
      </text>
    </comment>
    <comment ref="O3" authorId="0" shapeId="0" xr:uid="{00000000-0006-0000-0B00-000006000000}">
      <text>
        <r>
          <rPr>
            <b/>
            <sz val="9"/>
            <color indexed="81"/>
            <rFont val="宋体"/>
            <family val="3"/>
            <charset val="134"/>
          </rPr>
          <t>=j+k+l+m+n</t>
        </r>
        <r>
          <rPr>
            <sz val="9"/>
            <color indexed="81"/>
            <rFont val="宋体"/>
            <family val="3"/>
            <charset val="134"/>
          </rPr>
          <t xml:space="preserve">
</t>
        </r>
      </text>
    </comment>
    <comment ref="P3" authorId="0" shapeId="0" xr:uid="{00000000-0006-0000-0B00-000007000000}">
      <text>
        <r>
          <rPr>
            <b/>
            <sz val="9"/>
            <color indexed="81"/>
            <rFont val="宋体"/>
            <family val="3"/>
            <charset val="134"/>
          </rPr>
          <t>模具毛利报表-模具成本</t>
        </r>
      </text>
    </comment>
    <comment ref="Q3" authorId="0" shapeId="0" xr:uid="{00000000-0006-0000-0B00-000008000000}">
      <text>
        <r>
          <rPr>
            <b/>
            <sz val="9"/>
            <color indexed="81"/>
            <rFont val="宋体"/>
            <family val="3"/>
            <charset val="134"/>
          </rPr>
          <t>模具毛利报表-模具成本</t>
        </r>
      </text>
    </comment>
    <comment ref="R3" authorId="0" shapeId="0" xr:uid="{00000000-0006-0000-0B00-000009000000}">
      <text>
        <r>
          <rPr>
            <b/>
            <sz val="9"/>
            <color indexed="81"/>
            <rFont val="宋体"/>
            <family val="3"/>
            <charset val="134"/>
          </rPr>
          <t>主营业务成本-试模成本</t>
        </r>
      </text>
    </comment>
    <comment ref="S3" authorId="0" shapeId="0" xr:uid="{00000000-0006-0000-0B00-00000A000000}">
      <text>
        <r>
          <rPr>
            <b/>
            <sz val="9"/>
            <color indexed="81"/>
            <rFont val="宋体"/>
            <family val="3"/>
            <charset val="134"/>
          </rPr>
          <t>研发投入-加工成本</t>
        </r>
      </text>
    </comment>
    <comment ref="T3" authorId="0" shapeId="0" xr:uid="{00000000-0006-0000-0B00-00000B000000}">
      <text>
        <r>
          <rPr>
            <b/>
            <sz val="9"/>
            <color indexed="81"/>
            <rFont val="宋体"/>
            <family val="3"/>
            <charset val="134"/>
          </rPr>
          <t>直接人工成本
研发支出-投入材料成本
机器工时成本</t>
        </r>
      </text>
    </comment>
    <comment ref="U3" authorId="0" shapeId="0" xr:uid="{00000000-0006-0000-0B00-00000C000000}">
      <text>
        <r>
          <rPr>
            <sz val="9"/>
            <color indexed="81"/>
            <rFont val="宋体"/>
            <family val="3"/>
            <charset val="134"/>
          </rPr>
          <t xml:space="preserve">=p+q+r+s+t
</t>
        </r>
      </text>
    </comment>
    <comment ref="V3" authorId="0" shapeId="0" xr:uid="{00000000-0006-0000-0B00-00000D000000}">
      <text>
        <r>
          <rPr>
            <b/>
            <sz val="9"/>
            <color indexed="81"/>
            <rFont val="宋体"/>
            <family val="3"/>
            <charset val="134"/>
          </rPr>
          <t>=o-u</t>
        </r>
        <r>
          <rPr>
            <sz val="9"/>
            <color indexed="81"/>
            <rFont val="宋体"/>
            <family val="3"/>
            <charset val="134"/>
          </rPr>
          <t xml:space="preserve">
</t>
        </r>
      </text>
    </comment>
    <comment ref="Y3" authorId="0" shapeId="0" xr:uid="{00000000-0006-0000-0B00-00000E000000}">
      <text>
        <r>
          <rPr>
            <b/>
            <sz val="9"/>
            <color indexed="81"/>
            <rFont val="宋体"/>
            <family val="3"/>
            <charset val="134"/>
          </rPr>
          <t>X+Y</t>
        </r>
        <r>
          <rPr>
            <sz val="9"/>
            <color indexed="81"/>
            <rFont val="宋体"/>
            <family val="3"/>
            <charset val="134"/>
          </rPr>
          <t xml:space="preserve">
</t>
        </r>
      </text>
    </comment>
    <comment ref="J29" authorId="0" shapeId="0" xr:uid="{00000000-0006-0000-0B00-00000F000000}">
      <text>
        <r>
          <rPr>
            <sz val="9"/>
            <color indexed="81"/>
            <rFont val="宋体"/>
            <family val="3"/>
            <charset val="134"/>
          </rPr>
          <t xml:space="preserve">1、注塑模具收入应为758928.57；
2、主营业务收入-内销模具收入455357.14未取到数
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作者</author>
  </authors>
  <commentList>
    <comment ref="J3" authorId="0" shapeId="0" xr:uid="{00000000-0006-0000-0C00-000001000000}">
      <text>
        <r>
          <rPr>
            <b/>
            <sz val="9"/>
            <color indexed="81"/>
            <rFont val="宋体"/>
            <family val="3"/>
            <charset val="134"/>
          </rPr>
          <t>模具毛利报表收入</t>
        </r>
      </text>
    </comment>
    <comment ref="K3" authorId="0" shapeId="0" xr:uid="{00000000-0006-0000-0C00-000002000000}">
      <text>
        <r>
          <rPr>
            <b/>
            <sz val="9"/>
            <color indexed="81"/>
            <rFont val="宋体"/>
            <family val="3"/>
            <charset val="134"/>
          </rPr>
          <t>模具毛利报表收入</t>
        </r>
        <r>
          <rPr>
            <sz val="9"/>
            <color indexed="81"/>
            <rFont val="宋体"/>
            <family val="3"/>
            <charset val="134"/>
          </rPr>
          <t xml:space="preserve">
</t>
        </r>
      </text>
    </comment>
    <comment ref="L3" authorId="0" shapeId="0" xr:uid="{00000000-0006-0000-0C00-000003000000}">
      <text>
        <r>
          <rPr>
            <sz val="9"/>
            <color indexed="81"/>
            <rFont val="宋体"/>
            <family val="3"/>
            <charset val="134"/>
          </rPr>
          <t xml:space="preserve">主营业收入-打样收入
</t>
        </r>
      </text>
    </comment>
    <comment ref="M3" authorId="0" shapeId="0" xr:uid="{00000000-0006-0000-0C00-000004000000}">
      <text>
        <r>
          <rPr>
            <sz val="9"/>
            <color indexed="81"/>
            <rFont val="宋体"/>
            <family val="3"/>
            <charset val="134"/>
          </rPr>
          <t xml:space="preserve">主营业务收入-夹具收入
</t>
        </r>
      </text>
    </comment>
    <comment ref="N3" authorId="0" shapeId="0" xr:uid="{00000000-0006-0000-0C00-000005000000}">
      <text>
        <r>
          <rPr>
            <sz val="9"/>
            <color indexed="81"/>
            <rFont val="宋体"/>
            <family val="3"/>
            <charset val="134"/>
          </rPr>
          <t xml:space="preserve">主营业务收入-其他收入
</t>
        </r>
      </text>
    </comment>
    <comment ref="O3" authorId="0" shapeId="0" xr:uid="{00000000-0006-0000-0C00-000006000000}">
      <text>
        <r>
          <rPr>
            <b/>
            <sz val="9"/>
            <color indexed="81"/>
            <rFont val="宋体"/>
            <family val="3"/>
            <charset val="134"/>
          </rPr>
          <t>=j+k+l+m+n</t>
        </r>
        <r>
          <rPr>
            <sz val="9"/>
            <color indexed="81"/>
            <rFont val="宋体"/>
            <family val="3"/>
            <charset val="134"/>
          </rPr>
          <t xml:space="preserve">
</t>
        </r>
      </text>
    </comment>
    <comment ref="P3" authorId="0" shapeId="0" xr:uid="{00000000-0006-0000-0C00-000007000000}">
      <text>
        <r>
          <rPr>
            <b/>
            <sz val="9"/>
            <color indexed="81"/>
            <rFont val="宋体"/>
            <family val="3"/>
            <charset val="134"/>
          </rPr>
          <t>模具毛利报表-模具成本</t>
        </r>
      </text>
    </comment>
    <comment ref="Q3" authorId="0" shapeId="0" xr:uid="{00000000-0006-0000-0C00-000008000000}">
      <text>
        <r>
          <rPr>
            <b/>
            <sz val="9"/>
            <color indexed="81"/>
            <rFont val="宋体"/>
            <family val="3"/>
            <charset val="134"/>
          </rPr>
          <t>模具毛利报表-模具成本</t>
        </r>
      </text>
    </comment>
    <comment ref="R3" authorId="0" shapeId="0" xr:uid="{00000000-0006-0000-0C00-000009000000}">
      <text>
        <r>
          <rPr>
            <b/>
            <sz val="9"/>
            <color indexed="81"/>
            <rFont val="宋体"/>
            <family val="3"/>
            <charset val="134"/>
          </rPr>
          <t>主营业务成本-试模成本</t>
        </r>
      </text>
    </comment>
    <comment ref="S3" authorId="0" shapeId="0" xr:uid="{00000000-0006-0000-0C00-00000A000000}">
      <text>
        <r>
          <rPr>
            <b/>
            <sz val="9"/>
            <color indexed="81"/>
            <rFont val="宋体"/>
            <family val="3"/>
            <charset val="134"/>
          </rPr>
          <t>研发投入-加工成本</t>
        </r>
      </text>
    </comment>
    <comment ref="T3" authorId="0" shapeId="0" xr:uid="{00000000-0006-0000-0C00-00000B000000}">
      <text>
        <r>
          <rPr>
            <b/>
            <sz val="9"/>
            <color indexed="81"/>
            <rFont val="宋体"/>
            <family val="3"/>
            <charset val="134"/>
          </rPr>
          <t>直接人工成本
研发支出-投入材料成本
机器工时成本</t>
        </r>
      </text>
    </comment>
    <comment ref="U3" authorId="0" shapeId="0" xr:uid="{00000000-0006-0000-0C00-00000C000000}">
      <text>
        <r>
          <rPr>
            <sz val="9"/>
            <color indexed="81"/>
            <rFont val="宋体"/>
            <family val="3"/>
            <charset val="134"/>
          </rPr>
          <t xml:space="preserve">=p+q+r+s+t
</t>
        </r>
      </text>
    </comment>
    <comment ref="V3" authorId="0" shapeId="0" xr:uid="{00000000-0006-0000-0C00-00000D000000}">
      <text>
        <r>
          <rPr>
            <b/>
            <sz val="9"/>
            <color indexed="81"/>
            <rFont val="宋体"/>
            <family val="3"/>
            <charset val="134"/>
          </rPr>
          <t>=o-u</t>
        </r>
        <r>
          <rPr>
            <sz val="9"/>
            <color indexed="81"/>
            <rFont val="宋体"/>
            <family val="3"/>
            <charset val="134"/>
          </rPr>
          <t xml:space="preserve">
</t>
        </r>
      </text>
    </comment>
    <comment ref="Y3" authorId="0" shapeId="0" xr:uid="{00000000-0006-0000-0C00-00000E000000}">
      <text>
        <r>
          <rPr>
            <b/>
            <sz val="9"/>
            <color indexed="81"/>
            <rFont val="宋体"/>
            <family val="3"/>
            <charset val="134"/>
          </rPr>
          <t>X+Y</t>
        </r>
        <r>
          <rPr>
            <sz val="9"/>
            <color indexed="81"/>
            <rFont val="宋体"/>
            <family val="3"/>
            <charset val="134"/>
          </rPr>
          <t xml:space="preserve">
</t>
        </r>
      </text>
    </comment>
    <comment ref="S9" authorId="0" shapeId="0" xr:uid="{00000000-0006-0000-0C00-00000F000000}">
      <text>
        <r>
          <rPr>
            <sz val="9"/>
            <color indexed="81"/>
            <rFont val="宋体"/>
            <family val="3"/>
            <charset val="134"/>
          </rPr>
          <t>1、量产前夹治具成本应为163680.94</t>
        </r>
        <r>
          <rPr>
            <b/>
            <sz val="9"/>
            <color indexed="81"/>
            <rFont val="宋体"/>
            <family val="3"/>
            <charset val="134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2、研发支出-投入加工成本-37349.67未取到数</t>
        </r>
      </text>
    </comment>
    <comment ref="L15" authorId="0" shapeId="0" xr:uid="{00000000-0006-0000-0C00-000010000000}">
      <text>
        <r>
          <rPr>
            <sz val="9"/>
            <color indexed="81"/>
            <rFont val="宋体"/>
            <family val="3"/>
            <charset val="134"/>
          </rPr>
          <t>1、样板费收入应为36160.19；
2、主营业务收入-样板收入36160.19未取到数</t>
        </r>
      </text>
    </comment>
    <comment ref="S15" authorId="0" shapeId="0" xr:uid="{00000000-0006-0000-0C00-000011000000}">
      <text>
        <r>
          <rPr>
            <sz val="9"/>
            <color indexed="81"/>
            <rFont val="宋体"/>
            <family val="3"/>
            <charset val="134"/>
          </rPr>
          <t>1、量产前夹治具成本应为22390.75
2、研发支出-投入加工成本-9330.2未取到数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作者</author>
  </authors>
  <commentList>
    <comment ref="J3" authorId="0" shapeId="0" xr:uid="{00000000-0006-0000-0D00-000001000000}">
      <text>
        <r>
          <rPr>
            <b/>
            <sz val="9"/>
            <color indexed="81"/>
            <rFont val="宋体"/>
            <family val="3"/>
            <charset val="134"/>
          </rPr>
          <t>模具毛利报表收入</t>
        </r>
      </text>
    </comment>
    <comment ref="K3" authorId="0" shapeId="0" xr:uid="{00000000-0006-0000-0D00-000002000000}">
      <text>
        <r>
          <rPr>
            <b/>
            <sz val="9"/>
            <color indexed="81"/>
            <rFont val="宋体"/>
            <family val="3"/>
            <charset val="134"/>
          </rPr>
          <t>模具毛利报表收入</t>
        </r>
        <r>
          <rPr>
            <sz val="9"/>
            <color indexed="81"/>
            <rFont val="宋体"/>
            <family val="3"/>
            <charset val="134"/>
          </rPr>
          <t xml:space="preserve">
</t>
        </r>
      </text>
    </comment>
    <comment ref="L3" authorId="0" shapeId="0" xr:uid="{00000000-0006-0000-0D00-000003000000}">
      <text>
        <r>
          <rPr>
            <sz val="9"/>
            <color indexed="81"/>
            <rFont val="宋体"/>
            <family val="3"/>
            <charset val="134"/>
          </rPr>
          <t xml:space="preserve">主营业收入-打样收入
</t>
        </r>
      </text>
    </comment>
    <comment ref="M3" authorId="0" shapeId="0" xr:uid="{00000000-0006-0000-0D00-000004000000}">
      <text>
        <r>
          <rPr>
            <sz val="9"/>
            <color indexed="81"/>
            <rFont val="宋体"/>
            <family val="3"/>
            <charset val="134"/>
          </rPr>
          <t xml:space="preserve">主营业务收入-夹具收入
</t>
        </r>
      </text>
    </comment>
    <comment ref="N3" authorId="0" shapeId="0" xr:uid="{00000000-0006-0000-0D00-000005000000}">
      <text>
        <r>
          <rPr>
            <sz val="9"/>
            <color indexed="81"/>
            <rFont val="宋体"/>
            <family val="3"/>
            <charset val="134"/>
          </rPr>
          <t xml:space="preserve">主营业务收入-其他收入
</t>
        </r>
      </text>
    </comment>
    <comment ref="O3" authorId="0" shapeId="0" xr:uid="{00000000-0006-0000-0D00-000006000000}">
      <text>
        <r>
          <rPr>
            <b/>
            <sz val="9"/>
            <color indexed="81"/>
            <rFont val="宋体"/>
            <family val="3"/>
            <charset val="134"/>
          </rPr>
          <t>=j+k+l+m+n</t>
        </r>
        <r>
          <rPr>
            <sz val="9"/>
            <color indexed="81"/>
            <rFont val="宋体"/>
            <family val="3"/>
            <charset val="134"/>
          </rPr>
          <t xml:space="preserve">
</t>
        </r>
      </text>
    </comment>
    <comment ref="P3" authorId="0" shapeId="0" xr:uid="{00000000-0006-0000-0D00-000007000000}">
      <text>
        <r>
          <rPr>
            <b/>
            <sz val="9"/>
            <color indexed="81"/>
            <rFont val="宋体"/>
            <family val="3"/>
            <charset val="134"/>
          </rPr>
          <t>模具毛利报表-模具成本</t>
        </r>
      </text>
    </comment>
    <comment ref="Q3" authorId="0" shapeId="0" xr:uid="{00000000-0006-0000-0D00-000008000000}">
      <text>
        <r>
          <rPr>
            <b/>
            <sz val="9"/>
            <color indexed="81"/>
            <rFont val="宋体"/>
            <family val="3"/>
            <charset val="134"/>
          </rPr>
          <t>模具毛利报表-模具成本</t>
        </r>
      </text>
    </comment>
    <comment ref="R3" authorId="0" shapeId="0" xr:uid="{00000000-0006-0000-0D00-000009000000}">
      <text>
        <r>
          <rPr>
            <b/>
            <sz val="9"/>
            <color indexed="81"/>
            <rFont val="宋体"/>
            <family val="3"/>
            <charset val="134"/>
          </rPr>
          <t>主营业务成本-试模成本</t>
        </r>
      </text>
    </comment>
    <comment ref="S3" authorId="0" shapeId="0" xr:uid="{00000000-0006-0000-0D00-00000A000000}">
      <text>
        <r>
          <rPr>
            <b/>
            <sz val="9"/>
            <color indexed="81"/>
            <rFont val="宋体"/>
            <family val="3"/>
            <charset val="134"/>
          </rPr>
          <t>研发投入-加工成本</t>
        </r>
      </text>
    </comment>
    <comment ref="T3" authorId="0" shapeId="0" xr:uid="{00000000-0006-0000-0D00-00000B000000}">
      <text>
        <r>
          <rPr>
            <b/>
            <sz val="9"/>
            <color indexed="81"/>
            <rFont val="宋体"/>
            <family val="3"/>
            <charset val="134"/>
          </rPr>
          <t>直接人工成本
研发支出-投入材料成本
机器工时成本</t>
        </r>
      </text>
    </comment>
    <comment ref="U3" authorId="0" shapeId="0" xr:uid="{00000000-0006-0000-0D00-00000C000000}">
      <text>
        <r>
          <rPr>
            <sz val="9"/>
            <color indexed="81"/>
            <rFont val="宋体"/>
            <family val="3"/>
            <charset val="134"/>
          </rPr>
          <t xml:space="preserve">=p+q+r+s+t
</t>
        </r>
      </text>
    </comment>
    <comment ref="V3" authorId="0" shapeId="0" xr:uid="{00000000-0006-0000-0D00-00000D000000}">
      <text>
        <r>
          <rPr>
            <b/>
            <sz val="9"/>
            <color indexed="81"/>
            <rFont val="宋体"/>
            <family val="3"/>
            <charset val="134"/>
          </rPr>
          <t>=o-u</t>
        </r>
        <r>
          <rPr>
            <sz val="9"/>
            <color indexed="81"/>
            <rFont val="宋体"/>
            <family val="3"/>
            <charset val="134"/>
          </rPr>
          <t xml:space="preserve">
</t>
        </r>
      </text>
    </comment>
    <comment ref="Y3" authorId="0" shapeId="0" xr:uid="{00000000-0006-0000-0D00-00000E000000}">
      <text>
        <r>
          <rPr>
            <b/>
            <sz val="9"/>
            <color indexed="81"/>
            <rFont val="宋体"/>
            <family val="3"/>
            <charset val="134"/>
          </rPr>
          <t>X+Y</t>
        </r>
        <r>
          <rPr>
            <sz val="9"/>
            <color indexed="81"/>
            <rFont val="宋体"/>
            <family val="3"/>
            <charset val="134"/>
          </rPr>
          <t xml:space="preserve">
</t>
        </r>
      </text>
    </comment>
    <comment ref="J12" authorId="0" shapeId="0" xr:uid="{00000000-0006-0000-0D00-00000F000000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1、注塑模具收入应为32178.22；
2、主营业务收入-内销模具收入32059.19多取数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作者</author>
  </authors>
  <commentList>
    <comment ref="J3" authorId="0" shapeId="0" xr:uid="{00000000-0006-0000-0E00-000001000000}">
      <text>
        <r>
          <rPr>
            <b/>
            <sz val="9"/>
            <color indexed="81"/>
            <rFont val="宋体"/>
            <family val="3"/>
            <charset val="134"/>
          </rPr>
          <t>模具毛利报表收入</t>
        </r>
      </text>
    </comment>
    <comment ref="K3" authorId="0" shapeId="0" xr:uid="{00000000-0006-0000-0E00-000002000000}">
      <text>
        <r>
          <rPr>
            <b/>
            <sz val="9"/>
            <color indexed="81"/>
            <rFont val="宋体"/>
            <family val="3"/>
            <charset val="134"/>
          </rPr>
          <t>模具毛利报表收入</t>
        </r>
        <r>
          <rPr>
            <sz val="9"/>
            <color indexed="81"/>
            <rFont val="宋体"/>
            <family val="3"/>
            <charset val="134"/>
          </rPr>
          <t xml:space="preserve">
</t>
        </r>
      </text>
    </comment>
    <comment ref="L3" authorId="0" shapeId="0" xr:uid="{00000000-0006-0000-0E00-000003000000}">
      <text>
        <r>
          <rPr>
            <sz val="9"/>
            <color indexed="81"/>
            <rFont val="宋体"/>
            <family val="3"/>
            <charset val="134"/>
          </rPr>
          <t xml:space="preserve">主营业收入-打样收入
</t>
        </r>
      </text>
    </comment>
    <comment ref="M3" authorId="0" shapeId="0" xr:uid="{00000000-0006-0000-0E00-000004000000}">
      <text>
        <r>
          <rPr>
            <sz val="9"/>
            <color indexed="81"/>
            <rFont val="宋体"/>
            <family val="3"/>
            <charset val="134"/>
          </rPr>
          <t xml:space="preserve">主营业务收入-夹具收入
</t>
        </r>
      </text>
    </comment>
    <comment ref="N3" authorId="0" shapeId="0" xr:uid="{00000000-0006-0000-0E00-000005000000}">
      <text>
        <r>
          <rPr>
            <sz val="9"/>
            <color indexed="81"/>
            <rFont val="宋体"/>
            <family val="3"/>
            <charset val="134"/>
          </rPr>
          <t xml:space="preserve">主营业务收入-其他收入
</t>
        </r>
      </text>
    </comment>
    <comment ref="O3" authorId="0" shapeId="0" xr:uid="{00000000-0006-0000-0E00-000006000000}">
      <text>
        <r>
          <rPr>
            <b/>
            <sz val="9"/>
            <color indexed="81"/>
            <rFont val="宋体"/>
            <family val="3"/>
            <charset val="134"/>
          </rPr>
          <t>=j+k+l+m+n</t>
        </r>
        <r>
          <rPr>
            <sz val="9"/>
            <color indexed="81"/>
            <rFont val="宋体"/>
            <family val="3"/>
            <charset val="134"/>
          </rPr>
          <t xml:space="preserve">
</t>
        </r>
      </text>
    </comment>
    <comment ref="P3" authorId="0" shapeId="0" xr:uid="{00000000-0006-0000-0E00-000007000000}">
      <text>
        <r>
          <rPr>
            <b/>
            <sz val="9"/>
            <color indexed="81"/>
            <rFont val="宋体"/>
            <family val="3"/>
            <charset val="134"/>
          </rPr>
          <t>模具毛利报表-模具成本</t>
        </r>
      </text>
    </comment>
    <comment ref="Q3" authorId="0" shapeId="0" xr:uid="{00000000-0006-0000-0E00-000008000000}">
      <text>
        <r>
          <rPr>
            <b/>
            <sz val="9"/>
            <color indexed="81"/>
            <rFont val="宋体"/>
            <family val="3"/>
            <charset val="134"/>
          </rPr>
          <t>模具毛利报表-模具成本</t>
        </r>
      </text>
    </comment>
    <comment ref="R3" authorId="0" shapeId="0" xr:uid="{00000000-0006-0000-0E00-000009000000}">
      <text>
        <r>
          <rPr>
            <b/>
            <sz val="9"/>
            <color indexed="81"/>
            <rFont val="宋体"/>
            <family val="3"/>
            <charset val="134"/>
          </rPr>
          <t>主营业务成本-试模成本</t>
        </r>
      </text>
    </comment>
    <comment ref="S3" authorId="0" shapeId="0" xr:uid="{00000000-0006-0000-0E00-00000A000000}">
      <text>
        <r>
          <rPr>
            <b/>
            <sz val="9"/>
            <color indexed="81"/>
            <rFont val="宋体"/>
            <family val="3"/>
            <charset val="134"/>
          </rPr>
          <t>研发投入-加工成本</t>
        </r>
      </text>
    </comment>
    <comment ref="T3" authorId="0" shapeId="0" xr:uid="{00000000-0006-0000-0E00-00000B000000}">
      <text>
        <r>
          <rPr>
            <b/>
            <sz val="9"/>
            <color indexed="81"/>
            <rFont val="宋体"/>
            <family val="3"/>
            <charset val="134"/>
          </rPr>
          <t>直接人工成本
研发支出-投入材料成本
机器工时成本</t>
        </r>
      </text>
    </comment>
    <comment ref="U3" authorId="0" shapeId="0" xr:uid="{00000000-0006-0000-0E00-00000C000000}">
      <text>
        <r>
          <rPr>
            <sz val="9"/>
            <color indexed="81"/>
            <rFont val="宋体"/>
            <family val="3"/>
            <charset val="134"/>
          </rPr>
          <t xml:space="preserve">=p+q+r+s+t
</t>
        </r>
      </text>
    </comment>
    <comment ref="V3" authorId="0" shapeId="0" xr:uid="{00000000-0006-0000-0E00-00000D000000}">
      <text>
        <r>
          <rPr>
            <b/>
            <sz val="9"/>
            <color indexed="81"/>
            <rFont val="宋体"/>
            <family val="3"/>
            <charset val="134"/>
          </rPr>
          <t>=o-u</t>
        </r>
        <r>
          <rPr>
            <sz val="9"/>
            <color indexed="81"/>
            <rFont val="宋体"/>
            <family val="3"/>
            <charset val="134"/>
          </rPr>
          <t xml:space="preserve">
</t>
        </r>
      </text>
    </comment>
    <comment ref="Y3" authorId="0" shapeId="0" xr:uid="{00000000-0006-0000-0E00-00000E000000}">
      <text>
        <r>
          <rPr>
            <b/>
            <sz val="9"/>
            <color indexed="81"/>
            <rFont val="宋体"/>
            <family val="3"/>
            <charset val="134"/>
          </rPr>
          <t>X+Y</t>
        </r>
        <r>
          <rPr>
            <sz val="9"/>
            <color indexed="81"/>
            <rFont val="宋体"/>
            <family val="3"/>
            <charset val="134"/>
          </rPr>
          <t xml:space="preserve">
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作者</author>
  </authors>
  <commentList>
    <comment ref="J3" authorId="0" shapeId="0" xr:uid="{00000000-0006-0000-0F00-000001000000}">
      <text>
        <r>
          <rPr>
            <b/>
            <sz val="9"/>
            <color indexed="81"/>
            <rFont val="宋体"/>
            <family val="3"/>
            <charset val="134"/>
          </rPr>
          <t>模具毛利报表收入</t>
        </r>
      </text>
    </comment>
    <comment ref="K3" authorId="0" shapeId="0" xr:uid="{00000000-0006-0000-0F00-000002000000}">
      <text>
        <r>
          <rPr>
            <b/>
            <sz val="9"/>
            <color indexed="81"/>
            <rFont val="宋体"/>
            <family val="3"/>
            <charset val="134"/>
          </rPr>
          <t>模具毛利报表收入</t>
        </r>
        <r>
          <rPr>
            <sz val="9"/>
            <color indexed="81"/>
            <rFont val="宋体"/>
            <family val="3"/>
            <charset val="134"/>
          </rPr>
          <t xml:space="preserve">
</t>
        </r>
      </text>
    </comment>
    <comment ref="L3" authorId="0" shapeId="0" xr:uid="{00000000-0006-0000-0F00-000003000000}">
      <text>
        <r>
          <rPr>
            <sz val="9"/>
            <color indexed="81"/>
            <rFont val="宋体"/>
            <family val="3"/>
            <charset val="134"/>
          </rPr>
          <t xml:space="preserve">主营业收入-打样收入
</t>
        </r>
      </text>
    </comment>
    <comment ref="M3" authorId="0" shapeId="0" xr:uid="{00000000-0006-0000-0F00-000004000000}">
      <text>
        <r>
          <rPr>
            <sz val="9"/>
            <color indexed="81"/>
            <rFont val="宋体"/>
            <family val="3"/>
            <charset val="134"/>
          </rPr>
          <t xml:space="preserve">主营业务收入-夹具收入
</t>
        </r>
      </text>
    </comment>
    <comment ref="N3" authorId="0" shapeId="0" xr:uid="{00000000-0006-0000-0F00-000005000000}">
      <text>
        <r>
          <rPr>
            <sz val="9"/>
            <color indexed="81"/>
            <rFont val="宋体"/>
            <family val="3"/>
            <charset val="134"/>
          </rPr>
          <t xml:space="preserve">主营业务收入-其他收入
</t>
        </r>
      </text>
    </comment>
    <comment ref="O3" authorId="0" shapeId="0" xr:uid="{00000000-0006-0000-0F00-000006000000}">
      <text>
        <r>
          <rPr>
            <b/>
            <sz val="9"/>
            <color indexed="81"/>
            <rFont val="宋体"/>
            <family val="3"/>
            <charset val="134"/>
          </rPr>
          <t>=j+k+l+m+n</t>
        </r>
        <r>
          <rPr>
            <sz val="9"/>
            <color indexed="81"/>
            <rFont val="宋体"/>
            <family val="3"/>
            <charset val="134"/>
          </rPr>
          <t xml:space="preserve">
</t>
        </r>
      </text>
    </comment>
    <comment ref="P3" authorId="0" shapeId="0" xr:uid="{00000000-0006-0000-0F00-000007000000}">
      <text>
        <r>
          <rPr>
            <b/>
            <sz val="9"/>
            <color indexed="81"/>
            <rFont val="宋体"/>
            <family val="3"/>
            <charset val="134"/>
          </rPr>
          <t>模具毛利报表-模具成本</t>
        </r>
      </text>
    </comment>
    <comment ref="Q3" authorId="0" shapeId="0" xr:uid="{00000000-0006-0000-0F00-000008000000}">
      <text>
        <r>
          <rPr>
            <b/>
            <sz val="9"/>
            <color indexed="81"/>
            <rFont val="宋体"/>
            <family val="3"/>
            <charset val="134"/>
          </rPr>
          <t>模具毛利报表-模具成本</t>
        </r>
      </text>
    </comment>
    <comment ref="R3" authorId="0" shapeId="0" xr:uid="{00000000-0006-0000-0F00-000009000000}">
      <text>
        <r>
          <rPr>
            <b/>
            <sz val="9"/>
            <color indexed="81"/>
            <rFont val="宋体"/>
            <family val="3"/>
            <charset val="134"/>
          </rPr>
          <t>主营业务成本-试模成本</t>
        </r>
      </text>
    </comment>
    <comment ref="S3" authorId="0" shapeId="0" xr:uid="{00000000-0006-0000-0F00-00000A000000}">
      <text>
        <r>
          <rPr>
            <b/>
            <sz val="9"/>
            <color indexed="81"/>
            <rFont val="宋体"/>
            <family val="3"/>
            <charset val="134"/>
          </rPr>
          <t>研发投入-加工成本</t>
        </r>
      </text>
    </comment>
    <comment ref="T3" authorId="0" shapeId="0" xr:uid="{00000000-0006-0000-0F00-00000B000000}">
      <text>
        <r>
          <rPr>
            <b/>
            <sz val="9"/>
            <color indexed="81"/>
            <rFont val="宋体"/>
            <family val="3"/>
            <charset val="134"/>
          </rPr>
          <t>直接人工成本
研发支出-投入材料成本
机器工时成本</t>
        </r>
      </text>
    </comment>
    <comment ref="U3" authorId="0" shapeId="0" xr:uid="{00000000-0006-0000-0F00-00000C000000}">
      <text>
        <r>
          <rPr>
            <sz val="9"/>
            <color indexed="81"/>
            <rFont val="宋体"/>
            <family val="3"/>
            <charset val="134"/>
          </rPr>
          <t xml:space="preserve">=p+q+r+s+t
</t>
        </r>
      </text>
    </comment>
    <comment ref="V3" authorId="0" shapeId="0" xr:uid="{00000000-0006-0000-0F00-00000D000000}">
      <text>
        <r>
          <rPr>
            <b/>
            <sz val="9"/>
            <color indexed="81"/>
            <rFont val="宋体"/>
            <family val="3"/>
            <charset val="134"/>
          </rPr>
          <t>=o-u</t>
        </r>
        <r>
          <rPr>
            <sz val="9"/>
            <color indexed="81"/>
            <rFont val="宋体"/>
            <family val="3"/>
            <charset val="134"/>
          </rPr>
          <t xml:space="preserve">
</t>
        </r>
      </text>
    </comment>
    <comment ref="Y3" authorId="0" shapeId="0" xr:uid="{00000000-0006-0000-0F00-00000E000000}">
      <text>
        <r>
          <rPr>
            <b/>
            <sz val="9"/>
            <color indexed="81"/>
            <rFont val="宋体"/>
            <family val="3"/>
            <charset val="134"/>
          </rPr>
          <t>X+Y</t>
        </r>
        <r>
          <rPr>
            <sz val="9"/>
            <color indexed="81"/>
            <rFont val="宋体"/>
            <family val="3"/>
            <charset val="134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<sst xmlns="http://schemas.openxmlformats.org/spreadsheetml/2006/main" count="6918" uniqueCount="1470">
  <si>
    <t>P440075</t>
  </si>
  <si>
    <t>JAMS-0097</t>
  </si>
  <si>
    <t>Otter Products LLC (for mold)</t>
  </si>
  <si>
    <t>P831004</t>
  </si>
  <si>
    <t>IO LOCK</t>
  </si>
  <si>
    <t>C831</t>
  </si>
  <si>
    <t>August Home, Inc.</t>
  </si>
  <si>
    <t>P201010</t>
  </si>
  <si>
    <t>反应杯-16腔六联杯</t>
  </si>
  <si>
    <t>C201</t>
  </si>
  <si>
    <t>深圳市新产业生物医学工程股份有限公司</t>
  </si>
  <si>
    <t>P440074</t>
  </si>
  <si>
    <t>JAMS-0277</t>
  </si>
  <si>
    <t>P440076</t>
  </si>
  <si>
    <t>JAMS-0085</t>
  </si>
  <si>
    <t>P440081</t>
  </si>
  <si>
    <t>JAMS-0084</t>
  </si>
  <si>
    <t>P440072</t>
  </si>
  <si>
    <t>JAMS-0193</t>
  </si>
  <si>
    <t>P440077</t>
  </si>
  <si>
    <t>JAMS-0132</t>
  </si>
  <si>
    <t>P440080</t>
  </si>
  <si>
    <t>JAMS-0041</t>
  </si>
  <si>
    <t>P440073</t>
  </si>
  <si>
    <t>JAMS-0227</t>
  </si>
  <si>
    <t>P854001</t>
  </si>
  <si>
    <t>LN30108 L LN30109 R</t>
  </si>
  <si>
    <t>C854</t>
  </si>
  <si>
    <t>SUR-SEAL  LLC</t>
  </si>
  <si>
    <t>P833002</t>
  </si>
  <si>
    <t>眼部植入T型管</t>
  </si>
  <si>
    <t>C833</t>
  </si>
  <si>
    <t>济南润视医疗器械有限公司</t>
  </si>
  <si>
    <t>P268042</t>
  </si>
  <si>
    <t>A139 BOOT</t>
  </si>
  <si>
    <t>C268</t>
  </si>
  <si>
    <t>Apple Inc.</t>
  </si>
  <si>
    <t>P813002</t>
  </si>
  <si>
    <t>SELECT PLUS ENHANCEMENT</t>
  </si>
  <si>
    <t>C813</t>
  </si>
  <si>
    <t>Lifescan Global Cooperation</t>
  </si>
  <si>
    <t>P440065</t>
  </si>
  <si>
    <t>RAMV-0097</t>
  </si>
  <si>
    <t>P846002</t>
  </si>
  <si>
    <t>AP03 项目 O040A0010_COLLI MATOR  O040A0011</t>
  </si>
  <si>
    <t>C846</t>
  </si>
  <si>
    <t>深圳市锐思华创技术有限公司</t>
  </si>
  <si>
    <t>P330040</t>
  </si>
  <si>
    <t>SAMWISE</t>
  </si>
  <si>
    <t>GN Audio A/S(GSC)</t>
  </si>
  <si>
    <t>P820002</t>
  </si>
  <si>
    <t>AK02</t>
  </si>
  <si>
    <t>C820</t>
  </si>
  <si>
    <t>NJOY, LLC.</t>
  </si>
  <si>
    <t>P805023</t>
  </si>
  <si>
    <t>KFC</t>
  </si>
  <si>
    <t>C805</t>
  </si>
  <si>
    <t>深圳市合元科技有限公司</t>
  </si>
  <si>
    <t>P268043</t>
  </si>
  <si>
    <t>E23</t>
  </si>
  <si>
    <t>P824003</t>
  </si>
  <si>
    <t>PLASTIQUE</t>
  </si>
  <si>
    <t>C824</t>
  </si>
  <si>
    <t>NICOVENTURES TRADING LIMITED</t>
  </si>
  <si>
    <t>P268044</t>
  </si>
  <si>
    <t>HP030</t>
  </si>
  <si>
    <t>P863001</t>
  </si>
  <si>
    <t>WTH13</t>
  </si>
  <si>
    <t>C863</t>
  </si>
  <si>
    <t>Stripe Inc.</t>
  </si>
  <si>
    <t>P805024</t>
  </si>
  <si>
    <t>PD2</t>
  </si>
  <si>
    <t>P857001</t>
  </si>
  <si>
    <t>AUDIGO INTRO</t>
  </si>
  <si>
    <t>C857</t>
  </si>
  <si>
    <t>Audigo Labs Inc</t>
  </si>
  <si>
    <t>P440069</t>
  </si>
  <si>
    <t>MOTLEY CRUE-0243</t>
  </si>
  <si>
    <t>P861001</t>
  </si>
  <si>
    <t>电子烟底座</t>
  </si>
  <si>
    <t>C861</t>
  </si>
  <si>
    <t>深圳雾芯科技有限公司</t>
  </si>
  <si>
    <t>P330041</t>
  </si>
  <si>
    <t>WILLOW</t>
  </si>
  <si>
    <t>P438047</t>
  </si>
  <si>
    <t>IOTA</t>
  </si>
  <si>
    <t>Philips Domestic Appliances &amp;</t>
  </si>
  <si>
    <t>P440070</t>
  </si>
  <si>
    <t>SENSESFAIL-0041</t>
  </si>
  <si>
    <t>P360022</t>
  </si>
  <si>
    <t>C9</t>
  </si>
  <si>
    <t>Google Inc.</t>
  </si>
  <si>
    <t>P438046</t>
  </si>
  <si>
    <t>MASERATI</t>
  </si>
  <si>
    <t>P860001</t>
  </si>
  <si>
    <t>HERCULES</t>
  </si>
  <si>
    <t>C860</t>
  </si>
  <si>
    <t>通力科技股份有限公司</t>
  </si>
  <si>
    <t>P833003</t>
  </si>
  <si>
    <t>润视5号管</t>
  </si>
  <si>
    <t>P360023</t>
  </si>
  <si>
    <t>ZERO DRAFT ADAPTOR</t>
  </si>
  <si>
    <t>P831005</t>
  </si>
  <si>
    <t>400 SERIES</t>
  </si>
  <si>
    <t>P805027</t>
  </si>
  <si>
    <t>COROLLA</t>
  </si>
  <si>
    <t>P865001</t>
  </si>
  <si>
    <t>DTM2</t>
  </si>
  <si>
    <t>C865</t>
  </si>
  <si>
    <t>Ubicquia Inc</t>
  </si>
  <si>
    <t>P330043</t>
  </si>
  <si>
    <t>STELLA</t>
  </si>
  <si>
    <t>P862001</t>
  </si>
  <si>
    <t>PSC56一体机</t>
  </si>
  <si>
    <t>C862</t>
  </si>
  <si>
    <t>影石创新科技股份有限公司</t>
  </si>
  <si>
    <t>P860002</t>
  </si>
  <si>
    <t>SKELLIG</t>
  </si>
  <si>
    <t>P330042</t>
  </si>
  <si>
    <t>PILLOW</t>
  </si>
  <si>
    <t>P866002</t>
  </si>
  <si>
    <t>F02</t>
  </si>
  <si>
    <t>C866</t>
  </si>
  <si>
    <t>Facebook Technologies, LLC</t>
  </si>
  <si>
    <t>P805022</t>
  </si>
  <si>
    <t>HW42410</t>
  </si>
  <si>
    <t>P438045</t>
  </si>
  <si>
    <t>OSAKA</t>
  </si>
  <si>
    <t>P866003</t>
  </si>
  <si>
    <t>F03</t>
  </si>
  <si>
    <t>P438044</t>
  </si>
  <si>
    <t>ZETA</t>
  </si>
  <si>
    <t>P440071</t>
  </si>
  <si>
    <t>TECHDEV 2022</t>
  </si>
  <si>
    <t>P821003</t>
  </si>
  <si>
    <t>S3 MOUNT</t>
  </si>
  <si>
    <t>C821</t>
  </si>
  <si>
    <t>Square Inc.</t>
  </si>
  <si>
    <t>P438048</t>
  </si>
  <si>
    <t>GAEA 1</t>
  </si>
  <si>
    <t>P438049</t>
  </si>
  <si>
    <t>CAIRO</t>
  </si>
  <si>
    <t>P867001</t>
  </si>
  <si>
    <t>BOYD 喷油项目</t>
  </si>
  <si>
    <t>C867</t>
  </si>
  <si>
    <t>宝德塑胶金属零部件(深圳)有限公司</t>
  </si>
  <si>
    <t>P805026</t>
  </si>
  <si>
    <t>PLUZE 1.5</t>
  </si>
  <si>
    <t>P866001</t>
  </si>
  <si>
    <t>F01</t>
  </si>
  <si>
    <t>P861002</t>
  </si>
  <si>
    <t>SQUARE</t>
  </si>
  <si>
    <t>P824006</t>
  </si>
  <si>
    <t>MD2.0</t>
  </si>
  <si>
    <t>P805025</t>
  </si>
  <si>
    <t>MOTO</t>
  </si>
  <si>
    <t>P815005</t>
  </si>
  <si>
    <t>URANUS</t>
  </si>
  <si>
    <t>C815</t>
  </si>
  <si>
    <t>问问智能信息科技有限公司</t>
  </si>
  <si>
    <t>P824004</t>
  </si>
  <si>
    <t>EPODS3</t>
  </si>
  <si>
    <t>P831003</t>
  </si>
  <si>
    <t>NEST 1.5</t>
  </si>
  <si>
    <t>P208007</t>
  </si>
  <si>
    <t>WHARF左右耳挂</t>
  </si>
  <si>
    <t>C208</t>
  </si>
  <si>
    <t>深圳市韶音科技有限公司</t>
  </si>
  <si>
    <t>P208008</t>
  </si>
  <si>
    <t>PARIS</t>
  </si>
  <si>
    <t>P818002</t>
  </si>
  <si>
    <t>HDT666</t>
  </si>
  <si>
    <t>C818</t>
  </si>
  <si>
    <t>美律电子（深圳）有限公司</t>
  </si>
  <si>
    <t>P360024</t>
  </si>
  <si>
    <t>NTI PHONE CASE</t>
  </si>
  <si>
    <t>P440078</t>
  </si>
  <si>
    <t>JAMS-0262</t>
  </si>
  <si>
    <t>P833001</t>
  </si>
  <si>
    <t>泪点塞</t>
  </si>
  <si>
    <t>P836001</t>
  </si>
  <si>
    <t>婴童牙胶</t>
  </si>
  <si>
    <t>C836</t>
  </si>
  <si>
    <t>东莞市富晟儿童用品有限公司</t>
  </si>
  <si>
    <t>P839001</t>
  </si>
  <si>
    <t>GRAYL水杯配件</t>
  </si>
  <si>
    <t>C839</t>
  </si>
  <si>
    <t>广兴五金塑胶制品有限公司</t>
  </si>
  <si>
    <t>P846001</t>
  </si>
  <si>
    <t>GLWHUD</t>
  </si>
  <si>
    <t>P291002</t>
  </si>
  <si>
    <t>Dummy ED</t>
  </si>
  <si>
    <t>Phonak AG</t>
  </si>
  <si>
    <t>P832001</t>
  </si>
  <si>
    <t>照明透镜</t>
  </si>
  <si>
    <t>C832</t>
  </si>
  <si>
    <t>惠州元晖光电股份有限公司</t>
  </si>
  <si>
    <t>P838001</t>
  </si>
  <si>
    <t>水杯配件</t>
  </si>
  <si>
    <t>C838</t>
  </si>
  <si>
    <t>东莞华宇塑胶制品有限公司</t>
  </si>
  <si>
    <t>P440082</t>
  </si>
  <si>
    <t>P017005</t>
  </si>
  <si>
    <t>SILBERSPITZ</t>
  </si>
  <si>
    <t>C017</t>
  </si>
  <si>
    <t>Sensirion AG</t>
  </si>
  <si>
    <t>P024027</t>
  </si>
  <si>
    <t>Unimod</t>
  </si>
  <si>
    <t>C024</t>
  </si>
  <si>
    <t>POLYCOM,INC.</t>
  </si>
  <si>
    <t>P024080</t>
  </si>
  <si>
    <t>Leaf</t>
  </si>
  <si>
    <t>P024106</t>
  </si>
  <si>
    <t>REVLON</t>
  </si>
  <si>
    <t>P024108</t>
  </si>
  <si>
    <t>REVLON3</t>
  </si>
  <si>
    <t>P024109</t>
  </si>
  <si>
    <t>LARK</t>
  </si>
  <si>
    <t>P024110</t>
  </si>
  <si>
    <t>ASGARD30</t>
  </si>
  <si>
    <t>P201009</t>
  </si>
  <si>
    <t>新产业单孔反应杯</t>
  </si>
  <si>
    <t>P207004</t>
  </si>
  <si>
    <t>JF-139</t>
  </si>
  <si>
    <t>广州骏丰医疗器械有限公司</t>
  </si>
  <si>
    <t>P208003</t>
  </si>
  <si>
    <t>VIE</t>
  </si>
  <si>
    <t>P208004</t>
  </si>
  <si>
    <t>TT0</t>
  </si>
  <si>
    <t>P268040</t>
  </si>
  <si>
    <t>C112</t>
  </si>
  <si>
    <t>P330002</t>
  </si>
  <si>
    <t>Dolphin</t>
  </si>
  <si>
    <t>P330005</t>
  </si>
  <si>
    <t>RIO</t>
  </si>
  <si>
    <t>P404001</t>
  </si>
  <si>
    <t>TBD</t>
  </si>
  <si>
    <t>Google Inc</t>
  </si>
  <si>
    <t>P404006</t>
  </si>
  <si>
    <t>D3</t>
  </si>
  <si>
    <t>P435002</t>
  </si>
  <si>
    <t>Dublin mid</t>
  </si>
  <si>
    <t>P435004</t>
  </si>
  <si>
    <t>Dublin MONO</t>
  </si>
  <si>
    <t>P437030</t>
  </si>
  <si>
    <t>RHEA</t>
  </si>
  <si>
    <t>Fitbit Inc.</t>
  </si>
  <si>
    <t>P437031</t>
  </si>
  <si>
    <t>HERA</t>
  </si>
  <si>
    <t>P438008</t>
  </si>
  <si>
    <t>BMW3-2</t>
  </si>
  <si>
    <t>P438012</t>
  </si>
  <si>
    <t>Tokyo</t>
  </si>
  <si>
    <t>P438043</t>
  </si>
  <si>
    <t>CANARY</t>
  </si>
  <si>
    <t>P440054</t>
  </si>
  <si>
    <t>TechDev 2021</t>
  </si>
  <si>
    <t>P440055</t>
  </si>
  <si>
    <t>AST-0227</t>
  </si>
  <si>
    <t>P440062</t>
  </si>
  <si>
    <t>RMV-0132</t>
  </si>
  <si>
    <t>P440063</t>
  </si>
  <si>
    <t>RMV-0193</t>
  </si>
  <si>
    <t>P460007</t>
  </si>
  <si>
    <t>Amazon com, Inc</t>
  </si>
  <si>
    <t>P781012</t>
  </si>
  <si>
    <t>ARTEMIS</t>
  </si>
  <si>
    <t>ecobee.inc</t>
  </si>
  <si>
    <t>P781013</t>
  </si>
  <si>
    <t>ARES</t>
  </si>
  <si>
    <t>P802009</t>
  </si>
  <si>
    <t>UX700</t>
  </si>
  <si>
    <t>Verifone Systems Ireland Ltd.</t>
  </si>
  <si>
    <t>P805018</t>
  </si>
  <si>
    <t>N1002-A3油杯</t>
  </si>
  <si>
    <t>P805019</t>
  </si>
  <si>
    <t>NEW E-CIG</t>
  </si>
  <si>
    <t>P805021</t>
  </si>
  <si>
    <t>M319</t>
  </si>
  <si>
    <t>P809006</t>
  </si>
  <si>
    <t>JUNO </t>
  </si>
  <si>
    <t>C809</t>
  </si>
  <si>
    <t>歌尔股份有限公司</t>
  </si>
  <si>
    <t>P819001</t>
  </si>
  <si>
    <t>P519</t>
  </si>
  <si>
    <t>C819</t>
  </si>
  <si>
    <t>佛吉亚(海宁)汽车部件系统有限公司</t>
  </si>
  <si>
    <t>P819002</t>
  </si>
  <si>
    <t>N536/K536</t>
  </si>
  <si>
    <t>P826001</t>
  </si>
  <si>
    <t>BH72</t>
  </si>
  <si>
    <t>C826</t>
  </si>
  <si>
    <t>厦门亿联网络技术股份有限公司</t>
  </si>
  <si>
    <t>P828001</t>
  </si>
  <si>
    <t>RPP</t>
  </si>
  <si>
    <t>C828</t>
  </si>
  <si>
    <t>Braloba (HK) Ltd</t>
  </si>
  <si>
    <t>P831001</t>
  </si>
  <si>
    <t>PANDORA</t>
  </si>
  <si>
    <t>P831002</t>
  </si>
  <si>
    <t>TITAN</t>
  </si>
  <si>
    <t>P845001</t>
  </si>
  <si>
    <t>工业氧气</t>
  </si>
  <si>
    <t>C845</t>
  </si>
  <si>
    <t>郑州炜盛电子科技有限公司</t>
  </si>
  <si>
    <t>P012036</t>
  </si>
  <si>
    <t>DS100</t>
  </si>
  <si>
    <t>C012</t>
  </si>
  <si>
    <t>GP Electronics(HK)Limited</t>
  </si>
  <si>
    <t>P024032</t>
  </si>
  <si>
    <t>Lunar</t>
  </si>
  <si>
    <t>P024077</t>
  </si>
  <si>
    <t>VVX Refresh版电话机</t>
  </si>
  <si>
    <t>P024083</t>
  </si>
  <si>
    <t>Oculus</t>
  </si>
  <si>
    <t>P404014</t>
  </si>
  <si>
    <t>BISMUTH</t>
  </si>
  <si>
    <t>P809002</t>
  </si>
  <si>
    <t>RINCON</t>
  </si>
  <si>
    <t>P814002</t>
  </si>
  <si>
    <t>MAPLE</t>
  </si>
  <si>
    <t>C814</t>
  </si>
  <si>
    <t>Pax Labs, Inc.</t>
  </si>
  <si>
    <t>P824002</t>
  </si>
  <si>
    <t>TF1601A </t>
  </si>
  <si>
    <t>P829001</t>
  </si>
  <si>
    <t>FA18018001</t>
  </si>
  <si>
    <t>C829</t>
  </si>
  <si>
    <t>Mobileye Vision Technologies L</t>
  </si>
  <si>
    <t>P829002</t>
  </si>
  <si>
    <t>4G BOX</t>
  </si>
  <si>
    <t>P437032</t>
  </si>
  <si>
    <t>RENO</t>
  </si>
  <si>
    <t>P824005</t>
  </si>
  <si>
    <t>MODERN DISPOSABLE TX500</t>
  </si>
  <si>
    <t>P815002</t>
  </si>
  <si>
    <t>E3</t>
  </si>
  <si>
    <t>P813001</t>
  </si>
  <si>
    <t>FRAZIER3</t>
  </si>
  <si>
    <t>P807001</t>
  </si>
  <si>
    <t>HSL-4</t>
  </si>
  <si>
    <t>C807</t>
  </si>
  <si>
    <t>喜利得（中国）有限公司</t>
  </si>
  <si>
    <t>P805016</t>
  </si>
  <si>
    <t>J19</t>
  </si>
  <si>
    <t>P805012</t>
  </si>
  <si>
    <t>P63B</t>
  </si>
  <si>
    <t>P805011</t>
  </si>
  <si>
    <t>F5123</t>
  </si>
  <si>
    <t>P805004</t>
  </si>
  <si>
    <t>P802004</t>
  </si>
  <si>
    <t>M440</t>
  </si>
  <si>
    <t>P800001</t>
  </si>
  <si>
    <t>WAM03</t>
  </si>
  <si>
    <t>Withings SA</t>
  </si>
  <si>
    <t>P781004</t>
  </si>
  <si>
    <t>Rhodos</t>
  </si>
  <si>
    <t>P718011</t>
  </si>
  <si>
    <t>LATCH</t>
  </si>
  <si>
    <t>普惠信息科技(深圳)有限公司</t>
  </si>
  <si>
    <t>P460009</t>
  </si>
  <si>
    <t>CORAL</t>
  </si>
  <si>
    <t>P460005</t>
  </si>
  <si>
    <t>THEIA</t>
  </si>
  <si>
    <t>P460004</t>
  </si>
  <si>
    <t>POWELL</t>
  </si>
  <si>
    <t>P440052</t>
  </si>
  <si>
    <t>SBA-0041</t>
  </si>
  <si>
    <t>P440046</t>
  </si>
  <si>
    <t>SHAMROCK</t>
  </si>
  <si>
    <t>P440035</t>
  </si>
  <si>
    <t>FNR-28</t>
  </si>
  <si>
    <t>P438039</t>
  </si>
  <si>
    <t>ATLAS</t>
  </si>
  <si>
    <t>P438037</t>
  </si>
  <si>
    <t>XIAN</t>
  </si>
  <si>
    <t>P438035</t>
  </si>
  <si>
    <t>APA</t>
  </si>
  <si>
    <t>P438033</t>
  </si>
  <si>
    <t>Mercury</t>
  </si>
  <si>
    <t>P438032</t>
  </si>
  <si>
    <t>Hobart</t>
  </si>
  <si>
    <t>P438030</t>
  </si>
  <si>
    <t>7000AHB</t>
  </si>
  <si>
    <t>P438026</t>
  </si>
  <si>
    <t>U-tube</t>
  </si>
  <si>
    <t>P438024</t>
  </si>
  <si>
    <t>Sydney</t>
  </si>
  <si>
    <t>P438023</t>
  </si>
  <si>
    <t>Shanghai</t>
  </si>
  <si>
    <t>P438018</t>
  </si>
  <si>
    <t>Doutzen</t>
  </si>
  <si>
    <t>P437028</t>
  </si>
  <si>
    <t>BUZZ</t>
  </si>
  <si>
    <t>P437024</t>
  </si>
  <si>
    <t>ROSA</t>
  </si>
  <si>
    <t>P437021</t>
  </si>
  <si>
    <t>Atlas</t>
  </si>
  <si>
    <t>P437020</t>
  </si>
  <si>
    <t>MIRA</t>
  </si>
  <si>
    <t>P435011</t>
  </si>
  <si>
    <t>Rio Headset</t>
  </si>
  <si>
    <t>P404008</t>
  </si>
  <si>
    <t>Onxy</t>
  </si>
  <si>
    <t>P404003</t>
  </si>
  <si>
    <t>BOSS</t>
  </si>
  <si>
    <t>P391001</t>
  </si>
  <si>
    <t>GENEVA</t>
  </si>
  <si>
    <t>Latch Systems, Inc.</t>
  </si>
  <si>
    <t>P360019</t>
  </si>
  <si>
    <t>L7</t>
  </si>
  <si>
    <t>P360017</t>
  </si>
  <si>
    <t>GROOT</t>
  </si>
  <si>
    <t>P360009</t>
  </si>
  <si>
    <t>SABRINA</t>
  </si>
  <si>
    <t>P360008</t>
  </si>
  <si>
    <t>ELAINE</t>
  </si>
  <si>
    <t>P360006</t>
  </si>
  <si>
    <t>Newman</t>
  </si>
  <si>
    <t>P330020</t>
  </si>
  <si>
    <t>Leo</t>
  </si>
  <si>
    <t>P330017</t>
  </si>
  <si>
    <t>RIO LW</t>
  </si>
  <si>
    <t>P330014</t>
  </si>
  <si>
    <t>YOSHI</t>
  </si>
  <si>
    <t>P330009</t>
  </si>
  <si>
    <t>Bezos</t>
  </si>
  <si>
    <t>P330008</t>
  </si>
  <si>
    <t>Binary HB</t>
  </si>
  <si>
    <t>P330006</t>
  </si>
  <si>
    <t>Rio Base 2</t>
  </si>
  <si>
    <t>P330003</t>
  </si>
  <si>
    <t>Dublin</t>
  </si>
  <si>
    <t>P293011</t>
  </si>
  <si>
    <t>Jbay</t>
  </si>
  <si>
    <t>GoPro, Inc.</t>
  </si>
  <si>
    <t>P293009</t>
  </si>
  <si>
    <t>AHAB</t>
  </si>
  <si>
    <t>P268036</t>
  </si>
  <si>
    <t>COPAN CASE</t>
  </si>
  <si>
    <t>P268032</t>
  </si>
  <si>
    <t>HP025</t>
  </si>
  <si>
    <t>P268029</t>
  </si>
  <si>
    <t>FH001</t>
  </si>
  <si>
    <t>P017001</t>
  </si>
  <si>
    <t>FAIRFIELD</t>
  </si>
  <si>
    <t>P017002</t>
  </si>
  <si>
    <t>JURA</t>
  </si>
  <si>
    <t>P017004</t>
  </si>
  <si>
    <t>ELDORADO</t>
  </si>
  <si>
    <t>P024073</t>
  </si>
  <si>
    <t>Sub-Vino电话机</t>
  </si>
  <si>
    <t>P024087</t>
  </si>
  <si>
    <t>Skyline Base&amp;Entry</t>
  </si>
  <si>
    <t>P024089</t>
  </si>
  <si>
    <t>Richards and Miko</t>
  </si>
  <si>
    <t>P024090</t>
  </si>
  <si>
    <t>Skyline EM</t>
  </si>
  <si>
    <t>P024091</t>
  </si>
  <si>
    <t>Stardust</t>
  </si>
  <si>
    <t>P024093</t>
  </si>
  <si>
    <t>KEPLER</t>
  </si>
  <si>
    <t>P024095</t>
  </si>
  <si>
    <t>MX681</t>
  </si>
  <si>
    <t>P024096</t>
  </si>
  <si>
    <t>HDT611</t>
  </si>
  <si>
    <t>P024102</t>
  </si>
  <si>
    <t>Crystal</t>
  </si>
  <si>
    <t>P024103</t>
  </si>
  <si>
    <t>P30</t>
  </si>
  <si>
    <t>P024105</t>
  </si>
  <si>
    <t>PENGUIN</t>
  </si>
  <si>
    <t>P201008</t>
  </si>
  <si>
    <t>新产业反应杯</t>
  </si>
  <si>
    <t>P208001</t>
  </si>
  <si>
    <t>韶音</t>
  </si>
  <si>
    <t>P208002</t>
  </si>
  <si>
    <t>SE</t>
  </si>
  <si>
    <t>P250064</t>
  </si>
  <si>
    <t>CZ460</t>
  </si>
  <si>
    <t>Western Digital Technologies,I</t>
  </si>
  <si>
    <t>P024101</t>
  </si>
  <si>
    <t>VOYAGER FOCUS</t>
  </si>
  <si>
    <t>P330010</t>
  </si>
  <si>
    <t>Spiderman</t>
  </si>
  <si>
    <t>P207007</t>
  </si>
  <si>
    <t>JFC-602A</t>
  </si>
  <si>
    <t>P250001</t>
  </si>
  <si>
    <t>CZ36/CZ36+</t>
  </si>
  <si>
    <t>P268033</t>
  </si>
  <si>
    <t>C77/C65/A131/A136</t>
  </si>
  <si>
    <t>P330019</t>
  </si>
  <si>
    <t>ERASMUS</t>
  </si>
  <si>
    <t>P330021</t>
  </si>
  <si>
    <t>ASTRA</t>
  </si>
  <si>
    <t>P330035</t>
  </si>
  <si>
    <t>ODIN</t>
  </si>
  <si>
    <t>P330036</t>
  </si>
  <si>
    <t>COBRANDING-SPIDERMAN</t>
  </si>
  <si>
    <t>P330037</t>
  </si>
  <si>
    <t>COBRANDING-RIO</t>
  </si>
  <si>
    <t>P330038</t>
  </si>
  <si>
    <t>P360014</t>
  </si>
  <si>
    <t>LUCY</t>
  </si>
  <si>
    <t>P360016</t>
  </si>
  <si>
    <t>ETHEL</t>
  </si>
  <si>
    <t>P360018</t>
  </si>
  <si>
    <t>ECHO</t>
  </si>
  <si>
    <t>P360020</t>
  </si>
  <si>
    <t>BOREAL</t>
  </si>
  <si>
    <t>P360021</t>
  </si>
  <si>
    <t>SIROCCO</t>
  </si>
  <si>
    <t>P435003</t>
  </si>
  <si>
    <t>Dublin controller</t>
  </si>
  <si>
    <t>P435010</t>
  </si>
  <si>
    <t>Rio Base</t>
  </si>
  <si>
    <t>P437029</t>
  </si>
  <si>
    <t>MORGAN</t>
  </si>
  <si>
    <t>P440047</t>
  </si>
  <si>
    <t>TREEHAUS</t>
  </si>
  <si>
    <t>P440057</t>
  </si>
  <si>
    <t>RAMV-0041</t>
  </si>
  <si>
    <t>P440059</t>
  </si>
  <si>
    <t>RAMV-0116</t>
  </si>
  <si>
    <t>P440060</t>
  </si>
  <si>
    <t>RAMV-0227</t>
  </si>
  <si>
    <t>P805001</t>
  </si>
  <si>
    <t>LD 1.5</t>
  </si>
  <si>
    <t>P805003</t>
  </si>
  <si>
    <t>P52A</t>
  </si>
  <si>
    <t>P805014</t>
  </si>
  <si>
    <t>P53A</t>
  </si>
  <si>
    <t>P818001</t>
  </si>
  <si>
    <t>BHC656</t>
  </si>
  <si>
    <t>P815001</t>
  </si>
  <si>
    <t>ROVER</t>
  </si>
  <si>
    <t>P440068</t>
  </si>
  <si>
    <t>FACETOFACE-0041</t>
  </si>
  <si>
    <t>P440067</t>
  </si>
  <si>
    <t>UNDEROATH-0041</t>
  </si>
  <si>
    <t>P440061</t>
  </si>
  <si>
    <t>RMV-0085</t>
  </si>
  <si>
    <t>P024086</t>
  </si>
  <si>
    <t>Skyline Mid&amp;High</t>
  </si>
  <si>
    <t>P024104</t>
  </si>
  <si>
    <t>BW52XX</t>
  </si>
  <si>
    <t>P440066</t>
  </si>
  <si>
    <t>TIMECOP-0041</t>
  </si>
  <si>
    <t>P815004</t>
  </si>
  <si>
    <t>FALCON</t>
  </si>
  <si>
    <t>P024100</t>
  </si>
  <si>
    <t>VOYAGER LEGEND</t>
  </si>
  <si>
    <t>P360015</t>
  </si>
  <si>
    <t>BOWIE</t>
  </si>
  <si>
    <t>P460002</t>
  </si>
  <si>
    <t>Project Vesta</t>
  </si>
  <si>
    <t>P460003</t>
  </si>
  <si>
    <t>SPRINKLE</t>
  </si>
  <si>
    <t>P460011</t>
  </si>
  <si>
    <t>CRUSH</t>
  </si>
  <si>
    <t>P460012</t>
  </si>
  <si>
    <t>MARLIN</t>
  </si>
  <si>
    <t>P820001</t>
  </si>
  <si>
    <t>ACE</t>
  </si>
  <si>
    <t>P821002</t>
  </si>
  <si>
    <t>S3</t>
  </si>
  <si>
    <t>P823001</t>
  </si>
  <si>
    <t>CEPHEID</t>
  </si>
  <si>
    <t>C823</t>
  </si>
  <si>
    <t>Cepheid US</t>
  </si>
  <si>
    <t>P824001</t>
  </si>
  <si>
    <t>TF16</t>
  </si>
  <si>
    <t>P864001</t>
  </si>
  <si>
    <t>TENPO</t>
  </si>
  <si>
    <t>C864</t>
  </si>
  <si>
    <t>和硕联合科技股份有限公司</t>
  </si>
  <si>
    <t>TK项目号</t>
  </si>
  <si>
    <t>项目名称</t>
  </si>
  <si>
    <t>终端客户</t>
  </si>
  <si>
    <t>终端客户名称</t>
  </si>
  <si>
    <t>创建日期</t>
  </si>
  <si>
    <t>量产日期</t>
  </si>
  <si>
    <t>NPI预算收入</t>
  </si>
  <si>
    <t>注塑模具收入</t>
  </si>
  <si>
    <t>其他模具收入</t>
  </si>
  <si>
    <t>样板费收入</t>
  </si>
  <si>
    <t>夹治具收入</t>
  </si>
  <si>
    <t>其它杂项收入</t>
  </si>
  <si>
    <t>量产前收入</t>
  </si>
  <si>
    <t>注塑模具成本</t>
  </si>
  <si>
    <t>其他模具成本</t>
  </si>
  <si>
    <t>自费模具摊销</t>
  </si>
  <si>
    <t>夹治具成本</t>
  </si>
  <si>
    <t>试模成本</t>
  </si>
  <si>
    <t>量产前成本</t>
  </si>
  <si>
    <t>量产前收益</t>
  </si>
  <si>
    <t>量产后夹治具成本</t>
  </si>
  <si>
    <t>量产后打样成本</t>
  </si>
  <si>
    <t>量产后成本</t>
  </si>
  <si>
    <t>利润中心</t>
  </si>
  <si>
    <t>事业部</t>
  </si>
  <si>
    <t>样板费收入</t>
    <phoneticPr fontId="10" type="noConversion"/>
  </si>
  <si>
    <t>夹治具收入</t>
    <phoneticPr fontId="10" type="noConversion"/>
  </si>
  <si>
    <t>注塑模具成本</t>
    <phoneticPr fontId="10" type="noConversion"/>
  </si>
  <si>
    <t>自费模具摊销</t>
    <phoneticPr fontId="10" type="noConversion"/>
  </si>
  <si>
    <t>量产前夹治具成本</t>
    <phoneticPr fontId="1" type="noConversion"/>
  </si>
  <si>
    <t>试模成本</t>
    <phoneticPr fontId="10" type="noConversion"/>
  </si>
  <si>
    <t>量产后夹治具成本</t>
    <phoneticPr fontId="10" type="noConversion"/>
  </si>
  <si>
    <t>量产后打样成本</t>
    <phoneticPr fontId="10" type="noConversion"/>
  </si>
  <si>
    <t>TKHZ02</t>
  </si>
  <si>
    <t>惠州一注塑</t>
  </si>
  <si>
    <t>TKHZ01</t>
  </si>
  <si>
    <t>惠州一喷油</t>
  </si>
  <si>
    <t>合计</t>
    <phoneticPr fontId="10" type="noConversion"/>
  </si>
  <si>
    <t>注塑模具收入</t>
    <phoneticPr fontId="10" type="noConversion"/>
  </si>
  <si>
    <t>样板费收入</t>
    <phoneticPr fontId="10" type="noConversion"/>
  </si>
  <si>
    <t>夹治具收入</t>
    <phoneticPr fontId="10" type="noConversion"/>
  </si>
  <si>
    <t>自费模具摊销</t>
    <phoneticPr fontId="10" type="noConversion"/>
  </si>
  <si>
    <t>试模成本</t>
    <phoneticPr fontId="10" type="noConversion"/>
  </si>
  <si>
    <t>量产后夹治具成本</t>
    <phoneticPr fontId="10" type="noConversion"/>
  </si>
  <si>
    <t>量产后打样成本</t>
    <phoneticPr fontId="10" type="noConversion"/>
  </si>
  <si>
    <t>高效四</t>
  </si>
  <si>
    <t>合计</t>
    <phoneticPr fontId="3" type="noConversion"/>
  </si>
  <si>
    <t>TKHD01</t>
  </si>
  <si>
    <t>华东一</t>
  </si>
  <si>
    <t>注塑模具收入</t>
    <phoneticPr fontId="10" type="noConversion"/>
  </si>
  <si>
    <t>样板费收入</t>
    <phoneticPr fontId="10" type="noConversion"/>
  </si>
  <si>
    <t>试模成本</t>
    <phoneticPr fontId="10" type="noConversion"/>
  </si>
  <si>
    <t>量产后夹治具成本</t>
    <phoneticPr fontId="10" type="noConversion"/>
  </si>
  <si>
    <t>量产后打样成本</t>
    <phoneticPr fontId="10" type="noConversion"/>
  </si>
  <si>
    <t>TKHD02</t>
  </si>
  <si>
    <t>华东二</t>
  </si>
  <si>
    <t>高效一</t>
  </si>
  <si>
    <t>其它杂项收入</t>
    <phoneticPr fontId="10" type="noConversion"/>
  </si>
  <si>
    <t>注塑模具成本</t>
    <phoneticPr fontId="10" type="noConversion"/>
  </si>
  <si>
    <t>自费模具摊销</t>
    <phoneticPr fontId="10" type="noConversion"/>
  </si>
  <si>
    <t>量产前夹治具成本</t>
    <phoneticPr fontId="1" type="noConversion"/>
  </si>
  <si>
    <t>高效二</t>
  </si>
  <si>
    <t>合计</t>
    <phoneticPr fontId="3" type="noConversion"/>
  </si>
  <si>
    <t>TKDG01</t>
  </si>
  <si>
    <t>雅高一</t>
  </si>
  <si>
    <t>TKHZ03</t>
  </si>
  <si>
    <t>惠州雅高</t>
  </si>
  <si>
    <t>样板费收入</t>
    <phoneticPr fontId="10" type="noConversion"/>
  </si>
  <si>
    <t>自费模具摊销</t>
    <phoneticPr fontId="10" type="noConversion"/>
  </si>
  <si>
    <t>试模成本</t>
    <phoneticPr fontId="10" type="noConversion"/>
  </si>
  <si>
    <t>高效三</t>
  </si>
  <si>
    <t>量产后打样成本</t>
    <phoneticPr fontId="10" type="noConversion"/>
  </si>
  <si>
    <t>TKYN01</t>
  </si>
  <si>
    <t>越南一</t>
  </si>
  <si>
    <t>健康科技</t>
  </si>
  <si>
    <t>TK项目号</t>
    <phoneticPr fontId="3" type="noConversion"/>
  </si>
  <si>
    <t>A01</t>
  </si>
  <si>
    <t>医疗器械</t>
  </si>
  <si>
    <t>其他模具收入</t>
    <phoneticPr fontId="10" type="noConversion"/>
  </si>
  <si>
    <t>夹治具收入</t>
    <phoneticPr fontId="10" type="noConversion"/>
  </si>
  <si>
    <t>其它杂项收入</t>
    <phoneticPr fontId="10" type="noConversion"/>
  </si>
  <si>
    <t>其他模具成本</t>
    <phoneticPr fontId="10" type="noConversion"/>
  </si>
  <si>
    <t>特种一</t>
  </si>
  <si>
    <t>项目名称</t>
    <phoneticPr fontId="3" type="noConversion"/>
  </si>
  <si>
    <t>事业部</t>
    <phoneticPr fontId="3" type="noConversion"/>
  </si>
  <si>
    <t>终端客户名称</t>
    <phoneticPr fontId="3" type="noConversion"/>
  </si>
  <si>
    <t>创建日期</t>
    <phoneticPr fontId="3" type="noConversion"/>
  </si>
  <si>
    <t>NPI预算收入</t>
    <phoneticPr fontId="3" type="noConversion"/>
  </si>
  <si>
    <t>注塑模具收入</t>
    <phoneticPr fontId="3" type="noConversion"/>
  </si>
  <si>
    <t>其他模具收入</t>
    <phoneticPr fontId="3" type="noConversion"/>
  </si>
  <si>
    <t>样板费收入</t>
    <phoneticPr fontId="3" type="noConversion"/>
  </si>
  <si>
    <t>夹治具收入</t>
    <phoneticPr fontId="3" type="noConversion"/>
  </si>
  <si>
    <t>其它杂项收入</t>
    <phoneticPr fontId="3" type="noConversion"/>
  </si>
  <si>
    <t>量产前收入</t>
    <phoneticPr fontId="3" type="noConversion"/>
  </si>
  <si>
    <t>注塑模具成本</t>
    <phoneticPr fontId="3" type="noConversion"/>
  </si>
  <si>
    <t>其他模具成本</t>
    <phoneticPr fontId="3" type="noConversion"/>
  </si>
  <si>
    <t>自费模具摊销</t>
    <phoneticPr fontId="3" type="noConversion"/>
  </si>
  <si>
    <t>量产前夹治具成本</t>
    <phoneticPr fontId="3" type="noConversion"/>
  </si>
  <si>
    <t>试模成本</t>
    <phoneticPr fontId="3" type="noConversion"/>
  </si>
  <si>
    <t>量产前成本</t>
    <phoneticPr fontId="3" type="noConversion"/>
  </si>
  <si>
    <t>量产前收益</t>
    <phoneticPr fontId="3" type="noConversion"/>
  </si>
  <si>
    <t>量产后夹治具成本</t>
    <phoneticPr fontId="3" type="noConversion"/>
  </si>
  <si>
    <t>量产后打样成本</t>
    <phoneticPr fontId="3" type="noConversion"/>
  </si>
  <si>
    <t>量产后成本</t>
    <phoneticPr fontId="3" type="noConversion"/>
  </si>
  <si>
    <t>注塑模具收入</t>
    <phoneticPr fontId="1" type="noConversion"/>
  </si>
  <si>
    <t>样板费收入</t>
    <phoneticPr fontId="10" type="noConversion"/>
  </si>
  <si>
    <t>试模成本</t>
    <phoneticPr fontId="10" type="noConversion"/>
  </si>
  <si>
    <t>100</t>
  </si>
  <si>
    <t>330</t>
  </si>
  <si>
    <t>360</t>
  </si>
  <si>
    <t>250</t>
  </si>
  <si>
    <t>291</t>
  </si>
  <si>
    <t>601</t>
  </si>
  <si>
    <t>460</t>
  </si>
  <si>
    <t>293</t>
  </si>
  <si>
    <t>701</t>
  </si>
  <si>
    <t>404</t>
  </si>
  <si>
    <t>901</t>
  </si>
  <si>
    <t>300</t>
  </si>
  <si>
    <t>391</t>
  </si>
  <si>
    <t>437</t>
  </si>
  <si>
    <t>440</t>
  </si>
  <si>
    <t>718</t>
  </si>
  <si>
    <t>801</t>
  </si>
  <si>
    <t>438</t>
  </si>
  <si>
    <t>802</t>
  </si>
  <si>
    <t>781</t>
  </si>
  <si>
    <t>P802009</t>
    <phoneticPr fontId="10" type="noConversion"/>
  </si>
  <si>
    <t>合计</t>
    <phoneticPr fontId="3" type="noConversion"/>
  </si>
  <si>
    <t>C869</t>
  </si>
  <si>
    <t>深圳市爱立康医疗股份有限公司</t>
  </si>
  <si>
    <t>P208009</t>
  </si>
  <si>
    <t>HSD</t>
  </si>
  <si>
    <t>P862002</t>
  </si>
  <si>
    <t>IAC2</t>
  </si>
  <si>
    <t>P856001</t>
  </si>
  <si>
    <t>NT02</t>
  </si>
  <si>
    <t>C856</t>
  </si>
  <si>
    <t>微软(中国)有限公司</t>
  </si>
  <si>
    <t>P860004</t>
  </si>
  <si>
    <t>Q60</t>
  </si>
  <si>
    <t>P831006</t>
  </si>
  <si>
    <t>P824007</t>
  </si>
  <si>
    <t>VD1.0</t>
  </si>
  <si>
    <t>P805028</t>
  </si>
  <si>
    <t>P805005</t>
  </si>
  <si>
    <t>AIO扁烟</t>
  </si>
  <si>
    <t>P437033</t>
  </si>
  <si>
    <t>P11</t>
  </si>
  <si>
    <t>P437034</t>
  </si>
  <si>
    <t>EOS</t>
  </si>
  <si>
    <t>P870001</t>
  </si>
  <si>
    <t>N6</t>
  </si>
  <si>
    <t>C870</t>
  </si>
  <si>
    <t>北京行者无疆科技有限公司</t>
  </si>
  <si>
    <t>P866004</t>
  </si>
  <si>
    <t>F04</t>
  </si>
  <si>
    <t>P845002</t>
  </si>
  <si>
    <t>MEU-NH</t>
  </si>
  <si>
    <t>P845003</t>
  </si>
  <si>
    <t>氢泄露</t>
  </si>
  <si>
    <t>P839002</t>
  </si>
  <si>
    <t>45006-高利明过滤杯</t>
  </si>
  <si>
    <t>P873001</t>
  </si>
  <si>
    <t>TKTC</t>
    <phoneticPr fontId="3" type="noConversion"/>
  </si>
  <si>
    <t>HZ1</t>
    <phoneticPr fontId="3" type="noConversion"/>
  </si>
  <si>
    <t>P876001</t>
  </si>
  <si>
    <t>BHP701</t>
  </si>
  <si>
    <t>C876</t>
  </si>
  <si>
    <t>Sonos, Inc.</t>
  </si>
  <si>
    <t>P872001</t>
  </si>
  <si>
    <t>PG-LENS</t>
  </si>
  <si>
    <t>C872</t>
  </si>
  <si>
    <t>P860003</t>
  </si>
  <si>
    <t>AURA4</t>
  </si>
  <si>
    <t>P028008</t>
  </si>
  <si>
    <t>BOSE SERENA</t>
  </si>
  <si>
    <t>Bose Corporation</t>
  </si>
  <si>
    <t>P861003</t>
  </si>
  <si>
    <t>P31A</t>
  </si>
  <si>
    <t>P860005</t>
  </si>
  <si>
    <t>PELICAN</t>
  </si>
  <si>
    <t>P839003</t>
  </si>
  <si>
    <t>45004-滤芯单向阀</t>
  </si>
  <si>
    <t>P408003</t>
  </si>
  <si>
    <t>CH12+</t>
  </si>
  <si>
    <t>C408</t>
  </si>
  <si>
    <t>Coloplast Hungary Kft</t>
  </si>
  <si>
    <t>P024098</t>
  </si>
  <si>
    <t>MERCURY</t>
  </si>
  <si>
    <t>P024107</t>
  </si>
  <si>
    <t>VOYAGER 6200</t>
  </si>
  <si>
    <t>P875001</t>
  </si>
  <si>
    <t>ABAC1918</t>
  </si>
  <si>
    <t>C875</t>
  </si>
  <si>
    <t>深圳市卓力能技术有限公司</t>
  </si>
  <si>
    <t>P360012</t>
  </si>
  <si>
    <t>SENSOR FLEX BRACKET</t>
  </si>
  <si>
    <t>P028009</t>
  </si>
  <si>
    <t>SCOTTY</t>
  </si>
  <si>
    <t>P811002</t>
  </si>
  <si>
    <t>F586</t>
  </si>
  <si>
    <t>C811</t>
  </si>
  <si>
    <t>上海安费诺永亿通讯电子有限公司</t>
  </si>
  <si>
    <t>P437035</t>
  </si>
  <si>
    <t>FM22( MORGAN 2)</t>
  </si>
  <si>
    <t>P878001</t>
  </si>
  <si>
    <t>BS</t>
  </si>
  <si>
    <t>C878</t>
  </si>
  <si>
    <t>BigScreen</t>
  </si>
  <si>
    <t>P869003</t>
  </si>
  <si>
    <t>FI05</t>
  </si>
  <si>
    <t>P879001</t>
  </si>
  <si>
    <t>EP</t>
  </si>
  <si>
    <t>C879</t>
  </si>
  <si>
    <t>teenage engineering</t>
  </si>
  <si>
    <t>P863002</t>
  </si>
  <si>
    <t>M2</t>
  </si>
  <si>
    <t>P805029</t>
  </si>
  <si>
    <t>NVS</t>
  </si>
  <si>
    <t>P874001</t>
  </si>
  <si>
    <t>氛围灯软质光导预研项目/织物氛围灯预研</t>
  </si>
  <si>
    <t>C874</t>
  </si>
  <si>
    <t>P024112</t>
  </si>
  <si>
    <t>MONOCLE</t>
  </si>
  <si>
    <t>P861004</t>
  </si>
  <si>
    <t>SQ-X1</t>
  </si>
  <si>
    <t>P841001</t>
  </si>
  <si>
    <t>电动牙刷配件</t>
  </si>
  <si>
    <t>P440083</t>
  </si>
  <si>
    <t>SMURFS-99-DRIFTER</t>
  </si>
  <si>
    <t>P440084</t>
  </si>
  <si>
    <t>SMURFS-99-CIRCA</t>
  </si>
  <si>
    <t>P877001</t>
  </si>
  <si>
    <t>内窥镜</t>
  </si>
  <si>
    <t>C877</t>
  </si>
  <si>
    <t>P866005</t>
  </si>
  <si>
    <t>F01-PLUS</t>
  </si>
  <si>
    <t>P805030</t>
  </si>
  <si>
    <t>KD</t>
  </si>
  <si>
    <t>P821004</t>
  </si>
  <si>
    <t>S3B</t>
  </si>
  <si>
    <t>P438025</t>
  </si>
  <si>
    <t>BOHU</t>
  </si>
  <si>
    <t>P781001</t>
  </si>
  <si>
    <t>Nike</t>
  </si>
  <si>
    <t>P781008</t>
  </si>
  <si>
    <t>HECATE</t>
  </si>
  <si>
    <t>P440085</t>
  </si>
  <si>
    <t>TECHDEV 2023</t>
  </si>
  <si>
    <t>P460013</t>
  </si>
  <si>
    <t>GERALD</t>
  </si>
  <si>
    <t>P883001</t>
  </si>
  <si>
    <t>PGLS-201-B5T</t>
  </si>
  <si>
    <t>C883</t>
  </si>
  <si>
    <t>P870002</t>
  </si>
  <si>
    <t>N8</t>
  </si>
  <si>
    <t>P460014</t>
  </si>
  <si>
    <t>CITRINE</t>
  </si>
  <si>
    <t>P805031</t>
  </si>
  <si>
    <t>MAX-1500</t>
  </si>
  <si>
    <t>P805032</t>
  </si>
  <si>
    <t>BW42487</t>
  </si>
  <si>
    <t>P880001</t>
  </si>
  <si>
    <t>SILKN VII</t>
  </si>
  <si>
    <t>C880</t>
  </si>
  <si>
    <t>深圳市恒天伟焱科技股份有限公司</t>
  </si>
  <si>
    <t>P884001</t>
  </si>
  <si>
    <t>GFD</t>
  </si>
  <si>
    <t>C884</t>
  </si>
  <si>
    <t>Glowforge,Inc.</t>
  </si>
  <si>
    <t>P208010</t>
  </si>
  <si>
    <t>CWS</t>
  </si>
  <si>
    <t>P360001</t>
  </si>
  <si>
    <t>Luther</t>
  </si>
  <si>
    <r>
      <t>V</t>
    </r>
    <r>
      <rPr>
        <sz val="10"/>
        <rFont val="Arial"/>
        <family val="2"/>
      </rPr>
      <t>IP</t>
    </r>
    <r>
      <rPr>
        <sz val="10"/>
        <rFont val="宋体"/>
        <family val="3"/>
        <charset val="134"/>
      </rPr>
      <t>返利</t>
    </r>
    <phoneticPr fontId="3" type="noConversion"/>
  </si>
  <si>
    <t>(空白)</t>
  </si>
  <si>
    <t>VIP返利</t>
  </si>
  <si>
    <t>P293011</t>
    <phoneticPr fontId="3" type="noConversion"/>
  </si>
  <si>
    <t>P863001</t>
    <phoneticPr fontId="3" type="noConversion"/>
  </si>
  <si>
    <t>Stripe Inc.</t>
    <phoneticPr fontId="3" type="noConversion"/>
  </si>
  <si>
    <t>高效二</t>
    <phoneticPr fontId="3" type="noConversion"/>
  </si>
  <si>
    <t>GoPro, Inc.</t>
    <phoneticPr fontId="3" type="noConversion"/>
  </si>
  <si>
    <t>Amazon com, Inc</t>
    <phoneticPr fontId="3" type="noConversion"/>
  </si>
  <si>
    <t>C821</t>
    <phoneticPr fontId="3" type="noConversion"/>
  </si>
  <si>
    <t>Square Inc.</t>
    <phoneticPr fontId="3" type="noConversion"/>
  </si>
  <si>
    <t>Square Inc.</t>
    <phoneticPr fontId="3" type="noConversion"/>
  </si>
  <si>
    <t>C821</t>
    <phoneticPr fontId="3" type="noConversion"/>
  </si>
  <si>
    <t>C831</t>
    <phoneticPr fontId="3" type="noConversion"/>
  </si>
  <si>
    <t>August Home, Inc.</t>
    <phoneticPr fontId="3" type="noConversion"/>
  </si>
  <si>
    <t>C856</t>
    <phoneticPr fontId="3" type="noConversion"/>
  </si>
  <si>
    <t>微软(中国)有限公司</t>
    <phoneticPr fontId="3" type="noConversion"/>
  </si>
  <si>
    <t>C860</t>
    <phoneticPr fontId="3" type="noConversion"/>
  </si>
  <si>
    <t>通力科技股份有限公司</t>
    <phoneticPr fontId="3" type="noConversion"/>
  </si>
  <si>
    <t>C863</t>
    <phoneticPr fontId="3" type="noConversion"/>
  </si>
  <si>
    <t>P869001</t>
  </si>
  <si>
    <t>FI02</t>
  </si>
  <si>
    <t>P871001</t>
  </si>
  <si>
    <t>封装高功率LED硅胶透镜</t>
  </si>
  <si>
    <t>C871</t>
  </si>
  <si>
    <t>P882001</t>
  </si>
  <si>
    <t>MINI LENS</t>
  </si>
  <si>
    <t>C882</t>
  </si>
  <si>
    <t>P824009</t>
  </si>
  <si>
    <t>X2-AIR</t>
  </si>
  <si>
    <t>P883002</t>
  </si>
  <si>
    <t>PGLS-202-B1T</t>
  </si>
  <si>
    <t>P824010</t>
  </si>
  <si>
    <t>MIMOSA</t>
  </si>
  <si>
    <t>P330044</t>
  </si>
  <si>
    <t>ELFIN</t>
  </si>
  <si>
    <t>P871002</t>
  </si>
  <si>
    <t>封装高功率LED</t>
  </si>
  <si>
    <t>B60</t>
  </si>
  <si>
    <t>P808001</t>
  </si>
  <si>
    <t>W3490</t>
  </si>
  <si>
    <t>C808</t>
  </si>
  <si>
    <t>普尔思（苏州）无线通讯产品有限公司</t>
  </si>
  <si>
    <t>P208011</t>
  </si>
  <si>
    <t>HUGO</t>
  </si>
  <si>
    <t>P860007</t>
  </si>
  <si>
    <t>CETO</t>
  </si>
  <si>
    <t>P438019</t>
  </si>
  <si>
    <t>Calgary</t>
  </si>
  <si>
    <t>P863002</t>
    <phoneticPr fontId="3" type="noConversion"/>
  </si>
  <si>
    <t>Stripe Inc.</t>
    <phoneticPr fontId="3" type="noConversion"/>
  </si>
  <si>
    <t>P268002</t>
    <phoneticPr fontId="3" type="noConversion"/>
  </si>
  <si>
    <t>C268</t>
    <phoneticPr fontId="3" type="noConversion"/>
  </si>
  <si>
    <t>Apple Inc.</t>
    <phoneticPr fontId="3" type="noConversion"/>
  </si>
  <si>
    <t>P460003</t>
    <phoneticPr fontId="3" type="noConversion"/>
  </si>
  <si>
    <t>高效二</t>
    <phoneticPr fontId="3" type="noConversion"/>
  </si>
  <si>
    <t>Amazon com, Inc</t>
    <phoneticPr fontId="3" type="noConversion"/>
  </si>
  <si>
    <t>P460004</t>
    <phoneticPr fontId="3" type="noConversion"/>
  </si>
  <si>
    <t>P829003</t>
  </si>
  <si>
    <t>RADAR-RADOME</t>
  </si>
  <si>
    <t>P879002</t>
  </si>
  <si>
    <t>LIZARD</t>
  </si>
  <si>
    <t>P024111</t>
  </si>
  <si>
    <t>ZAPPA</t>
  </si>
  <si>
    <t>P860006</t>
  </si>
  <si>
    <t>TM04</t>
  </si>
  <si>
    <t>P437036</t>
  </si>
  <si>
    <t>FL22</t>
  </si>
  <si>
    <t>P437037</t>
  </si>
  <si>
    <t>FSE22</t>
  </si>
  <si>
    <t>P891001</t>
  </si>
  <si>
    <t>美容修复仪喷嘴</t>
  </si>
  <si>
    <t>C891</t>
  </si>
  <si>
    <t>深圳麦克韦尔科技有限公司</t>
  </si>
  <si>
    <t>P440091</t>
  </si>
  <si>
    <t>MUPPETS, SMURFS-0097</t>
  </si>
  <si>
    <t>P438040</t>
  </si>
  <si>
    <t>SQUAMISH</t>
  </si>
  <si>
    <t>P408001</t>
  </si>
  <si>
    <t>CH08</t>
  </si>
  <si>
    <t>P894001</t>
  </si>
  <si>
    <t>HAMMERHEAD</t>
  </si>
  <si>
    <t>C894</t>
  </si>
  <si>
    <t>陆逊梯卡华宏（东莞）眼镜有限公司</t>
  </si>
  <si>
    <t>P872003</t>
  </si>
  <si>
    <t>P890001</t>
  </si>
  <si>
    <t>P440086</t>
  </si>
  <si>
    <t>P440087</t>
  </si>
  <si>
    <t>P440088</t>
  </si>
  <si>
    <t>P440089</t>
  </si>
  <si>
    <t>P440090</t>
  </si>
  <si>
    <t>P330007</t>
  </si>
  <si>
    <t>P860008</t>
  </si>
  <si>
    <t>B100量产后费用归集</t>
  </si>
  <si>
    <t>珠穆朗玛</t>
  </si>
  <si>
    <t>THUNDERBOLT</t>
  </si>
  <si>
    <t>SNAP-0097</t>
  </si>
  <si>
    <t>SNAP-0227</t>
  </si>
  <si>
    <t>SNAP-0262</t>
  </si>
  <si>
    <t>SNAP-0041</t>
  </si>
  <si>
    <t>SNAP-0277</t>
  </si>
  <si>
    <t>Super Mario</t>
  </si>
  <si>
    <t>SONY HDX2981</t>
  </si>
  <si>
    <t>惠州视维新技术有限公司</t>
  </si>
  <si>
    <t>C890</t>
  </si>
  <si>
    <t>Zebra Technologies Corporation</t>
  </si>
  <si>
    <t>P805033</t>
  </si>
  <si>
    <t>X9</t>
  </si>
  <si>
    <t>P895001</t>
  </si>
  <si>
    <t>8003射频仪</t>
  </si>
  <si>
    <t>C895</t>
  </si>
  <si>
    <t>云南贝泰妮生物科技集团股份有限公司</t>
  </si>
  <si>
    <t>P208005</t>
  </si>
  <si>
    <t>MYLEZ</t>
  </si>
  <si>
    <t>P805013</t>
  </si>
  <si>
    <t>SP03</t>
  </si>
  <si>
    <t>P408005</t>
  </si>
  <si>
    <t>CH10+</t>
  </si>
  <si>
    <t>P408007</t>
  </si>
  <si>
    <t>CH14+</t>
  </si>
  <si>
    <t>P894003</t>
  </si>
  <si>
    <t>SM</t>
  </si>
  <si>
    <t>P866006</t>
  </si>
  <si>
    <t>KAUAI</t>
  </si>
  <si>
    <t>Meta Platforms, Inc.</t>
  </si>
  <si>
    <t>P330047</t>
  </si>
  <si>
    <t>ASTRA PRO</t>
  </si>
  <si>
    <t>P872002</t>
  </si>
  <si>
    <t>麦金利B41</t>
  </si>
  <si>
    <t>P805034</t>
  </si>
  <si>
    <t>KUGA</t>
  </si>
  <si>
    <t>P404010</t>
  </si>
  <si>
    <t>AG1</t>
  </si>
  <si>
    <t>P360005</t>
  </si>
  <si>
    <t>Estelle</t>
  </si>
  <si>
    <t>P360004</t>
  </si>
  <si>
    <t>Gotham</t>
  </si>
  <si>
    <t>P360003</t>
  </si>
  <si>
    <t>Joplin</t>
  </si>
  <si>
    <t>P302001</t>
  </si>
  <si>
    <t>Power Pack</t>
  </si>
  <si>
    <t>Magic Leap Inc.</t>
  </si>
  <si>
    <t>P404011</t>
  </si>
  <si>
    <t>HQ-Head</t>
  </si>
  <si>
    <t>P370001</t>
  </si>
  <si>
    <t>Wrist Worn</t>
  </si>
  <si>
    <t>Ava AG</t>
  </si>
  <si>
    <t>P440017</t>
  </si>
  <si>
    <t>TECH DEV-84&amp;85</t>
  </si>
  <si>
    <t>P892001</t>
  </si>
  <si>
    <t>X571</t>
  </si>
  <si>
    <t>C892</t>
  </si>
  <si>
    <t>Dyson R&amp;D (Shanghai) Limitied</t>
  </si>
  <si>
    <t>P866007</t>
  </si>
  <si>
    <t>EUREKA</t>
  </si>
  <si>
    <t>P831007</t>
  </si>
  <si>
    <t>MATRIX</t>
  </si>
  <si>
    <t>P250059</t>
  </si>
  <si>
    <t>CZ57</t>
  </si>
  <si>
    <t>Western Digital Technologies,Inc.</t>
  </si>
  <si>
    <t>P250063</t>
  </si>
  <si>
    <t>Rugged</t>
  </si>
  <si>
    <t>P297001</t>
  </si>
  <si>
    <t>Wallace</t>
  </si>
  <si>
    <t>Currant, Inc.</t>
  </si>
  <si>
    <t xml:space="preserve">Google </t>
  </si>
  <si>
    <t>P437017</t>
  </si>
  <si>
    <t>Argon</t>
  </si>
  <si>
    <t>P440008</t>
  </si>
  <si>
    <t>Whitetail-28IML</t>
  </si>
  <si>
    <t>P404004</t>
  </si>
  <si>
    <t>Wall plate</t>
  </si>
  <si>
    <t>P805035</t>
  </si>
  <si>
    <t>N1002</t>
  </si>
  <si>
    <t>P866008</t>
  </si>
  <si>
    <t>SERRA</t>
  </si>
  <si>
    <t>P912001</t>
  </si>
  <si>
    <t>C912</t>
  </si>
  <si>
    <t>TCL王牌电器（惠州）有限公司</t>
  </si>
  <si>
    <t>P907001</t>
  </si>
  <si>
    <t>SONYPDS</t>
  </si>
  <si>
    <t>C907</t>
  </si>
  <si>
    <t>索尼电子</t>
  </si>
  <si>
    <t>P024113</t>
  </si>
  <si>
    <t>OBAN X32</t>
  </si>
  <si>
    <t>P900001</t>
  </si>
  <si>
    <t>T18泛光灯</t>
  </si>
  <si>
    <t>C900</t>
  </si>
  <si>
    <t>深圳市华电照明有限公司</t>
  </si>
  <si>
    <t>P903001</t>
  </si>
  <si>
    <t>HONOR030A</t>
  </si>
  <si>
    <t>C903</t>
  </si>
  <si>
    <t>苏州嘉树医疗科技有限公司</t>
  </si>
  <si>
    <t>P805039</t>
  </si>
  <si>
    <t>LYRA BASIC</t>
  </si>
  <si>
    <t>P437038</t>
  </si>
  <si>
    <t>FMK23</t>
  </si>
  <si>
    <t>P909001</t>
  </si>
  <si>
    <t>汽车HUD硅胶透镜</t>
  </si>
  <si>
    <t>C909</t>
  </si>
  <si>
    <t>未来（北京）黑科技有限公司</t>
  </si>
  <si>
    <t>P866009</t>
  </si>
  <si>
    <t>F08</t>
  </si>
  <si>
    <t>P913001</t>
  </si>
  <si>
    <t>WB-01</t>
  </si>
  <si>
    <t>C913</t>
  </si>
  <si>
    <t>惠州市恩雅乐器有限公司</t>
  </si>
  <si>
    <t>P330048</t>
  </si>
  <si>
    <t>POLARIS</t>
  </si>
  <si>
    <t>P910001</t>
  </si>
  <si>
    <t>SHUFFLE CASE</t>
  </si>
  <si>
    <t>C910</t>
  </si>
  <si>
    <t>Opal Camera, Inc.</t>
  </si>
  <si>
    <t>P805038</t>
  </si>
  <si>
    <t>DOVE-电子烟</t>
  </si>
  <si>
    <t>P330012</t>
  </si>
  <si>
    <t>P435013</t>
  </si>
  <si>
    <t>Rio lightweight</t>
  </si>
  <si>
    <t>P208012</t>
  </si>
  <si>
    <t>CCT</t>
  </si>
  <si>
    <t>P893001</t>
  </si>
  <si>
    <t>PUFFIN</t>
  </si>
  <si>
    <t>C893</t>
  </si>
  <si>
    <t>Whoop,Inc</t>
  </si>
  <si>
    <t>P805036</t>
  </si>
  <si>
    <t>TIGER2</t>
  </si>
  <si>
    <t>P894002</t>
  </si>
  <si>
    <t>DUMMY</t>
  </si>
  <si>
    <t>P330046</t>
  </si>
  <si>
    <t>BLIZZARD</t>
  </si>
  <si>
    <t>P805037</t>
  </si>
  <si>
    <t>F5433</t>
  </si>
  <si>
    <t>P902001</t>
  </si>
  <si>
    <t>CGM弹射器组件</t>
  </si>
  <si>
    <t>C902</t>
  </si>
  <si>
    <t>上海联影微电子科技有限公司</t>
  </si>
  <si>
    <t>P896001</t>
  </si>
  <si>
    <t>试剂条</t>
  </si>
  <si>
    <t>C896</t>
  </si>
  <si>
    <t>上海艾瑞德生物科技有限公司</t>
  </si>
  <si>
    <t>P330045</t>
  </si>
  <si>
    <t>DUBLIN</t>
  </si>
  <si>
    <t>P831008</t>
  </si>
  <si>
    <t>400 FP</t>
  </si>
  <si>
    <t>P902002</t>
  </si>
  <si>
    <t>LY02_助听器</t>
  </si>
  <si>
    <t>P208013</t>
  </si>
  <si>
    <t>BOS</t>
  </si>
  <si>
    <t>P208014</t>
  </si>
  <si>
    <t>SEAL</t>
  </si>
  <si>
    <t>P824012</t>
  </si>
  <si>
    <t>MODI 1K BOX ENTRY</t>
  </si>
  <si>
    <t>P809008</t>
  </si>
  <si>
    <t>RITA</t>
  </si>
  <si>
    <t>P906001</t>
  </si>
  <si>
    <t>ADB汽车车灯</t>
  </si>
  <si>
    <t>C906</t>
  </si>
  <si>
    <t>深圳市中光工业技术研究所</t>
  </si>
  <si>
    <t>P824013</t>
  </si>
  <si>
    <t>MODI 5K BOX FULL</t>
  </si>
  <si>
    <t>P824014</t>
  </si>
  <si>
    <t>MODI 1K BOX FULL</t>
  </si>
  <si>
    <t>P805040</t>
  </si>
  <si>
    <t>合元-加热不燃烧项目-F5427-实验模具启动</t>
  </si>
  <si>
    <t>P805041</t>
  </si>
  <si>
    <t>ARTEMIS 1.1 PRO</t>
  </si>
  <si>
    <t>TKHZ05</t>
  </si>
  <si>
    <t>PDS</t>
  </si>
  <si>
    <t>P907002</t>
  </si>
  <si>
    <t>P440092</t>
  </si>
  <si>
    <t>PIXYSTIX-99-DAYGLOW</t>
  </si>
  <si>
    <t>P821005</t>
  </si>
  <si>
    <t>R42</t>
  </si>
  <si>
    <t>P438052</t>
  </si>
  <si>
    <t>PTB</t>
  </si>
  <si>
    <t>P824015</t>
  </si>
  <si>
    <t>HESTIA</t>
  </si>
  <si>
    <t>P920001</t>
  </si>
  <si>
    <t>C920</t>
  </si>
  <si>
    <t>玩出梦想（上海）科技有限公司</t>
  </si>
  <si>
    <t>P912002</t>
  </si>
  <si>
    <t>麦金利</t>
  </si>
  <si>
    <t>P913002</t>
  </si>
  <si>
    <t>NEXG SE</t>
  </si>
  <si>
    <t>P861005</t>
  </si>
  <si>
    <t>GD16</t>
  </si>
  <si>
    <t>P913004</t>
  </si>
  <si>
    <t>MG01</t>
  </si>
  <si>
    <t>币别:HKD</t>
    <phoneticPr fontId="3" type="noConversion"/>
  </si>
  <si>
    <t>终端客户</t>
    <phoneticPr fontId="3" type="noConversion"/>
  </si>
  <si>
    <t>量产前收入</t>
    <phoneticPr fontId="3" type="noConversion"/>
  </si>
  <si>
    <t>量产前成本</t>
    <phoneticPr fontId="3" type="noConversion"/>
  </si>
  <si>
    <t>量产前收益</t>
    <phoneticPr fontId="3" type="noConversion"/>
  </si>
  <si>
    <t>量产后成本</t>
    <phoneticPr fontId="3" type="noConversion"/>
  </si>
  <si>
    <t>项目收益</t>
    <phoneticPr fontId="3" type="noConversion"/>
  </si>
  <si>
    <t>原因分析</t>
    <phoneticPr fontId="3" type="noConversion"/>
  </si>
  <si>
    <t>Facebook</t>
  </si>
  <si>
    <t>GN</t>
  </si>
  <si>
    <t>Bose</t>
  </si>
  <si>
    <t>FITBIT</t>
  </si>
  <si>
    <t>合元</t>
  </si>
  <si>
    <t>BAT</t>
  </si>
  <si>
    <t>Google</t>
  </si>
  <si>
    <t>麦克韦尔</t>
  </si>
  <si>
    <t>微软</t>
  </si>
  <si>
    <t>NOKIA</t>
  </si>
  <si>
    <t>PHILIPS</t>
  </si>
  <si>
    <t>Sonos</t>
  </si>
  <si>
    <t>炜盛</t>
  </si>
  <si>
    <t>TCL</t>
  </si>
  <si>
    <t>OTTERBOX</t>
  </si>
  <si>
    <t xml:space="preserve">August </t>
  </si>
  <si>
    <t>Sensirion</t>
  </si>
  <si>
    <t>歌尔</t>
  </si>
  <si>
    <t>影石</t>
  </si>
  <si>
    <t xml:space="preserve">Mobileye </t>
  </si>
  <si>
    <t>美律</t>
  </si>
  <si>
    <t>teenage</t>
  </si>
  <si>
    <t>骏丰</t>
  </si>
  <si>
    <t>ECOBEE</t>
  </si>
  <si>
    <t>AMAZON</t>
  </si>
  <si>
    <t>Glowforge</t>
  </si>
  <si>
    <t>Latch</t>
  </si>
  <si>
    <t>Lifescan</t>
  </si>
  <si>
    <t>NJOY</t>
  </si>
  <si>
    <t>Opal Camera</t>
  </si>
  <si>
    <t>POLYCOM</t>
  </si>
  <si>
    <t>Square</t>
  </si>
  <si>
    <t>Stripe</t>
  </si>
  <si>
    <t>TCL王牌电器</t>
  </si>
  <si>
    <t>Verifone</t>
  </si>
  <si>
    <t>Whoop</t>
  </si>
  <si>
    <t>Zebra</t>
  </si>
  <si>
    <t>贝泰妮</t>
  </si>
  <si>
    <t>恩雅乐器</t>
  </si>
  <si>
    <t>福尔达</t>
  </si>
  <si>
    <t>行者无疆</t>
  </si>
  <si>
    <t>和硕</t>
  </si>
  <si>
    <t>恒天伟焱</t>
  </si>
  <si>
    <t>嘉树医疗</t>
  </si>
  <si>
    <t>联影微</t>
  </si>
  <si>
    <t>欧太</t>
  </si>
  <si>
    <t>润视</t>
  </si>
  <si>
    <t>通力</t>
  </si>
  <si>
    <t>问问</t>
  </si>
  <si>
    <t>喜利得</t>
  </si>
  <si>
    <t>新产业</t>
  </si>
  <si>
    <t>卓力能</t>
  </si>
  <si>
    <t>HP2 2024年1-2月NPI报表明细</t>
  </si>
  <si>
    <t>P917001</t>
  </si>
  <si>
    <t>WA108警示灯</t>
  </si>
  <si>
    <t>C917</t>
  </si>
  <si>
    <t>鸿利智汇集团股份有限公司</t>
  </si>
  <si>
    <t>P824016</t>
  </si>
  <si>
    <t>MODI 2.0 1K BOX ESG</t>
  </si>
  <si>
    <t>P866010</t>
  </si>
  <si>
    <t>RODEO</t>
  </si>
  <si>
    <t>P860009</t>
  </si>
  <si>
    <t>P915001</t>
  </si>
  <si>
    <t>FYAS11</t>
  </si>
  <si>
    <t>C915</t>
  </si>
  <si>
    <t>東莞市富穎電子材料有限公司</t>
  </si>
  <si>
    <t>P201011</t>
  </si>
  <si>
    <t>人字口硅胶片</t>
  </si>
  <si>
    <t>P866011</t>
  </si>
  <si>
    <t>AA01</t>
  </si>
  <si>
    <t>668</t>
  </si>
  <si>
    <t>Audigo</t>
  </si>
  <si>
    <t>Ubicquia</t>
  </si>
  <si>
    <t>富晟</t>
  </si>
  <si>
    <t>广兴</t>
  </si>
  <si>
    <t>元晖</t>
  </si>
  <si>
    <t>佛吉亚</t>
  </si>
  <si>
    <t>Braloba</t>
  </si>
  <si>
    <t>Pax Labs</t>
  </si>
  <si>
    <t>GOPRO</t>
  </si>
  <si>
    <t>Cepheid</t>
  </si>
  <si>
    <t>C873</t>
  </si>
  <si>
    <t>海联成套</t>
  </si>
  <si>
    <t>康乐保</t>
  </si>
  <si>
    <t>安费诺</t>
  </si>
  <si>
    <t>爱立康</t>
  </si>
  <si>
    <r>
      <t>C</t>
    </r>
    <r>
      <rPr>
        <sz val="10"/>
        <rFont val="Arial"/>
        <family val="2"/>
      </rPr>
      <t>841</t>
    </r>
    <phoneticPr fontId="3" type="noConversion"/>
  </si>
  <si>
    <t>艺源</t>
  </si>
  <si>
    <t>洲明</t>
  </si>
  <si>
    <t>聚飞</t>
  </si>
  <si>
    <t>普尔思</t>
  </si>
  <si>
    <t>陆逊梯卡</t>
  </si>
  <si>
    <t xml:space="preserve">Phonak </t>
  </si>
  <si>
    <t>Magic Leap</t>
  </si>
  <si>
    <t>SANDISK</t>
  </si>
  <si>
    <t>Dyson</t>
  </si>
  <si>
    <t>锐思</t>
  </si>
  <si>
    <t>Currant</t>
  </si>
  <si>
    <t>华电照明</t>
  </si>
  <si>
    <t>未来（北京）</t>
  </si>
  <si>
    <t>艾瑞德</t>
  </si>
  <si>
    <t>中光工业</t>
  </si>
  <si>
    <t>玩出梦想</t>
  </si>
  <si>
    <t>HL- LENS</t>
  </si>
  <si>
    <t>海联成</t>
  </si>
  <si>
    <t>鸿利智汇</t>
  </si>
  <si>
    <t>富穎電子</t>
  </si>
  <si>
    <t>富穎電子</t>
    <phoneticPr fontId="3" type="noConversion"/>
  </si>
  <si>
    <t>P330049</t>
  </si>
  <si>
    <t>ARECA</t>
  </si>
  <si>
    <t>P904001</t>
  </si>
  <si>
    <t>大悦盆底肌修复仪</t>
  </si>
  <si>
    <t>C904</t>
  </si>
  <si>
    <t>大悦创新（苏州）医疗科技股份有限公司</t>
  </si>
  <si>
    <t>P894004</t>
  </si>
  <si>
    <t>SAN MARCO</t>
  </si>
  <si>
    <t>P918001</t>
  </si>
  <si>
    <t>C918</t>
  </si>
  <si>
    <t>深圳云普星河科技服务有限公司</t>
  </si>
  <si>
    <t>P360025</t>
  </si>
  <si>
    <t>FME23</t>
  </si>
  <si>
    <t>P907003</t>
  </si>
  <si>
    <t>ER24</t>
  </si>
  <si>
    <t>P805017</t>
  </si>
  <si>
    <t>DM1</t>
  </si>
  <si>
    <t>P438042</t>
  </si>
  <si>
    <t>S9000</t>
  </si>
  <si>
    <t>P330016</t>
  </si>
  <si>
    <t>FREJA</t>
  </si>
  <si>
    <t>P435001</t>
  </si>
  <si>
    <t>FLASH</t>
  </si>
  <si>
    <t>P824017</t>
  </si>
  <si>
    <t>MODI 1K PEN DEFAULT</t>
  </si>
  <si>
    <t>P824018</t>
  </si>
  <si>
    <t>MODI 1K PEN FULL</t>
  </si>
  <si>
    <t>P824020</t>
  </si>
  <si>
    <t>MODI 8K BOX FULL</t>
  </si>
  <si>
    <t>P921001</t>
  </si>
  <si>
    <t>POLARIS2.8</t>
  </si>
  <si>
    <t>C921</t>
  </si>
  <si>
    <t>汉朔科技股份有限公司</t>
  </si>
  <si>
    <t>P781014</t>
  </si>
  <si>
    <t>ATTIS</t>
  </si>
  <si>
    <t>大悦创新</t>
    <phoneticPr fontId="3" type="noConversion"/>
  </si>
  <si>
    <t>云普星河</t>
    <phoneticPr fontId="3" type="noConversion"/>
  </si>
  <si>
    <t>汉朔</t>
    <phoneticPr fontId="3" type="noConversion"/>
  </si>
  <si>
    <t>币别:HKD</t>
    <phoneticPr fontId="3" type="noConversion"/>
  </si>
  <si>
    <t>项目收益</t>
    <phoneticPr fontId="3" type="noConversion"/>
  </si>
  <si>
    <t>合计：</t>
    <phoneticPr fontId="3" type="noConversion"/>
  </si>
  <si>
    <t>项目收益</t>
    <phoneticPr fontId="3" type="noConversion"/>
  </si>
  <si>
    <t>量产前夹治具成本</t>
    <phoneticPr fontId="3" type="noConversion"/>
  </si>
  <si>
    <t>TK项目号</t>
    <phoneticPr fontId="3" type="noConversion"/>
  </si>
  <si>
    <t>币别:HKD</t>
    <phoneticPr fontId="3" type="noConversion"/>
  </si>
  <si>
    <t>币别:HKD</t>
    <phoneticPr fontId="3" type="noConversion"/>
  </si>
  <si>
    <t>TK项目号</t>
    <phoneticPr fontId="3" type="noConversion"/>
  </si>
  <si>
    <t>量产前夹治具成本</t>
    <phoneticPr fontId="3" type="noConversion"/>
  </si>
  <si>
    <t>TK项目号</t>
    <phoneticPr fontId="3" type="noConversion"/>
  </si>
  <si>
    <t>币别:HKD</t>
    <phoneticPr fontId="3" type="noConversion"/>
  </si>
  <si>
    <t>量产前夹治具成本</t>
    <phoneticPr fontId="3" type="noConversion"/>
  </si>
  <si>
    <t>项目收益</t>
    <phoneticPr fontId="3" type="noConversion"/>
  </si>
  <si>
    <t>项目收益</t>
    <phoneticPr fontId="3" type="noConversion"/>
  </si>
  <si>
    <t>项目收益</t>
    <phoneticPr fontId="3" type="noConversion"/>
  </si>
  <si>
    <t>合计</t>
    <phoneticPr fontId="10" type="noConversion"/>
  </si>
  <si>
    <t>HP1</t>
    <phoneticPr fontId="3" type="noConversion"/>
  </si>
  <si>
    <t>HP3</t>
    <phoneticPr fontId="3" type="noConversion"/>
  </si>
  <si>
    <t>HP4</t>
    <phoneticPr fontId="3" type="noConversion"/>
  </si>
  <si>
    <t>SD1</t>
    <phoneticPr fontId="3" type="noConversion"/>
  </si>
  <si>
    <t>MDT</t>
    <phoneticPr fontId="3" type="noConversion"/>
  </si>
  <si>
    <t>HCT</t>
    <phoneticPr fontId="3" type="noConversion"/>
  </si>
  <si>
    <t>HD1</t>
    <phoneticPr fontId="3" type="noConversion"/>
  </si>
  <si>
    <t>HD2</t>
    <phoneticPr fontId="3" type="noConversion"/>
  </si>
  <si>
    <t>TKYN</t>
    <phoneticPr fontId="3" type="noConversion"/>
  </si>
  <si>
    <t>PDS</t>
    <phoneticPr fontId="3" type="noConversion"/>
  </si>
  <si>
    <t>C841</t>
  </si>
  <si>
    <t>大悦创新</t>
  </si>
  <si>
    <t>云普星河</t>
  </si>
  <si>
    <t>汉朔</t>
  </si>
  <si>
    <t>ecobee</t>
  </si>
  <si>
    <t>P866012</t>
  </si>
  <si>
    <t>ZOLIAN</t>
  </si>
  <si>
    <t>P809009</t>
  </si>
  <si>
    <t>AG10AG20</t>
  </si>
  <si>
    <t>P201012</t>
  </si>
  <si>
    <t>2A00量产前二次加工打样成本</t>
  </si>
  <si>
    <t>P460015</t>
  </si>
  <si>
    <t>MALRIN REFRESH</t>
  </si>
  <si>
    <t>Amazon</t>
  </si>
  <si>
    <t>P924001</t>
  </si>
  <si>
    <t>C924</t>
  </si>
  <si>
    <t>深圳高视科技有限公司</t>
  </si>
  <si>
    <t>P897001</t>
  </si>
  <si>
    <t>ZINGO</t>
  </si>
  <si>
    <t>C897</t>
  </si>
  <si>
    <t>普乐（广州）药业有限公司</t>
  </si>
  <si>
    <t>P360026</t>
  </si>
  <si>
    <t>FK23</t>
  </si>
  <si>
    <t>P922001</t>
  </si>
  <si>
    <t>ALPHA</t>
  </si>
  <si>
    <t>C922</t>
  </si>
  <si>
    <t>Philip Morris Asia Limited</t>
  </si>
  <si>
    <t>P850002</t>
  </si>
  <si>
    <t>GS-1399 /1401 硅胶耳挂</t>
  </si>
  <si>
    <t>C850</t>
  </si>
  <si>
    <t>深圳市冠旭电子股份有限公司</t>
  </si>
  <si>
    <t>P893002</t>
  </si>
  <si>
    <t>GOOSE</t>
  </si>
  <si>
    <t>P824021</t>
  </si>
  <si>
    <t>CLYDE</t>
  </si>
  <si>
    <t>P781015</t>
  </si>
  <si>
    <t>RHODOS  3.0</t>
  </si>
  <si>
    <t>HZ1</t>
  </si>
  <si>
    <t>TKTC</t>
  </si>
  <si>
    <t>艺源塑胶制品有限公司</t>
  </si>
  <si>
    <t>苏州海联成套电器设备有限公司</t>
  </si>
  <si>
    <t>宁波福尔达智能科技股份有限公司</t>
  </si>
  <si>
    <t>上海欧太医疗器械有限公司</t>
  </si>
  <si>
    <t>深圳市洲明科技股份有限公司</t>
  </si>
  <si>
    <t>惠州市聚飞光电有限公司</t>
  </si>
  <si>
    <t>深圳市瑞丰光电子股份有限公司</t>
  </si>
  <si>
    <t>高视科技</t>
  </si>
  <si>
    <t>普乐</t>
  </si>
  <si>
    <t>PMI（菲莫国际）</t>
  </si>
  <si>
    <t>冠旭电子</t>
  </si>
  <si>
    <t>Meta</t>
  </si>
  <si>
    <t>总计：</t>
    <phoneticPr fontId="3" type="noConversion"/>
  </si>
  <si>
    <t>P932001</t>
  </si>
  <si>
    <t>YARE</t>
  </si>
  <si>
    <t>C932</t>
  </si>
  <si>
    <t>SAMSUNG</t>
  </si>
  <si>
    <t>P866013</t>
  </si>
  <si>
    <t>WX01</t>
  </si>
  <si>
    <t>P921002</t>
  </si>
  <si>
    <t>POLARS2.8</t>
  </si>
  <si>
    <t>P884002</t>
  </si>
  <si>
    <t>GFD BASIC</t>
  </si>
  <si>
    <t>P869002</t>
  </si>
  <si>
    <t>FI08</t>
  </si>
  <si>
    <t>P879003</t>
  </si>
  <si>
    <t>GIBBON-D</t>
  </si>
  <si>
    <t>P438050</t>
  </si>
  <si>
    <t>YANGZE</t>
  </si>
  <si>
    <t>P866014</t>
  </si>
  <si>
    <t>AA02</t>
  </si>
  <si>
    <t>P921003</t>
  </si>
  <si>
    <t>N266</t>
  </si>
  <si>
    <t>P824023</t>
  </si>
  <si>
    <t>MD2.0-3K BOX</t>
  </si>
  <si>
    <t>P024114</t>
  </si>
  <si>
    <t>ESTUARY</t>
  </si>
  <si>
    <t>P930001</t>
  </si>
  <si>
    <t>PETROS</t>
  </si>
  <si>
    <t>C930</t>
  </si>
  <si>
    <t>Eargo Inc.</t>
  </si>
  <si>
    <t>Eargo</t>
  </si>
  <si>
    <t>TKP 2024年NPI报表（1-6月）-按客户终端汇总</t>
    <phoneticPr fontId="3" type="noConversion"/>
  </si>
  <si>
    <t>TKP 2024年NPI报表（1-6月）-按BU汇总</t>
    <phoneticPr fontId="3" type="noConversion"/>
  </si>
  <si>
    <t>TKP 2024年1-6月NPI报表明细</t>
  </si>
  <si>
    <t>TKYN 2024年1-6月NPI报表明细</t>
  </si>
  <si>
    <t>TKTC 2024年1-6月NPI报表明细</t>
  </si>
  <si>
    <t>HD2 2024年1-6月NPI报表明细</t>
  </si>
  <si>
    <t>HD1 2024年1-6月NPI报表明细</t>
  </si>
  <si>
    <t>HZ 2024年1-6月NPI报表明细</t>
  </si>
  <si>
    <t>HCT 2024年1-6月NPI报表明细</t>
  </si>
  <si>
    <t>MDT 2024年1-6月NPI报表明细</t>
  </si>
  <si>
    <t>SD1 2024年1-6月NPI报表明细</t>
  </si>
  <si>
    <t>HP4 2024年1-6月NPI报表明细</t>
  </si>
  <si>
    <t>HP3 2024年1-6月NPI报表明细</t>
  </si>
  <si>
    <t>HP1 2024年1-6月NPI明细</t>
  </si>
  <si>
    <t>P028011</t>
  </si>
  <si>
    <t>BOSE PRINCE</t>
  </si>
  <si>
    <t>P208015</t>
  </si>
  <si>
    <t>THK</t>
  </si>
  <si>
    <t>P208016</t>
  </si>
  <si>
    <t>UCS</t>
  </si>
  <si>
    <t>P330050</t>
  </si>
  <si>
    <t>FIRE FOOT</t>
  </si>
  <si>
    <t>P440093</t>
  </si>
  <si>
    <t>HART-0097</t>
  </si>
  <si>
    <t>P460016</t>
  </si>
  <si>
    <t>BARLEY</t>
  </si>
  <si>
    <t>P824019</t>
  </si>
  <si>
    <t>MODI 5K BOX FULL-ESG</t>
  </si>
  <si>
    <t>P824024</t>
  </si>
  <si>
    <t>HESTIA 1.1</t>
  </si>
  <si>
    <t>P862003</t>
  </si>
  <si>
    <t>影石X4</t>
  </si>
  <si>
    <t>P876002</t>
  </si>
  <si>
    <t>ROUNDHOUSE</t>
  </si>
  <si>
    <t>P891002</t>
  </si>
  <si>
    <t>模具/P891-00005</t>
  </si>
  <si>
    <t>P903002</t>
  </si>
  <si>
    <t>果粉笔GOLD300A</t>
  </si>
  <si>
    <t>P923001</t>
  </si>
  <si>
    <t>PH02 PADS</t>
  </si>
  <si>
    <t>C923</t>
  </si>
  <si>
    <t>Backbone Labs</t>
  </si>
  <si>
    <t>P927001</t>
  </si>
  <si>
    <t>硅胶LENS 透镜</t>
  </si>
  <si>
    <t>C927</t>
  </si>
  <si>
    <t>东莞市银禧光电科技股份有限公司</t>
  </si>
  <si>
    <t>P934001</t>
  </si>
  <si>
    <t>KOALA</t>
  </si>
  <si>
    <t>C934</t>
  </si>
  <si>
    <t>ChargePoint Inc.</t>
  </si>
  <si>
    <t>P935001</t>
  </si>
  <si>
    <t>复眼透镜</t>
  </si>
  <si>
    <t>C935</t>
  </si>
  <si>
    <t>浙江蔚元电子科技有限公司</t>
  </si>
  <si>
    <t>高效一注塑</t>
  </si>
  <si>
    <t>28</t>
  </si>
  <si>
    <t>T65F</t>
  </si>
  <si>
    <t>ARASHI</t>
  </si>
  <si>
    <t>SONOS</t>
  </si>
  <si>
    <t>SMOORE</t>
  </si>
  <si>
    <t>嘉树</t>
  </si>
  <si>
    <t>BACKBONE</t>
  </si>
  <si>
    <t>银禧光电</t>
  </si>
  <si>
    <t>CHARGEPOINT INC.</t>
  </si>
  <si>
    <t>蔚元</t>
  </si>
  <si>
    <t>OTTERBOX</t>
    <phoneticPr fontId="3" type="noConversion"/>
  </si>
  <si>
    <t>Amazon</t>
    <phoneticPr fontId="3" type="noConversion"/>
  </si>
  <si>
    <t>GN</t>
    <phoneticPr fontId="3" type="noConversion"/>
  </si>
  <si>
    <t>Bose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</si>
</sst>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 * #,##0.00_ ;_ * \-#,##0.00_ ;_ * &quot;-&quot;??_ ;_ @_ "/>
    <numFmt numFmtId="176" formatCode="0_);[Red]\(0\)"/>
    <numFmt numFmtId="177" formatCode="_ * #,##0_ ;_ * \-#,##0_ ;_ * &quot;-&quot;??_ ;_ @_ "/>
  </numFmts>
  <fonts count="22" x14ac:knownFonts="1">
    <font>
      <sz val="10"/>
      <name val="Arial"/>
    </font>
    <font>
      <sz val="10"/>
      <name val="Arial"/>
      <family val="2"/>
    </font>
    <font>
      <sz val="10"/>
      <name val="宋体"/>
      <family val="3"/>
      <charset val="134"/>
    </font>
    <font>
      <sz val="9"/>
      <name val="宋体"/>
      <family val="3"/>
      <charset val="134"/>
    </font>
    <font>
      <sz val="9"/>
      <color indexed="81"/>
      <name val="宋体"/>
      <family val="3"/>
      <charset val="134"/>
    </font>
    <font>
      <b/>
      <sz val="9"/>
      <color indexed="81"/>
      <name val="宋体"/>
      <family val="3"/>
      <charset val="134"/>
    </font>
    <font>
      <b/>
      <sz val="12"/>
      <name val="Arial"/>
      <family val="2"/>
    </font>
    <font>
      <sz val="11"/>
      <color theme="1"/>
      <name val="宋体"/>
      <family val="2"/>
      <scheme val="minor"/>
    </font>
    <font>
      <sz val="10"/>
      <color theme="1"/>
      <name val="宋体"/>
      <family val="2"/>
      <scheme val="minor"/>
    </font>
    <font>
      <sz val="10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10"/>
      <name val="宋体"/>
      <family val="3"/>
      <charset val="134"/>
      <scheme val="minor"/>
    </font>
    <font>
      <b/>
      <sz val="14"/>
      <name val="宋体"/>
      <family val="3"/>
      <charset val="134"/>
      <scheme val="minor"/>
    </font>
    <font>
      <b/>
      <sz val="10"/>
      <name val="宋体"/>
      <family val="3"/>
      <charset val="134"/>
      <scheme val="minor"/>
    </font>
    <font>
      <sz val="10"/>
      <color rgb="FFFF0000"/>
      <name val="Arial"/>
      <family val="2"/>
    </font>
    <font>
      <b/>
      <sz val="10"/>
      <color theme="1"/>
      <name val="Arial"/>
      <family val="2"/>
    </font>
    <font>
      <b/>
      <sz val="10"/>
      <color theme="1"/>
      <name val="宋体"/>
      <family val="3"/>
      <charset val="134"/>
    </font>
    <font>
      <sz val="10"/>
      <color theme="1"/>
      <name val="Arial"/>
      <family val="2"/>
    </font>
    <font>
      <b/>
      <sz val="10"/>
      <name val="宋体"/>
      <family val="2"/>
      <charset val="134"/>
    </font>
    <font>
      <b/>
      <sz val="10"/>
      <name val="Arial"/>
      <family val="2"/>
    </font>
    <font>
      <sz val="10"/>
      <color rgb="FFFF0000"/>
      <name val="宋体"/>
      <family val="2"/>
      <charset val="134"/>
    </font>
    <font>
      <sz val="10"/>
      <color rgb="FFFF0000"/>
      <name val="宋体"/>
      <family val="3"/>
      <charset val="134"/>
    </font>
  </fonts>
  <fills count="1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43" fontId="1" fillId="0" borderId="0" applyFont="0" applyFill="0" applyBorder="0" applyAlignment="0" applyProtection="0">
      <alignment vertical="center"/>
    </xf>
    <xf numFmtId="0" fontId="7" fillId="0" borderId="0"/>
    <xf numFmtId="43" fontId="7" fillId="0" borderId="0" applyFont="0" applyFill="0" applyBorder="0" applyAlignment="0" applyProtection="0">
      <alignment vertical="center"/>
    </xf>
    <xf numFmtId="0" fontId="1" fillId="0" borderId="0"/>
  </cellStyleXfs>
  <cellXfs count="142">
    <xf numFmtId="0" fontId="0" fillId="0" borderId="0" xfId="0" applyAlignment="1">
      <alignment vertical="top"/>
    </xf>
    <xf numFmtId="43" fontId="9" fillId="4" borderId="9" xfId="1" applyFont="1" applyFill="1" applyBorder="1" applyAlignment="1">
      <alignment vertical="center"/>
    </xf>
    <xf numFmtId="43" fontId="9" fillId="4" borderId="0" xfId="1" applyFont="1" applyFill="1" applyAlignment="1"/>
    <xf numFmtId="14" fontId="9" fillId="4" borderId="1" xfId="2" applyNumberFormat="1" applyFont="1" applyFill="1" applyBorder="1" applyAlignment="1">
      <alignment horizontal="right" vertical="top"/>
    </xf>
    <xf numFmtId="43" fontId="9" fillId="4" borderId="1" xfId="1" applyFont="1" applyFill="1" applyBorder="1" applyAlignment="1">
      <alignment horizontal="right" vertical="top"/>
    </xf>
    <xf numFmtId="43" fontId="9" fillId="4" borderId="6" xfId="1" applyFont="1" applyFill="1" applyBorder="1" applyAlignment="1">
      <alignment horizontal="right" vertical="top"/>
    </xf>
    <xf numFmtId="14" fontId="9" fillId="4" borderId="1" xfId="2" applyNumberFormat="1" applyFont="1" applyFill="1" applyBorder="1" applyAlignment="1">
      <alignment horizontal="right" vertical="center"/>
    </xf>
    <xf numFmtId="43" fontId="9" fillId="4" borderId="1" xfId="1" applyFont="1" applyFill="1" applyBorder="1" applyAlignment="1">
      <alignment horizontal="right" vertical="center"/>
    </xf>
    <xf numFmtId="43" fontId="9" fillId="4" borderId="6" xfId="1" applyFont="1" applyFill="1" applyBorder="1" applyAlignment="1">
      <alignment horizontal="right" vertical="center"/>
    </xf>
    <xf numFmtId="14" fontId="9" fillId="4" borderId="1" xfId="1" applyNumberFormat="1" applyFont="1" applyFill="1" applyBorder="1" applyAlignment="1">
      <alignment horizontal="right" vertical="top"/>
    </xf>
    <xf numFmtId="14" fontId="9" fillId="4" borderId="10" xfId="2" applyNumberFormat="1" applyFont="1" applyFill="1" applyBorder="1" applyAlignment="1">
      <alignment horizontal="right" vertical="center"/>
    </xf>
    <xf numFmtId="176" fontId="0" fillId="4" borderId="0" xfId="0" applyNumberFormat="1" applyFill="1" applyAlignment="1">
      <alignment vertical="top"/>
    </xf>
    <xf numFmtId="176" fontId="0" fillId="4" borderId="1" xfId="0" applyNumberFormat="1" applyFill="1" applyBorder="1" applyAlignment="1">
      <alignment horizontal="left" vertical="center"/>
    </xf>
    <xf numFmtId="176" fontId="9" fillId="4" borderId="0" xfId="2" applyNumberFormat="1" applyFont="1" applyFill="1" applyAlignment="1">
      <alignment vertical="top"/>
    </xf>
    <xf numFmtId="176" fontId="9" fillId="4" borderId="0" xfId="2" applyNumberFormat="1" applyFont="1" applyFill="1"/>
    <xf numFmtId="176" fontId="8" fillId="2" borderId="2" xfId="2" applyNumberFormat="1" applyFont="1" applyFill="1" applyBorder="1" applyAlignment="1">
      <alignment vertical="center"/>
    </xf>
    <xf numFmtId="176" fontId="9" fillId="4" borderId="0" xfId="2" applyNumberFormat="1" applyFont="1" applyFill="1" applyAlignment="1">
      <alignment vertical="center"/>
    </xf>
    <xf numFmtId="176" fontId="9" fillId="4" borderId="5" xfId="2" applyNumberFormat="1" applyFont="1" applyFill="1" applyBorder="1" applyAlignment="1">
      <alignment vertical="center"/>
    </xf>
    <xf numFmtId="176" fontId="9" fillId="4" borderId="1" xfId="2" applyNumberFormat="1" applyFont="1" applyFill="1" applyBorder="1" applyAlignment="1">
      <alignment vertical="center"/>
    </xf>
    <xf numFmtId="176" fontId="9" fillId="4" borderId="7" xfId="2" applyNumberFormat="1" applyFont="1" applyFill="1" applyBorder="1" applyAlignment="1">
      <alignment vertical="center"/>
    </xf>
    <xf numFmtId="176" fontId="9" fillId="4" borderId="8" xfId="2" applyNumberFormat="1" applyFont="1" applyFill="1" applyBorder="1" applyAlignment="1">
      <alignment vertical="center"/>
    </xf>
    <xf numFmtId="176" fontId="8" fillId="2" borderId="2" xfId="2" applyNumberFormat="1" applyFont="1" applyFill="1" applyBorder="1" applyAlignment="1">
      <alignment horizontal="left" vertical="center"/>
    </xf>
    <xf numFmtId="176" fontId="9" fillId="4" borderId="1" xfId="2" applyNumberFormat="1" applyFont="1" applyFill="1" applyBorder="1" applyAlignment="1">
      <alignment horizontal="left" vertical="center"/>
    </xf>
    <xf numFmtId="176" fontId="9" fillId="4" borderId="8" xfId="2" applyNumberFormat="1" applyFont="1" applyFill="1" applyBorder="1" applyAlignment="1">
      <alignment horizontal="left" vertical="center"/>
    </xf>
    <xf numFmtId="176" fontId="9" fillId="4" borderId="0" xfId="2" applyNumberFormat="1" applyFont="1" applyFill="1" applyAlignment="1">
      <alignment horizontal="left"/>
    </xf>
    <xf numFmtId="176" fontId="9" fillId="4" borderId="10" xfId="2" applyNumberFormat="1" applyFont="1" applyFill="1" applyBorder="1" applyAlignment="1">
      <alignment vertical="center"/>
    </xf>
    <xf numFmtId="176" fontId="9" fillId="4" borderId="10" xfId="2" applyNumberFormat="1" applyFont="1" applyFill="1" applyBorder="1" applyAlignment="1">
      <alignment horizontal="left" vertical="center"/>
    </xf>
    <xf numFmtId="43" fontId="0" fillId="4" borderId="1" xfId="1" applyFont="1" applyFill="1" applyBorder="1" applyAlignment="1">
      <alignment horizontal="left" vertical="center"/>
    </xf>
    <xf numFmtId="43" fontId="0" fillId="4" borderId="0" xfId="1" applyFont="1" applyFill="1" applyAlignment="1">
      <alignment vertical="top"/>
    </xf>
    <xf numFmtId="14" fontId="8" fillId="2" borderId="2" xfId="2" applyNumberFormat="1" applyFont="1" applyFill="1" applyBorder="1" applyAlignment="1">
      <alignment vertical="center"/>
    </xf>
    <xf numFmtId="14" fontId="9" fillId="4" borderId="8" xfId="2" applyNumberFormat="1" applyFont="1" applyFill="1" applyBorder="1" applyAlignment="1">
      <alignment vertical="center"/>
    </xf>
    <xf numFmtId="14" fontId="9" fillId="4" borderId="0" xfId="2" applyNumberFormat="1" applyFont="1" applyFill="1"/>
    <xf numFmtId="43" fontId="8" fillId="2" borderId="2" xfId="1" applyFont="1" applyFill="1" applyBorder="1" applyAlignment="1">
      <alignment vertical="center"/>
    </xf>
    <xf numFmtId="43" fontId="8" fillId="5" borderId="2" xfId="1" applyFont="1" applyFill="1" applyBorder="1" applyAlignment="1">
      <alignment vertical="center"/>
    </xf>
    <xf numFmtId="0" fontId="8" fillId="2" borderId="2" xfId="2" applyFont="1" applyFill="1" applyBorder="1" applyAlignment="1">
      <alignment vertical="center"/>
    </xf>
    <xf numFmtId="0" fontId="9" fillId="2" borderId="3" xfId="2" applyFont="1" applyFill="1" applyBorder="1" applyAlignment="1">
      <alignment vertical="center"/>
    </xf>
    <xf numFmtId="43" fontId="9" fillId="2" borderId="3" xfId="1" applyFont="1" applyFill="1" applyBorder="1" applyAlignment="1">
      <alignment vertical="center"/>
    </xf>
    <xf numFmtId="43" fontId="11" fillId="3" borderId="3" xfId="1" applyFont="1" applyFill="1" applyBorder="1" applyAlignment="1">
      <alignment vertical="center"/>
    </xf>
    <xf numFmtId="43" fontId="9" fillId="3" borderId="3" xfId="1" applyFont="1" applyFill="1" applyBorder="1" applyAlignment="1">
      <alignment vertical="center"/>
    </xf>
    <xf numFmtId="43" fontId="9" fillId="5" borderId="3" xfId="1" applyFont="1" applyFill="1" applyBorder="1" applyAlignment="1">
      <alignment vertical="center"/>
    </xf>
    <xf numFmtId="43" fontId="9" fillId="2" borderId="4" xfId="1" applyFont="1" applyFill="1" applyBorder="1" applyAlignment="1">
      <alignment vertical="center"/>
    </xf>
    <xf numFmtId="0" fontId="1" fillId="0" borderId="0" xfId="4" applyAlignment="1">
      <alignment vertical="top"/>
    </xf>
    <xf numFmtId="0" fontId="9" fillId="4" borderId="5" xfId="2" applyFont="1" applyFill="1" applyBorder="1" applyAlignment="1">
      <alignment vertical="center"/>
    </xf>
    <xf numFmtId="0" fontId="9" fillId="4" borderId="1" xfId="2" applyFont="1" applyFill="1" applyBorder="1" applyAlignment="1">
      <alignment vertical="center"/>
    </xf>
    <xf numFmtId="0" fontId="1" fillId="4" borderId="0" xfId="4" applyFill="1" applyAlignment="1">
      <alignment vertical="top"/>
    </xf>
    <xf numFmtId="43" fontId="9" fillId="4" borderId="5" xfId="1" applyFont="1" applyFill="1" applyBorder="1" applyAlignment="1">
      <alignment vertical="top"/>
    </xf>
    <xf numFmtId="43" fontId="9" fillId="4" borderId="1" xfId="1" applyFont="1" applyFill="1" applyBorder="1" applyAlignment="1">
      <alignment vertical="top"/>
    </xf>
    <xf numFmtId="0" fontId="9" fillId="4" borderId="5" xfId="2" applyFont="1" applyFill="1" applyBorder="1" applyAlignment="1">
      <alignment vertical="top"/>
    </xf>
    <xf numFmtId="0" fontId="9" fillId="4" borderId="1" xfId="2" applyFont="1" applyFill="1" applyBorder="1" applyAlignment="1">
      <alignment vertical="top"/>
    </xf>
    <xf numFmtId="0" fontId="9" fillId="4" borderId="1" xfId="2" applyFont="1" applyFill="1" applyBorder="1" applyAlignment="1">
      <alignment horizontal="center" vertical="center"/>
    </xf>
    <xf numFmtId="0" fontId="2" fillId="4" borderId="7" xfId="4" applyFont="1" applyFill="1" applyBorder="1" applyAlignment="1">
      <alignment vertical="top"/>
    </xf>
    <xf numFmtId="0" fontId="1" fillId="4" borderId="8" xfId="4" applyFill="1" applyBorder="1" applyAlignment="1">
      <alignment vertical="top"/>
    </xf>
    <xf numFmtId="43" fontId="0" fillId="4" borderId="8" xfId="1" applyFont="1" applyFill="1" applyBorder="1" applyAlignment="1">
      <alignment vertical="top"/>
    </xf>
    <xf numFmtId="43" fontId="0" fillId="4" borderId="9" xfId="1" applyFont="1" applyFill="1" applyBorder="1" applyAlignment="1">
      <alignment vertical="top"/>
    </xf>
    <xf numFmtId="176" fontId="0" fillId="0" borderId="5" xfId="0" applyNumberFormat="1" applyBorder="1" applyAlignment="1">
      <alignment horizontal="left" vertical="center"/>
    </xf>
    <xf numFmtId="176" fontId="0" fillId="0" borderId="1" xfId="0" applyNumberFormat="1" applyBorder="1" applyAlignment="1">
      <alignment horizontal="left" vertical="center"/>
    </xf>
    <xf numFmtId="14" fontId="0" fillId="0" borderId="1" xfId="0" applyNumberFormat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176" fontId="6" fillId="4" borderId="0" xfId="0" applyNumberFormat="1" applyFont="1" applyFill="1" applyAlignment="1">
      <alignment horizontal="left" vertical="center"/>
    </xf>
    <xf numFmtId="14" fontId="6" fillId="4" borderId="0" xfId="1" applyNumberFormat="1" applyFont="1" applyFill="1" applyBorder="1" applyAlignment="1">
      <alignment horizontal="left" vertical="center"/>
    </xf>
    <xf numFmtId="43" fontId="6" fillId="4" borderId="0" xfId="1" applyFont="1" applyFill="1" applyBorder="1" applyAlignment="1">
      <alignment horizontal="left" vertical="center"/>
    </xf>
    <xf numFmtId="43" fontId="0" fillId="4" borderId="0" xfId="1" applyFont="1" applyFill="1" applyBorder="1" applyAlignment="1">
      <alignment vertical="center"/>
    </xf>
    <xf numFmtId="176" fontId="0" fillId="4" borderId="0" xfId="0" applyNumberFormat="1" applyFill="1" applyAlignment="1">
      <alignment vertical="center"/>
    </xf>
    <xf numFmtId="0" fontId="0" fillId="4" borderId="1" xfId="0" applyFill="1" applyBorder="1" applyAlignment="1">
      <alignment horizontal="left" vertical="center"/>
    </xf>
    <xf numFmtId="176" fontId="1" fillId="4" borderId="10" xfId="0" applyNumberFormat="1" applyFont="1" applyFill="1" applyBorder="1" applyAlignment="1">
      <alignment horizontal="left" vertical="center"/>
    </xf>
    <xf numFmtId="14" fontId="9" fillId="4" borderId="1" xfId="2" applyNumberFormat="1" applyFont="1" applyFill="1" applyBorder="1" applyAlignment="1">
      <alignment vertical="center"/>
    </xf>
    <xf numFmtId="43" fontId="0" fillId="0" borderId="1" xfId="1" applyFont="1" applyFill="1" applyBorder="1" applyAlignment="1">
      <alignment horizontal="left" vertical="center"/>
    </xf>
    <xf numFmtId="0" fontId="0" fillId="4" borderId="1" xfId="0" applyFill="1" applyBorder="1" applyAlignment="1">
      <alignment horizontal="left" vertical="top"/>
    </xf>
    <xf numFmtId="0" fontId="12" fillId="4" borderId="0" xfId="4" applyFont="1" applyFill="1" applyAlignment="1">
      <alignment vertical="center"/>
    </xf>
    <xf numFmtId="0" fontId="13" fillId="4" borderId="0" xfId="4" applyFont="1" applyFill="1" applyAlignment="1">
      <alignment vertical="center"/>
    </xf>
    <xf numFmtId="177" fontId="0" fillId="4" borderId="1" xfId="1" applyNumberFormat="1" applyFont="1" applyFill="1" applyBorder="1" applyAlignment="1">
      <alignment vertical="top"/>
    </xf>
    <xf numFmtId="176" fontId="2" fillId="4" borderId="1" xfId="0" applyNumberFormat="1" applyFont="1" applyFill="1" applyBorder="1" applyAlignment="1">
      <alignment horizontal="left" vertical="center"/>
    </xf>
    <xf numFmtId="0" fontId="0" fillId="4" borderId="0" xfId="0" applyFill="1" applyAlignment="1">
      <alignment vertical="top"/>
    </xf>
    <xf numFmtId="176" fontId="0" fillId="4" borderId="3" xfId="0" applyNumberFormat="1" applyFill="1" applyBorder="1" applyAlignment="1">
      <alignment vertical="center"/>
    </xf>
    <xf numFmtId="0" fontId="1" fillId="4" borderId="5" xfId="4" applyFill="1" applyBorder="1" applyAlignment="1">
      <alignment horizontal="left" vertical="top"/>
    </xf>
    <xf numFmtId="0" fontId="1" fillId="4" borderId="6" xfId="4" applyFill="1" applyBorder="1" applyAlignment="1">
      <alignment vertical="top"/>
    </xf>
    <xf numFmtId="177" fontId="14" fillId="4" borderId="1" xfId="1" applyNumberFormat="1" applyFont="1" applyFill="1" applyBorder="1" applyAlignment="1">
      <alignment vertical="top"/>
    </xf>
    <xf numFmtId="177" fontId="1" fillId="4" borderId="0" xfId="1" applyNumberFormat="1" applyFill="1" applyAlignment="1">
      <alignment vertical="top"/>
    </xf>
    <xf numFmtId="176" fontId="2" fillId="4" borderId="5" xfId="0" applyNumberFormat="1" applyFont="1" applyFill="1" applyBorder="1" applyAlignment="1">
      <alignment horizontal="left" vertical="center"/>
    </xf>
    <xf numFmtId="0" fontId="12" fillId="4" borderId="0" xfId="0" applyFont="1" applyFill="1" applyAlignment="1">
      <alignment vertical="center"/>
    </xf>
    <xf numFmtId="0" fontId="0" fillId="4" borderId="0" xfId="0" applyFill="1" applyAlignment="1">
      <alignment horizontal="left" vertical="top"/>
    </xf>
    <xf numFmtId="0" fontId="13" fillId="4" borderId="0" xfId="0" applyFont="1" applyFill="1" applyAlignment="1">
      <alignment vertical="center"/>
    </xf>
    <xf numFmtId="0" fontId="0" fillId="8" borderId="1" xfId="0" applyFill="1" applyBorder="1" applyAlignment="1">
      <alignment horizontal="center" vertical="top"/>
    </xf>
    <xf numFmtId="0" fontId="0" fillId="8" borderId="1" xfId="0" applyFill="1" applyBorder="1" applyAlignment="1">
      <alignment horizontal="left" vertical="top"/>
    </xf>
    <xf numFmtId="0" fontId="0" fillId="9" borderId="1" xfId="0" applyFill="1" applyBorder="1" applyAlignment="1">
      <alignment horizontal="center" vertical="top"/>
    </xf>
    <xf numFmtId="0" fontId="0" fillId="10" borderId="1" xfId="0" applyFill="1" applyBorder="1" applyAlignment="1">
      <alignment horizontal="center" vertical="top"/>
    </xf>
    <xf numFmtId="0" fontId="0" fillId="11" borderId="1" xfId="0" applyFill="1" applyBorder="1" applyAlignment="1">
      <alignment horizontal="center" vertical="top"/>
    </xf>
    <xf numFmtId="177" fontId="2" fillId="7" borderId="1" xfId="1" applyNumberFormat="1" applyFont="1" applyFill="1" applyBorder="1" applyAlignment="1">
      <alignment horizontal="center" vertical="center"/>
    </xf>
    <xf numFmtId="0" fontId="0" fillId="4" borderId="0" xfId="0" applyFill="1" applyAlignment="1">
      <alignment horizontal="center" vertical="top"/>
    </xf>
    <xf numFmtId="0" fontId="0" fillId="4" borderId="1" xfId="0" applyFill="1" applyBorder="1" applyAlignment="1">
      <alignment vertical="top"/>
    </xf>
    <xf numFmtId="14" fontId="0" fillId="4" borderId="1" xfId="0" applyNumberFormat="1" applyFill="1" applyBorder="1" applyAlignment="1">
      <alignment horizontal="right" vertical="top"/>
    </xf>
    <xf numFmtId="177" fontId="0" fillId="4" borderId="1" xfId="1" applyNumberFormat="1" applyFont="1" applyFill="1" applyBorder="1" applyAlignment="1">
      <alignment horizontal="right" vertical="top"/>
    </xf>
    <xf numFmtId="177" fontId="0" fillId="4" borderId="1" xfId="0" applyNumberFormat="1" applyFill="1" applyBorder="1" applyAlignment="1">
      <alignment vertical="top"/>
    </xf>
    <xf numFmtId="177" fontId="0" fillId="8" borderId="1" xfId="1" applyNumberFormat="1" applyFont="1" applyFill="1" applyBorder="1" applyAlignment="1">
      <alignment vertical="top"/>
    </xf>
    <xf numFmtId="177" fontId="0" fillId="8" borderId="1" xfId="1" applyNumberFormat="1" applyFont="1" applyFill="1" applyBorder="1" applyAlignment="1">
      <alignment horizontal="left" vertical="top"/>
    </xf>
    <xf numFmtId="177" fontId="0" fillId="9" borderId="1" xfId="1" applyNumberFormat="1" applyFont="1" applyFill="1" applyBorder="1" applyAlignment="1">
      <alignment vertical="top"/>
    </xf>
    <xf numFmtId="177" fontId="0" fillId="10" borderId="1" xfId="1" applyNumberFormat="1" applyFont="1" applyFill="1" applyBorder="1" applyAlignment="1">
      <alignment vertical="top"/>
    </xf>
    <xf numFmtId="177" fontId="0" fillId="9" borderId="1" xfId="1" applyNumberFormat="1" applyFont="1" applyFill="1" applyBorder="1" applyAlignment="1">
      <alignment horizontal="center" vertical="top"/>
    </xf>
    <xf numFmtId="177" fontId="0" fillId="10" borderId="1" xfId="1" applyNumberFormat="1" applyFont="1" applyFill="1" applyBorder="1" applyAlignment="1">
      <alignment horizontal="center" vertical="top"/>
    </xf>
    <xf numFmtId="177" fontId="0" fillId="11" borderId="1" xfId="1" applyNumberFormat="1" applyFont="1" applyFill="1" applyBorder="1" applyAlignment="1">
      <alignment horizontal="center" vertical="top"/>
    </xf>
    <xf numFmtId="177" fontId="0" fillId="4" borderId="0" xfId="1" applyNumberFormat="1" applyFont="1" applyFill="1" applyAlignment="1">
      <alignment vertical="top"/>
    </xf>
    <xf numFmtId="0" fontId="17" fillId="4" borderId="0" xfId="0" applyFont="1" applyFill="1" applyAlignment="1">
      <alignment horizontal="center" vertical="center"/>
    </xf>
    <xf numFmtId="0" fontId="15" fillId="8" borderId="1" xfId="0" applyFont="1" applyFill="1" applyBorder="1" applyAlignment="1">
      <alignment horizontal="center" vertical="center"/>
    </xf>
    <xf numFmtId="0" fontId="15" fillId="9" borderId="1" xfId="0" applyFont="1" applyFill="1" applyBorder="1" applyAlignment="1">
      <alignment horizontal="center" vertical="center"/>
    </xf>
    <xf numFmtId="0" fontId="15" fillId="10" borderId="1" xfId="0" applyFont="1" applyFill="1" applyBorder="1" applyAlignment="1">
      <alignment horizontal="center" vertical="center"/>
    </xf>
    <xf numFmtId="0" fontId="15" fillId="11" borderId="1" xfId="0" applyFont="1" applyFill="1" applyBorder="1" applyAlignment="1">
      <alignment horizontal="center" vertical="center"/>
    </xf>
    <xf numFmtId="177" fontId="16" fillId="7" borderId="1" xfId="1" applyNumberFormat="1" applyFont="1" applyFill="1" applyBorder="1" applyAlignment="1">
      <alignment horizontal="center" vertical="center"/>
    </xf>
    <xf numFmtId="0" fontId="17" fillId="4" borderId="1" xfId="0" applyFont="1" applyFill="1" applyBorder="1" applyAlignment="1">
      <alignment vertical="top"/>
    </xf>
    <xf numFmtId="0" fontId="17" fillId="4" borderId="1" xfId="0" applyFont="1" applyFill="1" applyBorder="1" applyAlignment="1">
      <alignment horizontal="left" vertical="top"/>
    </xf>
    <xf numFmtId="14" fontId="17" fillId="4" borderId="1" xfId="0" applyNumberFormat="1" applyFont="1" applyFill="1" applyBorder="1" applyAlignment="1">
      <alignment horizontal="right" vertical="top"/>
    </xf>
    <xf numFmtId="177" fontId="17" fillId="4" borderId="1" xfId="1" applyNumberFormat="1" applyFont="1" applyFill="1" applyBorder="1" applyAlignment="1">
      <alignment horizontal="right" vertical="top"/>
    </xf>
    <xf numFmtId="177" fontId="17" fillId="4" borderId="1" xfId="0" applyNumberFormat="1" applyFont="1" applyFill="1" applyBorder="1" applyAlignment="1">
      <alignment vertical="top"/>
    </xf>
    <xf numFmtId="177" fontId="15" fillId="8" borderId="1" xfId="1" applyNumberFormat="1" applyFont="1" applyFill="1" applyBorder="1" applyAlignment="1">
      <alignment horizontal="center" vertical="center"/>
    </xf>
    <xf numFmtId="177" fontId="15" fillId="9" borderId="1" xfId="1" applyNumberFormat="1" applyFont="1" applyFill="1" applyBorder="1" applyAlignment="1">
      <alignment horizontal="center" vertical="center"/>
    </xf>
    <xf numFmtId="177" fontId="15" fillId="10" borderId="1" xfId="1" applyNumberFormat="1" applyFont="1" applyFill="1" applyBorder="1" applyAlignment="1">
      <alignment horizontal="center" vertical="center"/>
    </xf>
    <xf numFmtId="177" fontId="15" fillId="11" borderId="1" xfId="1" applyNumberFormat="1" applyFont="1" applyFill="1" applyBorder="1" applyAlignment="1">
      <alignment horizontal="center" vertical="center"/>
    </xf>
    <xf numFmtId="177" fontId="17" fillId="4" borderId="0" xfId="1" applyNumberFormat="1" applyFont="1" applyFill="1" applyAlignment="1">
      <alignment horizontal="center" vertical="center"/>
    </xf>
    <xf numFmtId="177" fontId="15" fillId="7" borderId="1" xfId="1" applyNumberFormat="1" applyFont="1" applyFill="1" applyBorder="1" applyAlignment="1">
      <alignment horizontal="center" vertical="center"/>
    </xf>
    <xf numFmtId="0" fontId="0" fillId="10" borderId="11" xfId="0" applyFill="1" applyBorder="1" applyAlignment="1">
      <alignment horizontal="center" vertical="top"/>
    </xf>
    <xf numFmtId="177" fontId="0" fillId="4" borderId="11" xfId="1" applyNumberFormat="1" applyFont="1" applyFill="1" applyBorder="1" applyAlignment="1">
      <alignment horizontal="right" vertical="top"/>
    </xf>
    <xf numFmtId="177" fontId="0" fillId="10" borderId="11" xfId="1" applyNumberFormat="1" applyFont="1" applyFill="1" applyBorder="1" applyAlignment="1">
      <alignment vertical="top"/>
    </xf>
    <xf numFmtId="14" fontId="0" fillId="4" borderId="1" xfId="0" applyNumberFormat="1" applyFill="1" applyBorder="1" applyAlignment="1">
      <alignment horizontal="left" vertical="top"/>
    </xf>
    <xf numFmtId="177" fontId="0" fillId="7" borderId="1" xfId="1" applyNumberFormat="1" applyFont="1" applyFill="1" applyBorder="1" applyAlignment="1">
      <alignment vertical="top"/>
    </xf>
    <xf numFmtId="177" fontId="1" fillId="4" borderId="1" xfId="1" applyNumberFormat="1" applyFill="1" applyBorder="1" applyAlignment="1">
      <alignment vertical="top"/>
    </xf>
    <xf numFmtId="177" fontId="1" fillId="12" borderId="7" xfId="1" applyNumberFormat="1" applyFill="1" applyBorder="1" applyAlignment="1">
      <alignment vertical="top"/>
    </xf>
    <xf numFmtId="0" fontId="1" fillId="4" borderId="5" xfId="4" applyFill="1" applyBorder="1" applyAlignment="1">
      <alignment vertical="top"/>
    </xf>
    <xf numFmtId="177" fontId="1" fillId="12" borderId="8" xfId="1" applyNumberFormat="1" applyFill="1" applyBorder="1" applyAlignment="1">
      <alignment vertical="top"/>
    </xf>
    <xf numFmtId="0" fontId="1" fillId="12" borderId="9" xfId="4" applyFill="1" applyBorder="1" applyAlignment="1">
      <alignment vertical="top"/>
    </xf>
    <xf numFmtId="0" fontId="1" fillId="12" borderId="2" xfId="4" applyFill="1" applyBorder="1" applyAlignment="1">
      <alignment horizontal="center" vertical="top"/>
    </xf>
    <xf numFmtId="0" fontId="1" fillId="12" borderId="3" xfId="4" applyFill="1" applyBorder="1" applyAlignment="1">
      <alignment horizontal="center" vertical="top"/>
    </xf>
    <xf numFmtId="0" fontId="1" fillId="12" borderId="4" xfId="4" applyFill="1" applyBorder="1" applyAlignment="1">
      <alignment horizontal="center" vertical="top"/>
    </xf>
    <xf numFmtId="0" fontId="1" fillId="6" borderId="2" xfId="4" applyFill="1" applyBorder="1" applyAlignment="1">
      <alignment horizontal="center" vertical="top"/>
    </xf>
    <xf numFmtId="0" fontId="1" fillId="6" borderId="3" xfId="4" applyFill="1" applyBorder="1" applyAlignment="1">
      <alignment horizontal="center" vertical="top"/>
    </xf>
    <xf numFmtId="0" fontId="1" fillId="6" borderId="4" xfId="4" applyFill="1" applyBorder="1" applyAlignment="1">
      <alignment horizontal="center" vertical="top"/>
    </xf>
    <xf numFmtId="177" fontId="0" fillId="4" borderId="0" xfId="0" applyNumberFormat="1" applyFill="1" applyAlignment="1">
      <alignment vertical="top"/>
    </xf>
    <xf numFmtId="0" fontId="18" fillId="4" borderId="7" xfId="4" applyFont="1" applyFill="1" applyBorder="1" applyAlignment="1">
      <alignment vertical="top"/>
    </xf>
    <xf numFmtId="177" fontId="19" fillId="4" borderId="8" xfId="4" applyNumberFormat="1" applyFont="1" applyFill="1" applyBorder="1" applyAlignment="1">
      <alignment vertical="top"/>
    </xf>
    <xf numFmtId="0" fontId="19" fillId="4" borderId="9" xfId="4" applyFont="1" applyFill="1" applyBorder="1" applyAlignment="1">
      <alignment vertical="top"/>
    </xf>
    <xf numFmtId="0" fontId="19" fillId="4" borderId="0" xfId="4" applyFont="1" applyFill="1" applyAlignment="1">
      <alignment vertical="top"/>
    </xf>
    <xf numFmtId="177" fontId="1" fillId="4" borderId="0" xfId="4" applyNumberFormat="1" applyFill="1" applyAlignment="1">
      <alignment vertical="top"/>
    </xf>
    <xf numFmtId="0" fontId="20" fillId="4" borderId="6" xfId="4" applyFont="1" applyFill="1" applyBorder="1" applyAlignment="1">
      <alignment vertical="top"/>
    </xf>
    <xf numFmtId="0" fontId="21" fillId="4" borderId="6" xfId="4" applyFont="1" applyFill="1" applyBorder="1" applyAlignment="1">
      <alignment vertical="top"/>
    </xf>
  </cellXfs>
  <cellStyles count="5">
    <cellStyle name="常规" xfId="0" builtinId="0"/>
    <cellStyle name="常规 2" xfId="2" xr:uid="{00000000-0005-0000-0000-000001000000}"/>
    <cellStyle name="常规 3" xfId="4" xr:uid="{00000000-0005-0000-0000-000002000000}"/>
    <cellStyle name="千位分隔" xfId="1" builtinId="3"/>
    <cellStyle name="千位分隔 2" xfId="3" xr:uid="{00000000-0005-0000-0000-000004000000}"/>
  </cellStyles>
  <dxfs count="7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9.xml"/><Relationship Id="rId2" Type="http://schemas.openxmlformats.org/officeDocument/2006/relationships/vmlDrawing" Target="../drawings/vmlDrawing9.vml"/><Relationship Id="rId1" Type="http://schemas.openxmlformats.org/officeDocument/2006/relationships/printerSettings" Target="../printerSettings/printerSettings7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0.xml"/><Relationship Id="rId2" Type="http://schemas.openxmlformats.org/officeDocument/2006/relationships/vmlDrawing" Target="../drawings/vmlDrawing10.vml"/><Relationship Id="rId1" Type="http://schemas.openxmlformats.org/officeDocument/2006/relationships/printerSettings" Target="../printerSettings/printerSettings8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1.xml"/><Relationship Id="rId1" Type="http://schemas.openxmlformats.org/officeDocument/2006/relationships/vmlDrawing" Target="../drawings/vmlDrawing11.vm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2.xml"/><Relationship Id="rId2" Type="http://schemas.openxmlformats.org/officeDocument/2006/relationships/vmlDrawing" Target="../drawings/vmlDrawing12.vml"/><Relationship Id="rId1" Type="http://schemas.openxmlformats.org/officeDocument/2006/relationships/printerSettings" Target="../printerSettings/printerSettings9.bin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3.xml"/><Relationship Id="rId2" Type="http://schemas.openxmlformats.org/officeDocument/2006/relationships/vmlDrawing" Target="../drawings/vmlDrawing13.vml"/><Relationship Id="rId1" Type="http://schemas.openxmlformats.org/officeDocument/2006/relationships/printerSettings" Target="../printerSettings/printerSettings10.bin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4.xml"/><Relationship Id="rId2" Type="http://schemas.openxmlformats.org/officeDocument/2006/relationships/vmlDrawing" Target="../drawings/vmlDrawing14.vml"/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  <outlinePr summaryBelow="0"/>
  </sheetPr>
  <dimension ref="A1:G112"/>
  <sheetViews>
    <sheetView tabSelected="1" workbookViewId="0">
      <pane xSplit="2" ySplit="3" topLeftCell="C4" activePane="bottomRight" state="frozen"/>
      <selection sqref="A1:XFD1"/>
      <selection pane="topRight" sqref="A1:XFD1"/>
      <selection pane="bottomLeft" sqref="A1:XFD1"/>
      <selection pane="bottomRight" activeCell="K16" sqref="K16"/>
    </sheetView>
  </sheetViews>
  <sheetFormatPr defaultRowHeight="12.75" outlineLevelRow="1" x14ac:dyDescent="0.2"/>
  <cols>
    <col min="1" max="1" width="13.140625" style="44" customWidth="1"/>
    <col min="2" max="2" width="13.42578125" style="44" customWidth="1"/>
    <col min="3" max="3" width="15" style="44" customWidth="1"/>
    <col min="4" max="4" width="15.28515625" style="44" customWidth="1"/>
    <col min="5" max="5" width="15.42578125" style="44" customWidth="1"/>
    <col min="6" max="6" width="14" style="44" customWidth="1"/>
    <col min="7" max="7" width="21.7109375" style="44" customWidth="1"/>
    <col min="8" max="16384" width="9.140625" style="44"/>
  </cols>
  <sheetData>
    <row r="1" spans="1:7" ht="18.75" x14ac:dyDescent="0.2">
      <c r="A1" s="68" t="s">
        <v>1401</v>
      </c>
    </row>
    <row r="2" spans="1:7" ht="13.5" thickBot="1" x14ac:dyDescent="0.25">
      <c r="A2" s="69" t="s">
        <v>1139</v>
      </c>
    </row>
    <row r="3" spans="1:7" x14ac:dyDescent="0.2">
      <c r="A3" s="131" t="s">
        <v>1140</v>
      </c>
      <c r="B3" s="132" t="s">
        <v>1141</v>
      </c>
      <c r="C3" s="132" t="s">
        <v>1142</v>
      </c>
      <c r="D3" s="132" t="s">
        <v>1143</v>
      </c>
      <c r="E3" s="132" t="s">
        <v>1144</v>
      </c>
      <c r="F3" s="132" t="s">
        <v>1145</v>
      </c>
      <c r="G3" s="133" t="s">
        <v>1146</v>
      </c>
    </row>
    <row r="4" spans="1:7" x14ac:dyDescent="0.2">
      <c r="A4" s="74" t="s">
        <v>1152</v>
      </c>
      <c r="B4" s="70">
        <f>SUMIF('TKP 项目汇总'!D:D,'TKP 终端汇总'!A:A,'TKP 项目汇总'!M:M)</f>
        <v>1915071.9673289764</v>
      </c>
      <c r="C4" s="70">
        <f>SUMIF('TKP 项目汇总'!$D:$D,'TKP 终端汇总'!$A:$A,'TKP 项目汇总'!$S:$S)</f>
        <v>28056359.769999992</v>
      </c>
      <c r="D4" s="70">
        <f>SUMIF('TKP 项目汇总'!$D:$D,'TKP 终端汇总'!$A:$A,'TKP 项目汇总'!$T:$T)</f>
        <v>-26141287.802671023</v>
      </c>
      <c r="E4" s="70">
        <f>SUMIF('TKP 项目汇总'!$D:$D,'TKP 终端汇总'!$A:$A,'TKP 项目汇总'!$W:$W)</f>
        <v>244088.38999999998</v>
      </c>
      <c r="F4" s="76">
        <f>SUMIF('TKP 项目汇总'!$D:$D,'TKP 终端汇总'!$A:$A,'TKP 项目汇总'!$X:$X)</f>
        <v>-26385376.192671031</v>
      </c>
      <c r="G4" s="140"/>
    </row>
    <row r="5" spans="1:7" x14ac:dyDescent="0.2">
      <c r="A5" s="74" t="s">
        <v>1151</v>
      </c>
      <c r="B5" s="70">
        <f>SUMIF('TKP 项目汇总'!D:D,'TKP 终端汇总'!A:A,'TKP 项目汇总'!M:M)</f>
        <v>7116459.4500000002</v>
      </c>
      <c r="C5" s="70">
        <f>SUMIF('TKP 项目汇总'!$D:$D,'TKP 终端汇总'!$A:$A,'TKP 项目汇总'!$S:$S)</f>
        <v>11709292.469999999</v>
      </c>
      <c r="D5" s="70">
        <f>SUMIF('TKP 项目汇总'!$D:$D,'TKP 终端汇总'!$A:$A,'TKP 项目汇总'!$T:$T)</f>
        <v>-4592833.0199999996</v>
      </c>
      <c r="E5" s="70">
        <f>SUMIF('TKP 项目汇总'!$D:$D,'TKP 终端汇总'!$A:$A,'TKP 项目汇总'!$W:$W)</f>
        <v>123669.23</v>
      </c>
      <c r="F5" s="76">
        <f>SUMIF('TKP 项目汇总'!$D:$D,'TKP 终端汇总'!$A:$A,'TKP 项目汇总'!$X:$X)</f>
        <v>-4716502.2500000019</v>
      </c>
      <c r="G5" s="141"/>
    </row>
    <row r="6" spans="1:7" x14ac:dyDescent="0.2">
      <c r="A6" s="74" t="s">
        <v>1158</v>
      </c>
      <c r="B6" s="70">
        <f>SUMIF('TKP 项目汇总'!D:D,'TKP 终端汇总'!A:A,'TKP 项目汇总'!M:M)</f>
        <v>11023040.020000005</v>
      </c>
      <c r="C6" s="70">
        <f>SUMIF('TKP 项目汇总'!$D:$D,'TKP 终端汇总'!$A:$A,'TKP 项目汇总'!$S:$S)</f>
        <v>12366750.560000001</v>
      </c>
      <c r="D6" s="70">
        <f>SUMIF('TKP 项目汇总'!$D:$D,'TKP 终端汇总'!$A:$A,'TKP 项目汇总'!$T:$T)</f>
        <v>-1343710.5399999961</v>
      </c>
      <c r="E6" s="70">
        <f>SUMIF('TKP 项目汇总'!$D:$D,'TKP 终端汇总'!$A:$A,'TKP 项目汇总'!$W:$W)</f>
        <v>1123794.77</v>
      </c>
      <c r="F6" s="76">
        <f>SUMIF('TKP 项目汇总'!$D:$D,'TKP 终端汇总'!$A:$A,'TKP 项目汇总'!$X:$X)</f>
        <v>-2467505.3099999959</v>
      </c>
      <c r="G6" s="140"/>
    </row>
    <row r="7" spans="1:7" x14ac:dyDescent="0.2">
      <c r="A7" s="74" t="s">
        <v>1194</v>
      </c>
      <c r="B7" s="70">
        <f>SUMIF('TKP 项目汇总'!D:D,'TKP 终端汇总'!A:A,'TKP 项目汇总'!M:M)</f>
        <v>2701479.57</v>
      </c>
      <c r="C7" s="70">
        <f>SUMIF('TKP 项目汇总'!$D:$D,'TKP 终端汇总'!$A:$A,'TKP 项目汇总'!$S:$S)</f>
        <v>4972751.8499999996</v>
      </c>
      <c r="D7" s="70">
        <f>SUMIF('TKP 项目汇总'!$D:$D,'TKP 终端汇总'!$A:$A,'TKP 项目汇总'!$T:$T)</f>
        <v>-2271272.2800000003</v>
      </c>
      <c r="E7" s="70">
        <f>SUMIF('TKP 项目汇总'!$D:$D,'TKP 终端汇总'!$A:$A,'TKP 项目汇总'!$W:$W)</f>
        <v>116964.66</v>
      </c>
      <c r="F7" s="76">
        <f>SUMIF('TKP 项目汇总'!$D:$D,'TKP 终端汇总'!$A:$A,'TKP 项目汇总'!$X:$X)</f>
        <v>-2388236.9400000009</v>
      </c>
      <c r="G7" s="141"/>
    </row>
    <row r="8" spans="1:7" x14ac:dyDescent="0.2">
      <c r="A8" s="74" t="s">
        <v>475</v>
      </c>
      <c r="B8" s="70">
        <f>SUMIF('TKP 项目汇总'!D:D,'TKP 终端汇总'!A:A,'TKP 项目汇总'!M:M)</f>
        <v>846468.08000000007</v>
      </c>
      <c r="C8" s="70">
        <f>SUMIF('TKP 项目汇总'!$D:$D,'TKP 终端汇总'!$A:$A,'TKP 项目汇总'!$S:$S)</f>
        <v>2065434.68</v>
      </c>
      <c r="D8" s="70">
        <f>SUMIF('TKP 项目汇总'!$D:$D,'TKP 终端汇总'!$A:$A,'TKP 项目汇总'!$T:$T)</f>
        <v>-1218966.5999999999</v>
      </c>
      <c r="E8" s="70">
        <f>SUMIF('TKP 项目汇总'!$D:$D,'TKP 终端汇总'!$A:$A,'TKP 项目汇总'!$W:$W)</f>
        <v>324641.64999999997</v>
      </c>
      <c r="F8" s="76">
        <f>SUMIF('TKP 项目汇总'!$D:$D,'TKP 终端汇总'!$A:$A,'TKP 项目汇总'!$X:$X)</f>
        <v>-1543608.25</v>
      </c>
      <c r="G8" s="140"/>
    </row>
    <row r="9" spans="1:7" x14ac:dyDescent="0.2">
      <c r="A9" s="74" t="s">
        <v>1153</v>
      </c>
      <c r="B9" s="70">
        <f>SUMIF('TKP 项目汇总'!D:D,'TKP 终端汇总'!A:A,'TKP 项目汇总'!M:M)</f>
        <v>4113660.14</v>
      </c>
      <c r="C9" s="70">
        <f>SUMIF('TKP 项目汇总'!$D:$D,'TKP 终端汇总'!$A:$A,'TKP 项目汇总'!$S:$S)</f>
        <v>4095308.3199999994</v>
      </c>
      <c r="D9" s="70">
        <f>SUMIF('TKP 项目汇总'!$D:$D,'TKP 终端汇总'!$A:$A,'TKP 项目汇总'!$T:$T)</f>
        <v>18351.82000000024</v>
      </c>
      <c r="E9" s="70">
        <f>SUMIF('TKP 项目汇总'!$D:$D,'TKP 终端汇总'!$A:$A,'TKP 项目汇总'!$W:$W)</f>
        <v>365605.18</v>
      </c>
      <c r="F9" s="70">
        <f>SUMIF('TKP 项目汇总'!$D:$D,'TKP 终端汇总'!$A:$A,'TKP 项目汇总'!$X:$X)</f>
        <v>-347253.35999999975</v>
      </c>
      <c r="G9" s="75"/>
    </row>
    <row r="10" spans="1:7" x14ac:dyDescent="0.2">
      <c r="A10" s="74" t="s">
        <v>1162</v>
      </c>
      <c r="B10" s="70">
        <f>SUMIF('TKP 项目汇总'!D:D,'TKP 终端汇总'!A:A,'TKP 项目汇总'!M:M)</f>
        <v>768103.14999999991</v>
      </c>
      <c r="C10" s="70">
        <f>SUMIF('TKP 项目汇总'!$D:$D,'TKP 终端汇总'!$A:$A,'TKP 项目汇总'!$S:$S)</f>
        <v>1002916.64</v>
      </c>
      <c r="D10" s="70">
        <f>SUMIF('TKP 项目汇总'!$D:$D,'TKP 终端汇总'!$A:$A,'TKP 项目汇总'!$T:$T)</f>
        <v>-234813.49000000002</v>
      </c>
      <c r="E10" s="70">
        <f>SUMIF('TKP 项目汇总'!$D:$D,'TKP 终端汇总'!$A:$A,'TKP 项目汇总'!$W:$W)</f>
        <v>107742.62000000001</v>
      </c>
      <c r="F10" s="70">
        <f>SUMIF('TKP 项目汇总'!$D:$D,'TKP 终端汇总'!$A:$A,'TKP 项目汇总'!$X:$X)</f>
        <v>-342556.11</v>
      </c>
      <c r="G10" s="75"/>
    </row>
    <row r="11" spans="1:7" x14ac:dyDescent="0.2">
      <c r="A11" s="74" t="s">
        <v>1171</v>
      </c>
      <c r="B11" s="70">
        <f>SUMIF('TKP 项目汇总'!D:D,'TKP 终端汇总'!A:A,'TKP 项目汇总'!M:M)</f>
        <v>0</v>
      </c>
      <c r="C11" s="70">
        <f>SUMIF('TKP 项目汇总'!$D:$D,'TKP 终端汇总'!$A:$A,'TKP 项目汇总'!$S:$S)</f>
        <v>232604.77</v>
      </c>
      <c r="D11" s="70">
        <f>SUMIF('TKP 项目汇总'!$D:$D,'TKP 终端汇总'!$A:$A,'TKP 项目汇总'!$T:$T)</f>
        <v>-232604.77</v>
      </c>
      <c r="E11" s="70">
        <f>SUMIF('TKP 项目汇总'!$D:$D,'TKP 终端汇总'!$A:$A,'TKP 项目汇总'!$W:$W)</f>
        <v>80767.76999999999</v>
      </c>
      <c r="F11" s="70">
        <f>SUMIF('TKP 项目汇总'!$D:$D,'TKP 终端汇总'!$A:$A,'TKP 项目汇总'!$X:$X)</f>
        <v>-313372.54000000004</v>
      </c>
      <c r="G11" s="75"/>
    </row>
    <row r="12" spans="1:7" x14ac:dyDescent="0.2">
      <c r="A12" s="74" t="s">
        <v>1033</v>
      </c>
      <c r="B12" s="70">
        <f>SUMIF('TKP 项目汇总'!D:D,'TKP 终端汇总'!A:A,'TKP 项目汇总'!M:M)</f>
        <v>1032298.19</v>
      </c>
      <c r="C12" s="70">
        <f>SUMIF('TKP 项目汇总'!$D:$D,'TKP 终端汇总'!$A:$A,'TKP 项目汇总'!$S:$S)</f>
        <v>1329526.2400000009</v>
      </c>
      <c r="D12" s="70">
        <f>SUMIF('TKP 项目汇总'!$D:$D,'TKP 终端汇总'!$A:$A,'TKP 项目汇总'!$T:$T)</f>
        <v>-297228.05000000075</v>
      </c>
      <c r="E12" s="70">
        <f>SUMIF('TKP 项目汇总'!$D:$D,'TKP 终端汇总'!$A:$A,'TKP 项目汇总'!$W:$W)</f>
        <v>0</v>
      </c>
      <c r="F12" s="70">
        <f>SUMIF('TKP 项目汇总'!$D:$D,'TKP 终端汇总'!$A:$A,'TKP 项目汇总'!$X:$X)</f>
        <v>-297228.05000000075</v>
      </c>
      <c r="G12" s="75"/>
    </row>
    <row r="13" spans="1:7" x14ac:dyDescent="0.2">
      <c r="A13" s="74" t="s">
        <v>1164</v>
      </c>
      <c r="B13" s="70">
        <f>SUMIF('TKP 项目汇总'!D:D,'TKP 终端汇总'!A:A,'TKP 项目汇总'!M:M)</f>
        <v>48163.009999999995</v>
      </c>
      <c r="C13" s="70">
        <f>SUMIF('TKP 项目汇总'!$D:$D,'TKP 终端汇总'!$A:$A,'TKP 项目汇总'!$S:$S)</f>
        <v>327228.73</v>
      </c>
      <c r="D13" s="70">
        <f>SUMIF('TKP 项目汇总'!$D:$D,'TKP 终端汇总'!$A:$A,'TKP 项目汇总'!$T:$T)</f>
        <v>-279065.71999999997</v>
      </c>
      <c r="E13" s="70">
        <f>SUMIF('TKP 项目汇总'!$D:$D,'TKP 终端汇总'!$A:$A,'TKP 项目汇总'!$W:$W)</f>
        <v>1098.26</v>
      </c>
      <c r="F13" s="70">
        <f>SUMIF('TKP 项目汇总'!$D:$D,'TKP 终端汇总'!$A:$A,'TKP 项目汇总'!$X:$X)</f>
        <v>-280163.98</v>
      </c>
      <c r="G13" s="75"/>
    </row>
    <row r="14" spans="1:7" x14ac:dyDescent="0.2">
      <c r="A14" s="74" t="s">
        <v>1165</v>
      </c>
      <c r="B14" s="70">
        <f>SUMIF('TKP 项目汇总'!D:D,'TKP 终端汇总'!A:A,'TKP 项目汇总'!M:M)</f>
        <v>1291063.3400000001</v>
      </c>
      <c r="C14" s="70">
        <f>SUMIF('TKP 项目汇总'!$D:$D,'TKP 终端汇总'!$A:$A,'TKP 项目汇总'!$S:$S)</f>
        <v>1379274.34</v>
      </c>
      <c r="D14" s="70">
        <f>SUMIF('TKP 项目汇总'!$D:$D,'TKP 终端汇总'!$A:$A,'TKP 项目汇总'!$T:$T)</f>
        <v>-88211.000000000058</v>
      </c>
      <c r="E14" s="70">
        <f>SUMIF('TKP 项目汇总'!$D:$D,'TKP 终端汇总'!$A:$A,'TKP 项目汇总'!$W:$W)</f>
        <v>158719.22</v>
      </c>
      <c r="F14" s="70">
        <f>SUMIF('TKP 项目汇总'!$D:$D,'TKP 终端汇总'!$A:$A,'TKP 项目汇总'!$X:$X)</f>
        <v>-246930.22000000006</v>
      </c>
      <c r="G14" s="75"/>
    </row>
    <row r="15" spans="1:7" x14ac:dyDescent="0.2">
      <c r="A15" s="74" t="s">
        <v>1232</v>
      </c>
      <c r="B15" s="70">
        <f>SUMIF('TKP 项目汇总'!D:D,'TKP 终端汇总'!A:A,'TKP 项目汇总'!M:M)</f>
        <v>501666.11</v>
      </c>
      <c r="C15" s="70">
        <f>SUMIF('TKP 项目汇总'!$D:$D,'TKP 终端汇总'!$A:$A,'TKP 项目汇总'!$S:$S)</f>
        <v>742401.23</v>
      </c>
      <c r="D15" s="70">
        <f>SUMIF('TKP 项目汇总'!$D:$D,'TKP 终端汇总'!$A:$A,'TKP 项目汇总'!$T:$T)</f>
        <v>-240735.12</v>
      </c>
      <c r="E15" s="70">
        <f>SUMIF('TKP 项目汇总'!$D:$D,'TKP 终端汇总'!$A:$A,'TKP 项目汇总'!$W:$W)</f>
        <v>0</v>
      </c>
      <c r="F15" s="70">
        <f>SUMIF('TKP 项目汇总'!$D:$D,'TKP 终端汇总'!$A:$A,'TKP 项目汇总'!$X:$X)</f>
        <v>-240735.12</v>
      </c>
      <c r="G15" s="75"/>
    </row>
    <row r="16" spans="1:7" x14ac:dyDescent="0.2">
      <c r="A16" s="74" t="s">
        <v>1149</v>
      </c>
      <c r="B16" s="70">
        <f>SUMIF('TKP 项目汇总'!D:D,'TKP 终端汇总'!A:A,'TKP 项目汇总'!M:M)</f>
        <v>892637.21000000008</v>
      </c>
      <c r="C16" s="70">
        <f>SUMIF('TKP 项目汇总'!$D:$D,'TKP 终端汇总'!$A:$A,'TKP 项目汇总'!$S:$S)</f>
        <v>929765.76</v>
      </c>
      <c r="D16" s="70">
        <f>SUMIF('TKP 项目汇总'!$D:$D,'TKP 终端汇总'!$A:$A,'TKP 项目汇总'!$T:$T)</f>
        <v>-37128.549999999945</v>
      </c>
      <c r="E16" s="70">
        <f>SUMIF('TKP 项目汇总'!$D:$D,'TKP 终端汇总'!$A:$A,'TKP 项目汇总'!$W:$W)</f>
        <v>160722.32999999996</v>
      </c>
      <c r="F16" s="70">
        <f>SUMIF('TKP 项目汇总'!$D:$D,'TKP 终端汇总'!$A:$A,'TKP 项目汇总'!$X:$X)</f>
        <v>-197850.87999999995</v>
      </c>
      <c r="G16" s="75"/>
    </row>
    <row r="17" spans="1:7" collapsed="1" x14ac:dyDescent="0.2">
      <c r="A17" s="74" t="s">
        <v>1179</v>
      </c>
      <c r="B17" s="70">
        <f>SUMIF('TKP 项目汇总'!D:D,'TKP 终端汇总'!A:A,'TKP 项目汇总'!M:M)</f>
        <v>9343.880000000001</v>
      </c>
      <c r="C17" s="70">
        <f>SUMIF('TKP 项目汇总'!$D:$D,'TKP 终端汇总'!$A:$A,'TKP 项目汇总'!$S:$S)</f>
        <v>188083.16999999998</v>
      </c>
      <c r="D17" s="70">
        <f>SUMIF('TKP 项目汇总'!$D:$D,'TKP 终端汇总'!$A:$A,'TKP 项目汇总'!$T:$T)</f>
        <v>-178739.28999999998</v>
      </c>
      <c r="E17" s="70">
        <f>SUMIF('TKP 项目汇总'!$D:$D,'TKP 终端汇总'!$A:$A,'TKP 项目汇总'!$W:$W)</f>
        <v>10565.740000000002</v>
      </c>
      <c r="F17" s="70">
        <f>SUMIF('TKP 项目汇总'!$D:$D,'TKP 终端汇总'!$A:$A,'TKP 项目汇总'!$X:$X)</f>
        <v>-189305.02999999997</v>
      </c>
      <c r="G17" s="75"/>
    </row>
    <row r="18" spans="1:7" hidden="1" outlineLevel="1" x14ac:dyDescent="0.2">
      <c r="A18" s="74" t="s">
        <v>1190</v>
      </c>
      <c r="B18" s="70">
        <f>SUMIF('TKP 项目汇总'!D:D,'TKP 终端汇总'!A:A,'TKP 项目汇总'!M:M)</f>
        <v>20047.54</v>
      </c>
      <c r="C18" s="70">
        <f>SUMIF('TKP 项目汇总'!$D:$D,'TKP 终端汇总'!$A:$A,'TKP 项目汇总'!$S:$S)</f>
        <v>190290.71</v>
      </c>
      <c r="D18" s="70">
        <f>SUMIF('TKP 项目汇总'!$D:$D,'TKP 终端汇总'!$A:$A,'TKP 项目汇总'!$T:$T)</f>
        <v>-170243.16999999998</v>
      </c>
      <c r="E18" s="70">
        <f>SUMIF('TKP 项目汇总'!$D:$D,'TKP 终端汇总'!$A:$A,'TKP 项目汇总'!$W:$W)</f>
        <v>0</v>
      </c>
      <c r="F18" s="70">
        <f>SUMIF('TKP 项目汇总'!$D:$D,'TKP 终端汇总'!$A:$A,'TKP 项目汇总'!$X:$X)</f>
        <v>-170243.16999999998</v>
      </c>
      <c r="G18" s="75"/>
    </row>
    <row r="19" spans="1:7" hidden="1" outlineLevel="1" x14ac:dyDescent="0.2">
      <c r="A19" s="74" t="s">
        <v>1185</v>
      </c>
      <c r="B19" s="70">
        <f>SUMIF('TKP 项目汇总'!D:D,'TKP 终端汇总'!A:A,'TKP 项目汇总'!M:M)</f>
        <v>69384.42</v>
      </c>
      <c r="C19" s="70">
        <f>SUMIF('TKP 项目汇总'!$D:$D,'TKP 终端汇总'!$A:$A,'TKP 项目汇总'!$S:$S)</f>
        <v>210065.25</v>
      </c>
      <c r="D19" s="70">
        <f>SUMIF('TKP 项目汇总'!$D:$D,'TKP 终端汇总'!$A:$A,'TKP 项目汇总'!$T:$T)</f>
        <v>-140680.82999999999</v>
      </c>
      <c r="E19" s="70">
        <f>SUMIF('TKP 项目汇总'!$D:$D,'TKP 终端汇总'!$A:$A,'TKP 项目汇总'!$W:$W)</f>
        <v>10427.51</v>
      </c>
      <c r="F19" s="70">
        <f>SUMIF('TKP 项目汇总'!$D:$D,'TKP 终端汇总'!$A:$A,'TKP 项目汇总'!$X:$X)</f>
        <v>-151108.34</v>
      </c>
      <c r="G19" s="75"/>
    </row>
    <row r="20" spans="1:7" hidden="1" outlineLevel="1" x14ac:dyDescent="0.2">
      <c r="A20" s="74" t="s">
        <v>1178</v>
      </c>
      <c r="B20" s="70">
        <f>SUMIF('TKP 项目汇总'!D:D,'TKP 终端汇总'!A:A,'TKP 项目汇总'!M:M)</f>
        <v>0</v>
      </c>
      <c r="C20" s="70">
        <f>SUMIF('TKP 项目汇总'!$D:$D,'TKP 终端汇总'!$A:$A,'TKP 项目汇总'!$S:$S)</f>
        <v>146226.89000000001</v>
      </c>
      <c r="D20" s="70">
        <f>SUMIF('TKP 项目汇总'!$D:$D,'TKP 终端汇总'!$A:$A,'TKP 项目汇总'!$T:$T)</f>
        <v>-146226.89000000001</v>
      </c>
      <c r="E20" s="70">
        <f>SUMIF('TKP 项目汇总'!$D:$D,'TKP 终端汇总'!$A:$A,'TKP 项目汇总'!$W:$W)</f>
        <v>2090.8200000000002</v>
      </c>
      <c r="F20" s="70">
        <f>SUMIF('TKP 项目汇总'!$D:$D,'TKP 终端汇总'!$A:$A,'TKP 项目汇总'!$X:$X)</f>
        <v>-148317.71000000002</v>
      </c>
      <c r="G20" s="75"/>
    </row>
    <row r="21" spans="1:7" hidden="1" outlineLevel="1" x14ac:dyDescent="0.2">
      <c r="A21" s="74" t="s">
        <v>1249</v>
      </c>
      <c r="B21" s="70">
        <f>SUMIF('TKP 项目汇总'!D:D,'TKP 终端汇总'!A:A,'TKP 项目汇总'!M:M)</f>
        <v>154319.31</v>
      </c>
      <c r="C21" s="70">
        <f>SUMIF('TKP 项目汇总'!$D:$D,'TKP 终端汇总'!$A:$A,'TKP 项目汇总'!$S:$S)</f>
        <v>282683.95</v>
      </c>
      <c r="D21" s="70">
        <f>SUMIF('TKP 项目汇总'!$D:$D,'TKP 终端汇总'!$A:$A,'TKP 项目汇总'!$T:$T)</f>
        <v>-128364.64000000003</v>
      </c>
      <c r="E21" s="70">
        <f>SUMIF('TKP 项目汇总'!$D:$D,'TKP 终端汇总'!$A:$A,'TKP 项目汇总'!$W:$W)</f>
        <v>2195.69</v>
      </c>
      <c r="F21" s="70">
        <f>SUMIF('TKP 项目汇总'!$D:$D,'TKP 终端汇总'!$A:$A,'TKP 项目汇总'!$X:$X)</f>
        <v>-130560.33000000003</v>
      </c>
      <c r="G21" s="75"/>
    </row>
    <row r="22" spans="1:7" hidden="1" outlineLevel="1" x14ac:dyDescent="0.2">
      <c r="A22" s="74" t="s">
        <v>1184</v>
      </c>
      <c r="B22" s="70">
        <f>SUMIF('TKP 项目汇总'!D:D,'TKP 终端汇总'!A:A,'TKP 项目汇总'!M:M)</f>
        <v>0</v>
      </c>
      <c r="C22" s="70">
        <f>SUMIF('TKP 项目汇总'!$D:$D,'TKP 终端汇总'!$A:$A,'TKP 项目汇总'!$S:$S)</f>
        <v>118790.31</v>
      </c>
      <c r="D22" s="70">
        <f>SUMIF('TKP 项目汇总'!$D:$D,'TKP 终端汇总'!$A:$A,'TKP 项目汇总'!$T:$T)</f>
        <v>-118790.31</v>
      </c>
      <c r="E22" s="70">
        <f>SUMIF('TKP 项目汇总'!$D:$D,'TKP 终端汇总'!$A:$A,'TKP 项目汇总'!$W:$W)</f>
        <v>0</v>
      </c>
      <c r="F22" s="70">
        <f>SUMIF('TKP 项目汇总'!$D:$D,'TKP 终端汇总'!$A:$A,'TKP 项目汇总'!$X:$X)</f>
        <v>-118790.31</v>
      </c>
      <c r="G22" s="75"/>
    </row>
    <row r="23" spans="1:7" hidden="1" outlineLevel="1" x14ac:dyDescent="0.2">
      <c r="A23" s="74" t="s">
        <v>1167</v>
      </c>
      <c r="B23" s="70">
        <f>SUMIF('TKP 项目汇总'!D:D,'TKP 终端汇总'!A:A,'TKP 项目汇总'!M:M)</f>
        <v>24826.71</v>
      </c>
      <c r="C23" s="70">
        <f>SUMIF('TKP 项目汇总'!$D:$D,'TKP 终端汇总'!$A:$A,'TKP 项目汇总'!$S:$S)</f>
        <v>112450</v>
      </c>
      <c r="D23" s="70">
        <f>SUMIF('TKP 项目汇总'!$D:$D,'TKP 终端汇总'!$A:$A,'TKP 项目汇总'!$T:$T)</f>
        <v>-87623.290000000008</v>
      </c>
      <c r="E23" s="70">
        <f>SUMIF('TKP 项目汇总'!$D:$D,'TKP 终端汇总'!$A:$A,'TKP 项目汇总'!$W:$W)</f>
        <v>29909.58</v>
      </c>
      <c r="F23" s="70">
        <f>SUMIF('TKP 项目汇总'!$D:$D,'TKP 终端汇总'!$A:$A,'TKP 项目汇总'!$X:$X)</f>
        <v>-117532.87000000001</v>
      </c>
      <c r="G23" s="75"/>
    </row>
    <row r="24" spans="1:7" hidden="1" outlineLevel="1" x14ac:dyDescent="0.2">
      <c r="A24" s="74" t="s">
        <v>1369</v>
      </c>
      <c r="B24" s="70">
        <f>SUMIF('TKP 项目汇总'!D:D,'TKP 终端汇总'!A:A,'TKP 项目汇总'!M:M)</f>
        <v>0</v>
      </c>
      <c r="C24" s="70">
        <f>SUMIF('TKP 项目汇总'!$D:$D,'TKP 终端汇总'!$A:$A,'TKP 项目汇总'!$S:$S)</f>
        <v>101633.61</v>
      </c>
      <c r="D24" s="70">
        <f>SUMIF('TKP 项目汇总'!$D:$D,'TKP 终端汇总'!$A:$A,'TKP 项目汇总'!$T:$T)</f>
        <v>-101633.61</v>
      </c>
      <c r="E24" s="70">
        <f>SUMIF('TKP 项目汇总'!$D:$D,'TKP 终端汇总'!$A:$A,'TKP 项目汇总'!$W:$W)</f>
        <v>15496.36</v>
      </c>
      <c r="F24" s="70">
        <f>SUMIF('TKP 项目汇总'!$D:$D,'TKP 终端汇总'!$A:$A,'TKP 项目汇总'!$X:$X)</f>
        <v>-117129.97</v>
      </c>
      <c r="G24" s="75"/>
    </row>
    <row r="25" spans="1:7" hidden="1" outlineLevel="1" x14ac:dyDescent="0.2">
      <c r="A25" s="74" t="s">
        <v>1182</v>
      </c>
      <c r="B25" s="70">
        <f>SUMIF('TKP 项目汇总'!D:D,'TKP 终端汇总'!A:A,'TKP 项目汇总'!M:M)</f>
        <v>120846.92</v>
      </c>
      <c r="C25" s="70">
        <f>SUMIF('TKP 项目汇总'!$D:$D,'TKP 终端汇总'!$A:$A,'TKP 项目汇总'!$S:$S)</f>
        <v>219998.51000000004</v>
      </c>
      <c r="D25" s="70">
        <f>SUMIF('TKP 项目汇总'!$D:$D,'TKP 终端汇总'!$A:$A,'TKP 项目汇总'!$T:$T)</f>
        <v>-99151.59000000004</v>
      </c>
      <c r="E25" s="70">
        <f>SUMIF('TKP 项目汇总'!$D:$D,'TKP 终端汇总'!$A:$A,'TKP 项目汇总'!$W:$W)</f>
        <v>7153.9699999999993</v>
      </c>
      <c r="F25" s="70">
        <f>SUMIF('TKP 项目汇总'!$D:$D,'TKP 终端汇总'!$A:$A,'TKP 项目汇总'!$X:$X)</f>
        <v>-106305.56000000004</v>
      </c>
      <c r="G25" s="75"/>
    </row>
    <row r="26" spans="1:7" hidden="1" outlineLevel="1" x14ac:dyDescent="0.2">
      <c r="A26" s="74" t="s">
        <v>1180</v>
      </c>
      <c r="B26" s="70">
        <f>SUMIF('TKP 项目汇总'!D:D,'TKP 终端汇总'!A:A,'TKP 项目汇总'!M:M)</f>
        <v>0</v>
      </c>
      <c r="C26" s="70">
        <f>SUMIF('TKP 项目汇总'!$D:$D,'TKP 终端汇总'!$A:$A,'TKP 项目汇总'!$S:$S)</f>
        <v>50432.78</v>
      </c>
      <c r="D26" s="70">
        <f>SUMIF('TKP 项目汇总'!$D:$D,'TKP 终端汇总'!$A:$A,'TKP 项目汇总'!$T:$T)</f>
        <v>-50432.78</v>
      </c>
      <c r="E26" s="70">
        <f>SUMIF('TKP 项目汇总'!$D:$D,'TKP 终端汇总'!$A:$A,'TKP 项目汇总'!$W:$W)</f>
        <v>23220.97</v>
      </c>
      <c r="F26" s="70">
        <f>SUMIF('TKP 项目汇总'!$D:$D,'TKP 终端汇总'!$A:$A,'TKP 项目汇总'!$X:$X)</f>
        <v>-73653.75</v>
      </c>
      <c r="G26" s="75"/>
    </row>
    <row r="27" spans="1:7" hidden="1" outlineLevel="1" x14ac:dyDescent="0.2">
      <c r="A27" s="74" t="s">
        <v>1169</v>
      </c>
      <c r="B27" s="70">
        <f>SUMIF('TKP 项目汇总'!D:D,'TKP 终端汇总'!A:A,'TKP 项目汇总'!M:M)</f>
        <v>510.75</v>
      </c>
      <c r="C27" s="70">
        <f>SUMIF('TKP 项目汇总'!$D:$D,'TKP 终端汇总'!$A:$A,'TKP 项目汇总'!$S:$S)</f>
        <v>6002.92</v>
      </c>
      <c r="D27" s="70">
        <f>SUMIF('TKP 项目汇总'!$D:$D,'TKP 终端汇总'!$A:$A,'TKP 项目汇总'!$T:$T)</f>
        <v>-5492.17</v>
      </c>
      <c r="E27" s="70">
        <f>SUMIF('TKP 项目汇总'!$D:$D,'TKP 终端汇总'!$A:$A,'TKP 项目汇总'!$W:$W)</f>
        <v>50861.33</v>
      </c>
      <c r="F27" s="70">
        <f>SUMIF('TKP 项目汇总'!$D:$D,'TKP 终端汇总'!$A:$A,'TKP 项目汇总'!$X:$X)</f>
        <v>-56353.5</v>
      </c>
      <c r="G27" s="75"/>
    </row>
    <row r="28" spans="1:7" hidden="1" outlineLevel="1" x14ac:dyDescent="0.2">
      <c r="A28" s="74" t="s">
        <v>1368</v>
      </c>
      <c r="B28" s="70">
        <f>SUMIF('TKP 项目汇总'!D:D,'TKP 终端汇总'!A:A,'TKP 项目汇总'!M:M)</f>
        <v>0</v>
      </c>
      <c r="C28" s="70">
        <f>SUMIF('TKP 项目汇总'!$D:$D,'TKP 终端汇总'!$A:$A,'TKP 项目汇总'!$S:$S)</f>
        <v>55681.24</v>
      </c>
      <c r="D28" s="70">
        <f>SUMIF('TKP 项目汇总'!$D:$D,'TKP 终端汇总'!$A:$A,'TKP 项目汇总'!$T:$T)</f>
        <v>-55681.24</v>
      </c>
      <c r="E28" s="70">
        <f>SUMIF('TKP 项目汇总'!$D:$D,'TKP 终端汇总'!$A:$A,'TKP 项目汇总'!$W:$W)</f>
        <v>0</v>
      </c>
      <c r="F28" s="70">
        <f>SUMIF('TKP 项目汇总'!$D:$D,'TKP 终端汇总'!$A:$A,'TKP 项目汇总'!$X:$X)</f>
        <v>-55681.24</v>
      </c>
      <c r="G28" s="75"/>
    </row>
    <row r="29" spans="1:7" hidden="1" outlineLevel="1" x14ac:dyDescent="0.2">
      <c r="A29" s="74" t="s">
        <v>1196</v>
      </c>
      <c r="B29" s="70">
        <f>SUMIF('TKP 项目汇总'!D:D,'TKP 终端汇总'!A:A,'TKP 项目汇总'!M:M)</f>
        <v>0</v>
      </c>
      <c r="C29" s="70">
        <f>SUMIF('TKP 项目汇总'!$D:$D,'TKP 终端汇总'!$A:$A,'TKP 项目汇总'!$S:$S)</f>
        <v>53159.13</v>
      </c>
      <c r="D29" s="70">
        <f>SUMIF('TKP 项目汇总'!$D:$D,'TKP 终端汇总'!$A:$A,'TKP 项目汇总'!$T:$T)</f>
        <v>-53159.13</v>
      </c>
      <c r="E29" s="70">
        <f>SUMIF('TKP 项目汇总'!$D:$D,'TKP 终端汇总'!$A:$A,'TKP 项目汇总'!$W:$W)</f>
        <v>0</v>
      </c>
      <c r="F29" s="70">
        <f>SUMIF('TKP 项目汇总'!$D:$D,'TKP 终端汇总'!$A:$A,'TKP 项目汇总'!$X:$X)</f>
        <v>-53159.13</v>
      </c>
      <c r="G29" s="75"/>
    </row>
    <row r="30" spans="1:7" hidden="1" outlineLevel="1" x14ac:dyDescent="0.2">
      <c r="A30" s="74" t="s">
        <v>1177</v>
      </c>
      <c r="B30" s="70">
        <f>SUMIF('TKP 项目汇总'!D:D,'TKP 终端汇总'!A:A,'TKP 项目汇总'!M:M)</f>
        <v>1863066.21</v>
      </c>
      <c r="C30" s="70">
        <f>SUMIF('TKP 项目汇总'!$D:$D,'TKP 终端汇总'!$A:$A,'TKP 项目汇总'!$S:$S)</f>
        <v>1735361</v>
      </c>
      <c r="D30" s="70">
        <f>SUMIF('TKP 项目汇总'!$D:$D,'TKP 终端汇总'!$A:$A,'TKP 项目汇总'!$T:$T)</f>
        <v>127705.21000000002</v>
      </c>
      <c r="E30" s="70">
        <f>SUMIF('TKP 项目汇总'!$D:$D,'TKP 终端汇总'!$A:$A,'TKP 项目汇总'!$W:$W)</f>
        <v>179647.5</v>
      </c>
      <c r="F30" s="70">
        <f>SUMIF('TKP 项目汇总'!$D:$D,'TKP 终端汇总'!$A:$A,'TKP 项目汇总'!$X:$X)</f>
        <v>-51942.29</v>
      </c>
      <c r="G30" s="75"/>
    </row>
    <row r="31" spans="1:7" hidden="1" outlineLevel="1" x14ac:dyDescent="0.2">
      <c r="A31" s="74" t="s">
        <v>1160</v>
      </c>
      <c r="B31" s="70">
        <f>SUMIF('TKP 项目汇总'!D:D,'TKP 终端汇总'!A:A,'TKP 项目汇总'!M:M)</f>
        <v>168968.02000000002</v>
      </c>
      <c r="C31" s="70">
        <f>SUMIF('TKP 项目汇总'!$D:$D,'TKP 终端汇总'!$A:$A,'TKP 项目汇总'!$S:$S)</f>
        <v>218569.69</v>
      </c>
      <c r="D31" s="70">
        <f>SUMIF('TKP 项目汇总'!$D:$D,'TKP 终端汇总'!$A:$A,'TKP 项目汇总'!$T:$T)</f>
        <v>-49601.670000000006</v>
      </c>
      <c r="E31" s="70">
        <f>SUMIF('TKP 项目汇总'!$D:$D,'TKP 终端汇总'!$A:$A,'TKP 项目汇总'!$W:$W)</f>
        <v>2308.59</v>
      </c>
      <c r="F31" s="70">
        <f>SUMIF('TKP 项目汇总'!$D:$D,'TKP 终端汇总'!$A:$A,'TKP 项目汇总'!$X:$X)</f>
        <v>-51910.260000000009</v>
      </c>
      <c r="G31" s="75"/>
    </row>
    <row r="32" spans="1:7" hidden="1" outlineLevel="1" x14ac:dyDescent="0.2">
      <c r="A32" s="74" t="s">
        <v>1238</v>
      </c>
      <c r="B32" s="70">
        <f>SUMIF('TKP 项目汇总'!D:D,'TKP 终端汇总'!A:A,'TKP 项目汇总'!M:M)</f>
        <v>53916.97</v>
      </c>
      <c r="C32" s="70">
        <f>SUMIF('TKP 项目汇总'!$D:$D,'TKP 终端汇总'!$A:$A,'TKP 项目汇总'!$S:$S)</f>
        <v>106670.3</v>
      </c>
      <c r="D32" s="70">
        <f>SUMIF('TKP 项目汇总'!$D:$D,'TKP 终端汇总'!$A:$A,'TKP 项目汇总'!$T:$T)</f>
        <v>-52753.33</v>
      </c>
      <c r="E32" s="70">
        <f>SUMIF('TKP 项目汇总'!$D:$D,'TKP 终端汇总'!$A:$A,'TKP 项目汇总'!$W:$W)</f>
        <v>-3932.02</v>
      </c>
      <c r="F32" s="70">
        <f>SUMIF('TKP 项目汇总'!$D:$D,'TKP 终端汇总'!$A:$A,'TKP 项目汇总'!$X:$X)</f>
        <v>-48821.31</v>
      </c>
      <c r="G32" s="75"/>
    </row>
    <row r="33" spans="1:7" hidden="1" outlineLevel="1" x14ac:dyDescent="0.2">
      <c r="A33" s="74" t="s">
        <v>1166</v>
      </c>
      <c r="B33" s="70">
        <f>SUMIF('TKP 项目汇总'!D:D,'TKP 终端汇总'!A:A,'TKP 项目汇总'!M:M)</f>
        <v>186853.62</v>
      </c>
      <c r="C33" s="70">
        <f>SUMIF('TKP 项目汇总'!$D:$D,'TKP 终端汇总'!$A:$A,'TKP 项目汇总'!$S:$S)</f>
        <v>235642.36</v>
      </c>
      <c r="D33" s="70">
        <f>SUMIF('TKP 项目汇总'!$D:$D,'TKP 终端汇总'!$A:$A,'TKP 项目汇总'!$T:$T)</f>
        <v>-48788.739999999991</v>
      </c>
      <c r="E33" s="70">
        <f>SUMIF('TKP 项目汇总'!$D:$D,'TKP 终端汇总'!$A:$A,'TKP 项目汇总'!$W:$W)</f>
        <v>0</v>
      </c>
      <c r="F33" s="70">
        <f>SUMIF('TKP 项目汇总'!$D:$D,'TKP 终端汇总'!$A:$A,'TKP 项目汇总'!$X:$X)</f>
        <v>-48788.739999999991</v>
      </c>
      <c r="G33" s="75"/>
    </row>
    <row r="34" spans="1:7" hidden="1" outlineLevel="1" x14ac:dyDescent="0.2">
      <c r="A34" s="74" t="s">
        <v>1187</v>
      </c>
      <c r="B34" s="70">
        <f>SUMIF('TKP 项目汇总'!D:D,'TKP 终端汇总'!A:A,'TKP 项目汇总'!M:M)</f>
        <v>0</v>
      </c>
      <c r="C34" s="70">
        <f>SUMIF('TKP 项目汇总'!$D:$D,'TKP 终端汇总'!$A:$A,'TKP 项目汇总'!$S:$S)</f>
        <v>20673.510000000002</v>
      </c>
      <c r="D34" s="70">
        <f>SUMIF('TKP 项目汇总'!$D:$D,'TKP 终端汇总'!$A:$A,'TKP 项目汇总'!$T:$T)</f>
        <v>-20673.510000000002</v>
      </c>
      <c r="E34" s="70">
        <f>SUMIF('TKP 项目汇总'!$D:$D,'TKP 终端汇总'!$A:$A,'TKP 项目汇总'!$W:$W)</f>
        <v>23889.629999999997</v>
      </c>
      <c r="F34" s="70">
        <f>SUMIF('TKP 项目汇总'!$D:$D,'TKP 终端汇总'!$A:$A,'TKP 项目汇总'!$X:$X)</f>
        <v>-44563.14</v>
      </c>
      <c r="G34" s="75"/>
    </row>
    <row r="35" spans="1:7" hidden="1" outlineLevel="1" x14ac:dyDescent="0.2">
      <c r="A35" s="74" t="s">
        <v>1181</v>
      </c>
      <c r="B35" s="70">
        <f>SUMIF('TKP 项目汇总'!D:D,'TKP 终端汇总'!A:A,'TKP 项目汇总'!M:M)</f>
        <v>0</v>
      </c>
      <c r="C35" s="70">
        <f>SUMIF('TKP 项目汇总'!$D:$D,'TKP 终端汇总'!$A:$A,'TKP 项目汇总'!$S:$S)</f>
        <v>38494.93</v>
      </c>
      <c r="D35" s="70">
        <f>SUMIF('TKP 项目汇总'!$D:$D,'TKP 终端汇总'!$A:$A,'TKP 项目汇总'!$T:$T)</f>
        <v>-38494.93</v>
      </c>
      <c r="E35" s="70">
        <f>SUMIF('TKP 项目汇总'!$D:$D,'TKP 终端汇总'!$A:$A,'TKP 项目汇总'!$W:$W)</f>
        <v>0</v>
      </c>
      <c r="F35" s="70">
        <f>SUMIF('TKP 项目汇总'!$D:$D,'TKP 终端汇总'!$A:$A,'TKP 项目汇总'!$X:$X)</f>
        <v>-38494.93</v>
      </c>
      <c r="G35" s="75"/>
    </row>
    <row r="36" spans="1:7" hidden="1" outlineLevel="1" x14ac:dyDescent="0.2">
      <c r="A36" s="78" t="s">
        <v>1290</v>
      </c>
      <c r="B36" s="70">
        <f>SUMIF('TKP 项目汇总'!D:D,'TKP 终端汇总'!A:A,'TKP 项目汇总'!M:M)</f>
        <v>0</v>
      </c>
      <c r="C36" s="70">
        <f>SUMIF('TKP 项目汇总'!$D:$D,'TKP 终端汇总'!$A:$A,'TKP 项目汇总'!$S:$S)</f>
        <v>16326.699999999999</v>
      </c>
      <c r="D36" s="70">
        <f>SUMIF('TKP 项目汇总'!$D:$D,'TKP 终端汇总'!$A:$A,'TKP 项目汇总'!$T:$T)</f>
        <v>-16326.699999999999</v>
      </c>
      <c r="E36" s="70">
        <f>SUMIF('TKP 项目汇总'!$D:$D,'TKP 终端汇总'!$A:$A,'TKP 项目汇总'!$W:$W)</f>
        <v>19518.849999999999</v>
      </c>
      <c r="F36" s="70">
        <f>SUMIF('TKP 项目汇总'!$D:$D,'TKP 终端汇总'!$A:$A,'TKP 项目汇总'!$X:$X)</f>
        <v>-35845.549999999996</v>
      </c>
      <c r="G36" s="75"/>
    </row>
    <row r="37" spans="1:7" hidden="1" outlineLevel="1" x14ac:dyDescent="0.2">
      <c r="A37" s="74" t="s">
        <v>1183</v>
      </c>
      <c r="B37" s="70">
        <f>SUMIF('TKP 项目汇总'!D:D,'TKP 终端汇总'!A:A,'TKP 项目汇总'!M:M)</f>
        <v>1196737.17</v>
      </c>
      <c r="C37" s="70">
        <f>SUMIF('TKP 项目汇总'!$D:$D,'TKP 终端汇总'!$A:$A,'TKP 项目汇总'!$S:$S)</f>
        <v>1142841.49</v>
      </c>
      <c r="D37" s="70">
        <f>SUMIF('TKP 项目汇总'!$D:$D,'TKP 终端汇总'!$A:$A,'TKP 项目汇总'!$T:$T)</f>
        <v>53895.679999999942</v>
      </c>
      <c r="E37" s="70">
        <f>SUMIF('TKP 项目汇总'!$D:$D,'TKP 终端汇总'!$A:$A,'TKP 项目汇总'!$W:$W)</f>
        <v>88445.810000000012</v>
      </c>
      <c r="F37" s="70">
        <f>SUMIF('TKP 项目汇总'!$D:$D,'TKP 终端汇总'!$A:$A,'TKP 项目汇总'!$X:$X)</f>
        <v>-34550.13000000007</v>
      </c>
      <c r="G37" s="75"/>
    </row>
    <row r="38" spans="1:7" hidden="1" outlineLevel="1" x14ac:dyDescent="0.2">
      <c r="A38" s="74" t="s">
        <v>1170</v>
      </c>
      <c r="B38" s="70">
        <f>SUMIF('TKP 项目汇总'!D:D,'TKP 终端汇总'!A:A,'TKP 项目汇总'!M:M)</f>
        <v>58.58</v>
      </c>
      <c r="C38" s="70">
        <f>SUMIF('TKP 项目汇总'!$D:$D,'TKP 终端汇总'!$A:$A,'TKP 项目汇总'!$S:$S)</f>
        <v>21882.86</v>
      </c>
      <c r="D38" s="70">
        <f>SUMIF('TKP 项目汇总'!$D:$D,'TKP 终端汇总'!$A:$A,'TKP 项目汇总'!$T:$T)</f>
        <v>-21824.28</v>
      </c>
      <c r="E38" s="70">
        <f>SUMIF('TKP 项目汇总'!$D:$D,'TKP 终端汇总'!$A:$A,'TKP 项目汇总'!$W:$W)</f>
        <v>10956.38</v>
      </c>
      <c r="F38" s="70">
        <f>SUMIF('TKP 项目汇总'!$D:$D,'TKP 终端汇总'!$A:$A,'TKP 项目汇总'!$X:$X)</f>
        <v>-32780.659999999996</v>
      </c>
      <c r="G38" s="75"/>
    </row>
    <row r="39" spans="1:7" hidden="1" outlineLevel="1" x14ac:dyDescent="0.2">
      <c r="A39" s="74" t="s">
        <v>1198</v>
      </c>
      <c r="B39" s="70">
        <f>SUMIF('TKP 项目汇总'!D:D,'TKP 终端汇总'!A:A,'TKP 项目汇总'!M:M)</f>
        <v>15326.09</v>
      </c>
      <c r="C39" s="70">
        <f>SUMIF('TKP 项目汇总'!$D:$D,'TKP 终端汇总'!$A:$A,'TKP 项目汇总'!$S:$S)</f>
        <v>38838.910000000003</v>
      </c>
      <c r="D39" s="70">
        <f>SUMIF('TKP 项目汇总'!$D:$D,'TKP 终端汇总'!$A:$A,'TKP 项目汇总'!$T:$T)</f>
        <v>-23512.820000000003</v>
      </c>
      <c r="E39" s="70">
        <f>SUMIF('TKP 项目汇总'!$D:$D,'TKP 终端汇总'!$A:$A,'TKP 项目汇总'!$W:$W)</f>
        <v>0</v>
      </c>
      <c r="F39" s="70">
        <f>SUMIF('TKP 项目汇总'!$D:$D,'TKP 终端汇总'!$A:$A,'TKP 项目汇总'!$X:$X)</f>
        <v>-23512.820000000003</v>
      </c>
      <c r="G39" s="75"/>
    </row>
    <row r="40" spans="1:7" hidden="1" outlineLevel="1" x14ac:dyDescent="0.2">
      <c r="A40" s="74" t="s">
        <v>1172</v>
      </c>
      <c r="B40" s="70">
        <f>SUMIF('TKP 项目汇总'!D:D,'TKP 终端汇总'!A:A,'TKP 项目汇总'!M:M)</f>
        <v>4084.5</v>
      </c>
      <c r="C40" s="70">
        <f>SUMIF('TKP 项目汇总'!$D:$D,'TKP 终端汇总'!$A:$A,'TKP 项目汇总'!$S:$S)</f>
        <v>27069.43</v>
      </c>
      <c r="D40" s="70">
        <f>SUMIF('TKP 项目汇总'!$D:$D,'TKP 终端汇总'!$A:$A,'TKP 项目汇总'!$T:$T)</f>
        <v>-22984.93</v>
      </c>
      <c r="E40" s="70">
        <f>SUMIF('TKP 项目汇总'!$D:$D,'TKP 终端汇总'!$A:$A,'TKP 项目汇总'!$W:$W)</f>
        <v>0</v>
      </c>
      <c r="F40" s="70">
        <f>SUMIF('TKP 项目汇总'!$D:$D,'TKP 终端汇总'!$A:$A,'TKP 项目汇总'!$X:$X)</f>
        <v>-22984.93</v>
      </c>
      <c r="G40" s="75"/>
    </row>
    <row r="41" spans="1:7" hidden="1" outlineLevel="1" x14ac:dyDescent="0.2">
      <c r="A41" s="74" t="s">
        <v>1375</v>
      </c>
      <c r="B41" s="70">
        <f>SUMIF('TKP 项目汇总'!D:D,'TKP 终端汇总'!A:A,'TKP 项目汇总'!M:M)</f>
        <v>0</v>
      </c>
      <c r="C41" s="70">
        <f>SUMIF('TKP 项目汇总'!$D:$D,'TKP 终端汇总'!$A:$A,'TKP 项目汇总'!$S:$S)</f>
        <v>22593.340000000004</v>
      </c>
      <c r="D41" s="70">
        <f>SUMIF('TKP 项目汇总'!$D:$D,'TKP 终端汇总'!$A:$A,'TKP 项目汇总'!$T:$T)</f>
        <v>-22593.340000000004</v>
      </c>
      <c r="E41" s="70">
        <f>SUMIF('TKP 项目汇总'!$D:$D,'TKP 终端汇总'!$A:$A,'TKP 项目汇总'!$W:$W)</f>
        <v>0</v>
      </c>
      <c r="F41" s="70">
        <f>SUMIF('TKP 项目汇总'!$D:$D,'TKP 终端汇总'!$A:$A,'TKP 项目汇总'!$X:$X)</f>
        <v>-22593.340000000004</v>
      </c>
      <c r="G41" s="75"/>
    </row>
    <row r="42" spans="1:7" hidden="1" outlineLevel="1" x14ac:dyDescent="0.2">
      <c r="A42" s="74" t="s">
        <v>1195</v>
      </c>
      <c r="B42" s="70">
        <f>SUMIF('TKP 项目汇总'!D:D,'TKP 终端汇总'!A:A,'TKP 项目汇总'!M:M)</f>
        <v>0</v>
      </c>
      <c r="C42" s="70">
        <f>SUMIF('TKP 项目汇总'!$D:$D,'TKP 终端汇总'!$A:$A,'TKP 项目汇总'!$S:$S)</f>
        <v>14097.109999999999</v>
      </c>
      <c r="D42" s="70">
        <f>SUMIF('TKP 项目汇总'!$D:$D,'TKP 终端汇总'!$A:$A,'TKP 项目汇总'!$T:$T)</f>
        <v>-14097.109999999999</v>
      </c>
      <c r="E42" s="70">
        <f>SUMIF('TKP 项目汇总'!$D:$D,'TKP 终端汇总'!$A:$A,'TKP 项目汇总'!$W:$W)</f>
        <v>3884.7699999999995</v>
      </c>
      <c r="F42" s="70">
        <f>SUMIF('TKP 项目汇总'!$D:$D,'TKP 终端汇总'!$A:$A,'TKP 项目汇总'!$X:$X)</f>
        <v>-17981.88</v>
      </c>
      <c r="G42" s="75"/>
    </row>
    <row r="43" spans="1:7" hidden="1" outlineLevel="1" x14ac:dyDescent="0.2">
      <c r="A43" s="74" t="s">
        <v>1248</v>
      </c>
      <c r="B43" s="70">
        <f>SUMIF('TKP 项目汇总'!D:D,'TKP 终端汇总'!A:A,'TKP 项目汇总'!M:M)</f>
        <v>0</v>
      </c>
      <c r="C43" s="70">
        <f>SUMIF('TKP 项目汇总'!$D:$D,'TKP 终端汇总'!$A:$A,'TKP 项目汇总'!$S:$S)</f>
        <v>15122.01</v>
      </c>
      <c r="D43" s="70">
        <f>SUMIF('TKP 项目汇总'!$D:$D,'TKP 终端汇总'!$A:$A,'TKP 项目汇总'!$T:$T)</f>
        <v>-15122.01</v>
      </c>
      <c r="E43" s="70">
        <f>SUMIF('TKP 项目汇总'!$D:$D,'TKP 终端汇总'!$A:$A,'TKP 项目汇总'!$W:$W)</f>
        <v>0</v>
      </c>
      <c r="F43" s="70">
        <f>SUMIF('TKP 项目汇总'!$D:$D,'TKP 终端汇总'!$A:$A,'TKP 项目汇总'!$X:$X)</f>
        <v>-15122.01</v>
      </c>
      <c r="G43" s="75"/>
    </row>
    <row r="44" spans="1:7" hidden="1" outlineLevel="1" x14ac:dyDescent="0.2">
      <c r="A44" s="74" t="s">
        <v>1253</v>
      </c>
      <c r="B44" s="70">
        <f>SUMIF('TKP 项目汇总'!D:D,'TKP 终端汇总'!A:A,'TKP 项目汇总'!M:M)</f>
        <v>0</v>
      </c>
      <c r="C44" s="70">
        <f>SUMIF('TKP 项目汇总'!$D:$D,'TKP 终端汇总'!$A:$A,'TKP 项目汇总'!$S:$S)</f>
        <v>12815.25</v>
      </c>
      <c r="D44" s="70">
        <f>SUMIF('TKP 项目汇总'!$D:$D,'TKP 终端汇总'!$A:$A,'TKP 项目汇总'!$T:$T)</f>
        <v>-12815.25</v>
      </c>
      <c r="E44" s="70">
        <f>SUMIF('TKP 项目汇总'!$D:$D,'TKP 终端汇总'!$A:$A,'TKP 项目汇总'!$W:$W)</f>
        <v>0</v>
      </c>
      <c r="F44" s="70">
        <f>SUMIF('TKP 项目汇总'!$D:$D,'TKP 终端汇总'!$A:$A,'TKP 项目汇总'!$X:$X)</f>
        <v>-12815.25</v>
      </c>
      <c r="G44" s="75"/>
    </row>
    <row r="45" spans="1:7" hidden="1" outlineLevel="1" x14ac:dyDescent="0.2">
      <c r="A45" s="74" t="s">
        <v>1218</v>
      </c>
      <c r="B45" s="70">
        <f>SUMIF('TKP 项目汇总'!D:D,'TKP 终端汇总'!A:A,'TKP 项目汇总'!M:M)</f>
        <v>0</v>
      </c>
      <c r="C45" s="70">
        <f>SUMIF('TKP 项目汇总'!$D:$D,'TKP 终端汇总'!$A:$A,'TKP 项目汇总'!$S:$S)</f>
        <v>0</v>
      </c>
      <c r="D45" s="70">
        <f>SUMIF('TKP 项目汇总'!$D:$D,'TKP 终端汇总'!$A:$A,'TKP 项目汇总'!$T:$T)</f>
        <v>0</v>
      </c>
      <c r="E45" s="70">
        <f>SUMIF('TKP 项目汇总'!$D:$D,'TKP 终端汇总'!$A:$A,'TKP 项目汇总'!$W:$W)</f>
        <v>12178.5</v>
      </c>
      <c r="F45" s="70">
        <f>SUMIF('TKP 项目汇总'!$D:$D,'TKP 终端汇总'!$A:$A,'TKP 项目汇总'!$X:$X)</f>
        <v>-12178.5</v>
      </c>
      <c r="G45" s="75"/>
    </row>
    <row r="46" spans="1:7" hidden="1" outlineLevel="1" x14ac:dyDescent="0.2">
      <c r="A46" s="78" t="s">
        <v>1292</v>
      </c>
      <c r="B46" s="70">
        <f>SUMIF('TKP 项目汇总'!D:D,'TKP 终端汇总'!A:A,'TKP 项目汇总'!M:M)</f>
        <v>22047.52</v>
      </c>
      <c r="C46" s="70">
        <f>SUMIF('TKP 项目汇总'!$D:$D,'TKP 终端汇总'!$A:$A,'TKP 项目汇总'!$S:$S)</f>
        <v>32944.270000000004</v>
      </c>
      <c r="D46" s="70">
        <f>SUMIF('TKP 项目汇总'!$D:$D,'TKP 终端汇总'!$A:$A,'TKP 项目汇总'!$T:$T)</f>
        <v>-10896.75</v>
      </c>
      <c r="E46" s="70">
        <f>SUMIF('TKP 项目汇总'!$D:$D,'TKP 终端汇总'!$A:$A,'TKP 项目汇总'!$W:$W)</f>
        <v>0</v>
      </c>
      <c r="F46" s="70">
        <f>SUMIF('TKP 项目汇总'!$D:$D,'TKP 终端汇总'!$A:$A,'TKP 项目汇总'!$X:$X)</f>
        <v>-10896.75</v>
      </c>
      <c r="G46" s="75"/>
    </row>
    <row r="47" spans="1:7" hidden="1" outlineLevel="1" x14ac:dyDescent="0.2">
      <c r="A47" s="74" t="s">
        <v>1237</v>
      </c>
      <c r="B47" s="70">
        <f>SUMIF('TKP 项目汇总'!D:D,'TKP 终端汇总'!A:A,'TKP 项目汇总'!M:M)</f>
        <v>0</v>
      </c>
      <c r="C47" s="70">
        <f>SUMIF('TKP 项目汇总'!$D:$D,'TKP 终端汇总'!$A:$A,'TKP 项目汇总'!$S:$S)</f>
        <v>1527.43</v>
      </c>
      <c r="D47" s="70">
        <f>SUMIF('TKP 项目汇总'!$D:$D,'TKP 终端汇总'!$A:$A,'TKP 项目汇总'!$T:$T)</f>
        <v>-1527.43</v>
      </c>
      <c r="E47" s="70">
        <f>SUMIF('TKP 项目汇总'!$D:$D,'TKP 终端汇总'!$A:$A,'TKP 项目汇总'!$W:$W)</f>
        <v>7524.18</v>
      </c>
      <c r="F47" s="70">
        <f>SUMIF('TKP 项目汇总'!$D:$D,'TKP 终端汇总'!$A:$A,'TKP 项目汇总'!$X:$X)</f>
        <v>-9051.61</v>
      </c>
      <c r="G47" s="75"/>
    </row>
    <row r="48" spans="1:7" hidden="1" outlineLevel="1" x14ac:dyDescent="0.2">
      <c r="A48" s="74" t="s">
        <v>1189</v>
      </c>
      <c r="B48" s="70">
        <f>SUMIF('TKP 项目汇总'!D:D,'TKP 终端汇总'!A:A,'TKP 项目汇总'!M:M)</f>
        <v>0</v>
      </c>
      <c r="C48" s="70">
        <f>SUMIF('TKP 项目汇总'!$D:$D,'TKP 终端汇总'!$A:$A,'TKP 项目汇总'!$S:$S)</f>
        <v>4158.13</v>
      </c>
      <c r="D48" s="70">
        <f>SUMIF('TKP 项目汇总'!$D:$D,'TKP 终端汇总'!$A:$A,'TKP 项目汇总'!$T:$T)</f>
        <v>-4158.13</v>
      </c>
      <c r="E48" s="70">
        <f>SUMIF('TKP 项目汇总'!$D:$D,'TKP 终端汇总'!$A:$A,'TKP 项目汇总'!$W:$W)</f>
        <v>3003.89</v>
      </c>
      <c r="F48" s="70">
        <f>SUMIF('TKP 项目汇总'!$D:$D,'TKP 终端汇总'!$A:$A,'TKP 项目汇总'!$X:$X)</f>
        <v>-7162.02</v>
      </c>
      <c r="G48" s="75"/>
    </row>
    <row r="49" spans="1:7" hidden="1" outlineLevel="1" x14ac:dyDescent="0.2">
      <c r="A49" s="74" t="s">
        <v>1235</v>
      </c>
      <c r="B49" s="70">
        <f>SUMIF('TKP 项目汇总'!D:D,'TKP 终端汇总'!A:A,'TKP 项目汇总'!M:M)</f>
        <v>0</v>
      </c>
      <c r="C49" s="70">
        <f>SUMIF('TKP 项目汇总'!$D:$D,'TKP 终端汇总'!$A:$A,'TKP 项目汇总'!$S:$S)</f>
        <v>6215.3</v>
      </c>
      <c r="D49" s="70">
        <f>SUMIF('TKP 项目汇总'!$D:$D,'TKP 终端汇总'!$A:$A,'TKP 项目汇总'!$T:$T)</f>
        <v>-6215.3</v>
      </c>
      <c r="E49" s="70">
        <f>SUMIF('TKP 项目汇总'!$D:$D,'TKP 终端汇总'!$A:$A,'TKP 项目汇总'!$W:$W)</f>
        <v>0</v>
      </c>
      <c r="F49" s="70">
        <f>SUMIF('TKP 项目汇总'!$D:$D,'TKP 终端汇总'!$A:$A,'TKP 项目汇总'!$X:$X)</f>
        <v>-6215.3</v>
      </c>
      <c r="G49" s="75"/>
    </row>
    <row r="50" spans="1:7" hidden="1" outlineLevel="1" x14ac:dyDescent="0.2">
      <c r="A50" s="74" t="s">
        <v>1173</v>
      </c>
      <c r="B50" s="70">
        <f>SUMIF('TKP 项目汇总'!D:D,'TKP 终端汇总'!A:A,'TKP 项目汇总'!M:M)</f>
        <v>0</v>
      </c>
      <c r="C50" s="70">
        <f>SUMIF('TKP 项目汇总'!$D:$D,'TKP 终端汇总'!$A:$A,'TKP 项目汇总'!$S:$S)</f>
        <v>6077.4000000000005</v>
      </c>
      <c r="D50" s="70">
        <f>SUMIF('TKP 项目汇总'!$D:$D,'TKP 终端汇总'!$A:$A,'TKP 项目汇总'!$T:$T)</f>
        <v>-6077.4000000000005</v>
      </c>
      <c r="E50" s="70">
        <f>SUMIF('TKP 项目汇总'!$D:$D,'TKP 终端汇总'!$A:$A,'TKP 项目汇总'!$W:$W)</f>
        <v>0</v>
      </c>
      <c r="F50" s="70">
        <f>SUMIF('TKP 项目汇总'!$D:$D,'TKP 终端汇总'!$A:$A,'TKP 项目汇总'!$X:$X)</f>
        <v>-6077.4000000000005</v>
      </c>
      <c r="G50" s="75"/>
    </row>
    <row r="51" spans="1:7" hidden="1" outlineLevel="1" x14ac:dyDescent="0.2">
      <c r="A51" s="74" t="s">
        <v>1239</v>
      </c>
      <c r="B51" s="70">
        <f>SUMIF('TKP 项目汇总'!D:D,'TKP 终端汇总'!A:A,'TKP 项目汇总'!M:M)</f>
        <v>0</v>
      </c>
      <c r="C51" s="70">
        <f>SUMIF('TKP 项目汇总'!$D:$D,'TKP 终端汇总'!$A:$A,'TKP 项目汇总'!$S:$S)</f>
        <v>4801.75</v>
      </c>
      <c r="D51" s="70">
        <f>SUMIF('TKP 项目汇总'!$D:$D,'TKP 终端汇总'!$A:$A,'TKP 项目汇总'!$T:$T)</f>
        <v>-4801.75</v>
      </c>
      <c r="E51" s="70">
        <f>SUMIF('TKP 项目汇总'!$D:$D,'TKP 终端汇总'!$A:$A,'TKP 项目汇总'!$W:$W)</f>
        <v>0</v>
      </c>
      <c r="F51" s="70">
        <f>SUMIF('TKP 项目汇总'!$D:$D,'TKP 终端汇总'!$A:$A,'TKP 项目汇总'!$X:$X)</f>
        <v>-4801.75</v>
      </c>
      <c r="G51" s="75"/>
    </row>
    <row r="52" spans="1:7" hidden="1" outlineLevel="1" x14ac:dyDescent="0.2">
      <c r="A52" s="74" t="s">
        <v>1462</v>
      </c>
      <c r="B52" s="70">
        <f>SUMIF('TKP 项目汇总'!D:D,'TKP 终端汇总'!A:A,'TKP 项目汇总'!M:M)</f>
        <v>0</v>
      </c>
      <c r="C52" s="70">
        <f>SUMIF('TKP 项目汇总'!$D:$D,'TKP 终端汇总'!$A:$A,'TKP 项目汇总'!$S:$S)</f>
        <v>3855.82</v>
      </c>
      <c r="D52" s="70">
        <f>SUMIF('TKP 项目汇总'!$D:$D,'TKP 终端汇总'!$A:$A,'TKP 项目汇总'!$T:$T)</f>
        <v>-3855.82</v>
      </c>
      <c r="E52" s="70">
        <f>SUMIF('TKP 项目汇总'!$D:$D,'TKP 终端汇总'!$A:$A,'TKP 项目汇总'!$W:$W)</f>
        <v>0</v>
      </c>
      <c r="F52" s="70">
        <f>SUMIF('TKP 项目汇总'!$D:$D,'TKP 终端汇总'!$A:$A,'TKP 项目汇总'!$X:$X)</f>
        <v>-3855.82</v>
      </c>
      <c r="G52" s="75"/>
    </row>
    <row r="53" spans="1:7" hidden="1" outlineLevel="1" x14ac:dyDescent="0.2">
      <c r="A53" s="74" t="s">
        <v>1461</v>
      </c>
      <c r="B53" s="70">
        <f>SUMIF('TKP 项目汇总'!D:D,'TKP 终端汇总'!A:A,'TKP 项目汇总'!M:M)</f>
        <v>0</v>
      </c>
      <c r="C53" s="70">
        <f>SUMIF('TKP 项目汇总'!$D:$D,'TKP 终端汇总'!$A:$A,'TKP 项目汇总'!$S:$S)</f>
        <v>3517.89</v>
      </c>
      <c r="D53" s="70">
        <f>SUMIF('TKP 项目汇总'!$D:$D,'TKP 终端汇总'!$A:$A,'TKP 项目汇总'!$T:$T)</f>
        <v>-3517.89</v>
      </c>
      <c r="E53" s="70">
        <f>SUMIF('TKP 项目汇总'!$D:$D,'TKP 终端汇总'!$A:$A,'TKP 项目汇总'!$W:$W)</f>
        <v>0</v>
      </c>
      <c r="F53" s="70">
        <f>SUMIF('TKP 项目汇总'!$D:$D,'TKP 终端汇总'!$A:$A,'TKP 项目汇总'!$X:$X)</f>
        <v>-3517.89</v>
      </c>
      <c r="G53" s="75"/>
    </row>
    <row r="54" spans="1:7" hidden="1" outlineLevel="1" x14ac:dyDescent="0.2">
      <c r="A54" s="74" t="s">
        <v>1225</v>
      </c>
      <c r="B54" s="70">
        <f>SUMIF('TKP 项目汇总'!D:D,'TKP 终端汇总'!A:A,'TKP 项目汇总'!M:M)</f>
        <v>0</v>
      </c>
      <c r="C54" s="70">
        <f>SUMIF('TKP 项目汇总'!$D:$D,'TKP 终端汇总'!$A:$A,'TKP 项目汇总'!$S:$S)</f>
        <v>3169.4900000000002</v>
      </c>
      <c r="D54" s="70">
        <f>SUMIF('TKP 项目汇总'!$D:$D,'TKP 终端汇总'!$A:$A,'TKP 项目汇总'!$T:$T)</f>
        <v>-3169.4900000000002</v>
      </c>
      <c r="E54" s="70">
        <f>SUMIF('TKP 项目汇总'!$D:$D,'TKP 终端汇总'!$A:$A,'TKP 项目汇总'!$W:$W)</f>
        <v>0</v>
      </c>
      <c r="F54" s="70">
        <f>SUMIF('TKP 项目汇总'!$D:$D,'TKP 终端汇总'!$A:$A,'TKP 项目汇总'!$X:$X)</f>
        <v>-3169.4900000000002</v>
      </c>
      <c r="G54" s="75"/>
    </row>
    <row r="55" spans="1:7" hidden="1" outlineLevel="1" x14ac:dyDescent="0.2">
      <c r="A55" s="74" t="s">
        <v>1193</v>
      </c>
      <c r="B55" s="70">
        <f>SUMIF('TKP 项目汇总'!D:D,'TKP 终端汇总'!A:A,'TKP 项目汇总'!M:M)</f>
        <v>0</v>
      </c>
      <c r="C55" s="70">
        <f>SUMIF('TKP 项目汇总'!$D:$D,'TKP 终端汇总'!$A:$A,'TKP 项目汇总'!$S:$S)</f>
        <v>2923.87</v>
      </c>
      <c r="D55" s="70">
        <f>SUMIF('TKP 项目汇总'!$D:$D,'TKP 终端汇总'!$A:$A,'TKP 项目汇总'!$T:$T)</f>
        <v>-2923.87</v>
      </c>
      <c r="E55" s="70">
        <f>SUMIF('TKP 项目汇总'!$D:$D,'TKP 终端汇总'!$A:$A,'TKP 项目汇总'!$W:$W)</f>
        <v>0</v>
      </c>
      <c r="F55" s="70">
        <f>SUMIF('TKP 项目汇总'!$D:$D,'TKP 终端汇总'!$A:$A,'TKP 项目汇总'!$X:$X)</f>
        <v>-2923.87</v>
      </c>
      <c r="G55" s="75"/>
    </row>
    <row r="56" spans="1:7" hidden="1" outlineLevel="1" x14ac:dyDescent="0.2">
      <c r="A56" s="74" t="s">
        <v>1460</v>
      </c>
      <c r="B56" s="70">
        <f>SUMIF('TKP 项目汇总'!D:D,'TKP 终端汇总'!A:A,'TKP 项目汇总'!M:M)</f>
        <v>0</v>
      </c>
      <c r="C56" s="70">
        <f>SUMIF('TKP 项目汇总'!$D:$D,'TKP 终端汇总'!$A:$A,'TKP 项目汇总'!$S:$S)</f>
        <v>2097.9499999999998</v>
      </c>
      <c r="D56" s="70">
        <f>SUMIF('TKP 项目汇总'!$D:$D,'TKP 终端汇总'!$A:$A,'TKP 项目汇总'!$T:$T)</f>
        <v>-2097.9499999999998</v>
      </c>
      <c r="E56" s="70">
        <f>SUMIF('TKP 项目汇总'!$D:$D,'TKP 终端汇总'!$A:$A,'TKP 项目汇总'!$W:$W)</f>
        <v>0</v>
      </c>
      <c r="F56" s="70">
        <f>SUMIF('TKP 项目汇总'!$D:$D,'TKP 终端汇总'!$A:$A,'TKP 项目汇总'!$X:$X)</f>
        <v>-2097.9499999999998</v>
      </c>
      <c r="G56" s="75"/>
    </row>
    <row r="57" spans="1:7" hidden="1" outlineLevel="1" x14ac:dyDescent="0.2">
      <c r="A57" s="74" t="s">
        <v>1222</v>
      </c>
      <c r="B57" s="70">
        <f>SUMIF('TKP 项目汇总'!D:D,'TKP 终端汇总'!A:A,'TKP 项目汇总'!M:M)</f>
        <v>0</v>
      </c>
      <c r="C57" s="70">
        <f>SUMIF('TKP 项目汇总'!$D:$D,'TKP 终端汇总'!$A:$A,'TKP 项目汇总'!$S:$S)</f>
        <v>1525.79</v>
      </c>
      <c r="D57" s="70">
        <f>SUMIF('TKP 项目汇总'!$D:$D,'TKP 终端汇总'!$A:$A,'TKP 项目汇总'!$T:$T)</f>
        <v>-1525.79</v>
      </c>
      <c r="E57" s="70">
        <f>SUMIF('TKP 项目汇总'!$D:$D,'TKP 终端汇总'!$A:$A,'TKP 项目汇总'!$W:$W)</f>
        <v>163.1</v>
      </c>
      <c r="F57" s="70">
        <f>SUMIF('TKP 项目汇总'!$D:$D,'TKP 终端汇总'!$A:$A,'TKP 项目汇总'!$X:$X)</f>
        <v>-1688.8899999999999</v>
      </c>
      <c r="G57" s="75"/>
    </row>
    <row r="58" spans="1:7" hidden="1" outlineLevel="1" x14ac:dyDescent="0.2">
      <c r="A58" s="74" t="s">
        <v>1252</v>
      </c>
      <c r="B58" s="70">
        <f>SUMIF('TKP 项目汇总'!D:D,'TKP 终端汇总'!A:A,'TKP 项目汇总'!M:M)</f>
        <v>1157.47</v>
      </c>
      <c r="C58" s="70">
        <f>SUMIF('TKP 项目汇总'!$D:$D,'TKP 终端汇总'!$A:$A,'TKP 项目汇总'!$S:$S)</f>
        <v>2600.6499999999996</v>
      </c>
      <c r="D58" s="70">
        <f>SUMIF('TKP 项目汇总'!$D:$D,'TKP 终端汇总'!$A:$A,'TKP 项目汇总'!$T:$T)</f>
        <v>-1443.1799999999998</v>
      </c>
      <c r="E58" s="70">
        <f>SUMIF('TKP 项目汇总'!$D:$D,'TKP 终端汇总'!$A:$A,'TKP 项目汇总'!$W:$W)</f>
        <v>0</v>
      </c>
      <c r="F58" s="70">
        <f>SUMIF('TKP 项目汇总'!$D:$D,'TKP 终端汇总'!$A:$A,'TKP 项目汇总'!$X:$X)</f>
        <v>-1443.1799999999998</v>
      </c>
      <c r="G58" s="75"/>
    </row>
    <row r="59" spans="1:7" hidden="1" outlineLevel="1" x14ac:dyDescent="0.2">
      <c r="A59" s="74" t="s">
        <v>1175</v>
      </c>
      <c r="B59" s="70">
        <f>SUMIF('TKP 项目汇总'!D:D,'TKP 终端汇总'!A:A,'TKP 项目汇总'!M:M)</f>
        <v>0</v>
      </c>
      <c r="C59" s="70">
        <f>SUMIF('TKP 项目汇总'!$D:$D,'TKP 终端汇总'!$A:$A,'TKP 项目汇总'!$S:$S)</f>
        <v>0</v>
      </c>
      <c r="D59" s="70">
        <f>SUMIF('TKP 项目汇总'!$D:$D,'TKP 终端汇总'!$A:$A,'TKP 项目汇总'!$T:$T)</f>
        <v>0</v>
      </c>
      <c r="E59" s="70">
        <f>SUMIF('TKP 项目汇总'!$D:$D,'TKP 终端汇总'!$A:$A,'TKP 项目汇总'!$W:$W)</f>
        <v>1373.71</v>
      </c>
      <c r="F59" s="70">
        <f>SUMIF('TKP 项目汇总'!$D:$D,'TKP 终端汇总'!$A:$A,'TKP 项目汇总'!$X:$X)</f>
        <v>-1373.71</v>
      </c>
      <c r="G59" s="75"/>
    </row>
    <row r="60" spans="1:7" hidden="1" outlineLevel="1" x14ac:dyDescent="0.2">
      <c r="A60" s="74" t="s">
        <v>1192</v>
      </c>
      <c r="B60" s="70">
        <f>SUMIF('TKP 项目汇总'!D:D,'TKP 终端汇总'!A:A,'TKP 项目汇总'!M:M)</f>
        <v>15233.95</v>
      </c>
      <c r="C60" s="70">
        <f>SUMIF('TKP 项目汇总'!$D:$D,'TKP 终端汇总'!$A:$A,'TKP 项目汇总'!$S:$S)</f>
        <v>16568.560000000001</v>
      </c>
      <c r="D60" s="70">
        <f>SUMIF('TKP 项目汇总'!$D:$D,'TKP 终端汇总'!$A:$A,'TKP 项目汇总'!$T:$T)</f>
        <v>-1334.6100000000006</v>
      </c>
      <c r="E60" s="70">
        <f>SUMIF('TKP 项目汇总'!$D:$D,'TKP 终端汇总'!$A:$A,'TKP 项目汇总'!$W:$W)</f>
        <v>0</v>
      </c>
      <c r="F60" s="70">
        <f>SUMIF('TKP 项目汇总'!$D:$D,'TKP 终端汇总'!$A:$A,'TKP 项目汇总'!$X:$X)</f>
        <v>-1334.6100000000006</v>
      </c>
      <c r="G60" s="75"/>
    </row>
    <row r="61" spans="1:7" hidden="1" outlineLevel="1" x14ac:dyDescent="0.2">
      <c r="A61" s="74" t="s">
        <v>1464</v>
      </c>
      <c r="B61" s="70">
        <f>SUMIF('TKP 项目汇总'!D:D,'TKP 终端汇总'!A:A,'TKP 项目汇总'!M:M)</f>
        <v>0</v>
      </c>
      <c r="C61" s="70">
        <f>SUMIF('TKP 项目汇总'!$D:$D,'TKP 终端汇总'!$A:$A,'TKP 项目汇总'!$S:$S)</f>
        <v>1241.5999999999999</v>
      </c>
      <c r="D61" s="70">
        <f>SUMIF('TKP 项目汇总'!$D:$D,'TKP 终端汇总'!$A:$A,'TKP 项目汇总'!$T:$T)</f>
        <v>-1241.5999999999999</v>
      </c>
      <c r="E61" s="70">
        <f>SUMIF('TKP 项目汇总'!$D:$D,'TKP 终端汇总'!$A:$A,'TKP 项目汇总'!$W:$W)</f>
        <v>0</v>
      </c>
      <c r="F61" s="70">
        <f>SUMIF('TKP 项目汇总'!$D:$D,'TKP 终端汇总'!$A:$A,'TKP 项目汇总'!$X:$X)</f>
        <v>-1241.5999999999999</v>
      </c>
      <c r="G61" s="75"/>
    </row>
    <row r="62" spans="1:7" hidden="1" outlineLevel="1" x14ac:dyDescent="0.2">
      <c r="A62" s="74" t="s">
        <v>1465</v>
      </c>
      <c r="B62" s="70">
        <f>SUMIF('TKP 项目汇总'!D:D,'TKP 终端汇总'!A:A,'TKP 项目汇总'!M:M)</f>
        <v>0</v>
      </c>
      <c r="C62" s="70">
        <f>SUMIF('TKP 项目汇总'!$D:$D,'TKP 终端汇总'!$A:$A,'TKP 项目汇总'!$S:$S)</f>
        <v>1038.1600000000001</v>
      </c>
      <c r="D62" s="70">
        <f>SUMIF('TKP 项目汇总'!$D:$D,'TKP 终端汇总'!$A:$A,'TKP 项目汇总'!$T:$T)</f>
        <v>-1038.1600000000001</v>
      </c>
      <c r="E62" s="70">
        <f>SUMIF('TKP 项目汇总'!$D:$D,'TKP 终端汇总'!$A:$A,'TKP 项目汇总'!$W:$W)</f>
        <v>0</v>
      </c>
      <c r="F62" s="70">
        <f>SUMIF('TKP 项目汇总'!$D:$D,'TKP 终端汇总'!$A:$A,'TKP 项目汇总'!$X:$X)</f>
        <v>-1038.1600000000001</v>
      </c>
      <c r="G62" s="75"/>
    </row>
    <row r="63" spans="1:7" hidden="1" outlineLevel="1" x14ac:dyDescent="0.2">
      <c r="A63" s="74" t="s">
        <v>1236</v>
      </c>
      <c r="B63" s="70">
        <f>SUMIF('TKP 项目汇总'!D:D,'TKP 终端汇总'!A:A,'TKP 项目汇总'!M:M)</f>
        <v>0</v>
      </c>
      <c r="C63" s="70">
        <f>SUMIF('TKP 项目汇总'!$D:$D,'TKP 终端汇总'!$A:$A,'TKP 项目汇总'!$S:$S)</f>
        <v>796.84999999999991</v>
      </c>
      <c r="D63" s="70">
        <f>SUMIF('TKP 项目汇总'!$D:$D,'TKP 终端汇总'!$A:$A,'TKP 项目汇总'!$T:$T)</f>
        <v>-796.84999999999991</v>
      </c>
      <c r="E63" s="70">
        <f>SUMIF('TKP 项目汇总'!$D:$D,'TKP 终端汇总'!$A:$A,'TKP 项目汇总'!$W:$W)</f>
        <v>0</v>
      </c>
      <c r="F63" s="70">
        <f>SUMIF('TKP 项目汇总'!$D:$D,'TKP 终端汇总'!$A:$A,'TKP 项目汇总'!$X:$X)</f>
        <v>-796.84999999999991</v>
      </c>
      <c r="G63" s="75"/>
    </row>
    <row r="64" spans="1:7" hidden="1" outlineLevel="1" x14ac:dyDescent="0.2">
      <c r="A64" s="74" t="s">
        <v>1245</v>
      </c>
      <c r="B64" s="70">
        <f>SUMIF('TKP 项目汇总'!D:D,'TKP 终端汇总'!A:A,'TKP 项目汇总'!M:M)</f>
        <v>0</v>
      </c>
      <c r="C64" s="70">
        <f>SUMIF('TKP 项目汇总'!$D:$D,'TKP 终端汇总'!$A:$A,'TKP 项目汇总'!$S:$S)</f>
        <v>572.78</v>
      </c>
      <c r="D64" s="70">
        <f>SUMIF('TKP 项目汇总'!$D:$D,'TKP 终端汇总'!$A:$A,'TKP 项目汇总'!$T:$T)</f>
        <v>-572.78</v>
      </c>
      <c r="E64" s="70">
        <f>SUMIF('TKP 项目汇总'!$D:$D,'TKP 终端汇总'!$A:$A,'TKP 项目汇总'!$W:$W)</f>
        <v>0</v>
      </c>
      <c r="F64" s="70">
        <f>SUMIF('TKP 项目汇总'!$D:$D,'TKP 终端汇总'!$A:$A,'TKP 项目汇总'!$X:$X)</f>
        <v>-572.78</v>
      </c>
      <c r="G64" s="75"/>
    </row>
    <row r="65" spans="1:7" hidden="1" outlineLevel="1" x14ac:dyDescent="0.2">
      <c r="A65" s="74" t="s">
        <v>1174</v>
      </c>
      <c r="B65" s="70">
        <f>SUMIF('TKP 项目汇总'!D:D,'TKP 终端汇总'!A:A,'TKP 项目汇总'!M:M)</f>
        <v>82005</v>
      </c>
      <c r="C65" s="70">
        <f>SUMIF('TKP 项目汇总'!$D:$D,'TKP 终端汇总'!$A:$A,'TKP 项目汇总'!$S:$S)</f>
        <v>64523.87000000001</v>
      </c>
      <c r="D65" s="70">
        <f>SUMIF('TKP 项目汇总'!$D:$D,'TKP 终端汇总'!$A:$A,'TKP 项目汇总'!$T:$T)</f>
        <v>17481.129999999994</v>
      </c>
      <c r="E65" s="70">
        <f>SUMIF('TKP 项目汇总'!$D:$D,'TKP 终端汇总'!$A:$A,'TKP 项目汇总'!$W:$W)</f>
        <v>17586.16</v>
      </c>
      <c r="F65" s="70">
        <f>SUMIF('TKP 项目汇总'!$D:$D,'TKP 终端汇总'!$A:$A,'TKP 项目汇总'!$X:$X)</f>
        <v>-105.03000000000611</v>
      </c>
      <c r="G65" s="75"/>
    </row>
    <row r="66" spans="1:7" hidden="1" outlineLevel="1" x14ac:dyDescent="0.2">
      <c r="A66" s="74" t="s">
        <v>1463</v>
      </c>
      <c r="B66" s="70">
        <f>SUMIF('TKP 项目汇总'!D:D,'TKP 终端汇总'!A:A,'TKP 项目汇总'!M:M)</f>
        <v>0</v>
      </c>
      <c r="C66" s="70">
        <f>SUMIF('TKP 项目汇总'!$D:$D,'TKP 终端汇总'!$A:$A,'TKP 项目汇总'!$S:$S)</f>
        <v>0</v>
      </c>
      <c r="D66" s="70">
        <f>SUMIF('TKP 项目汇总'!$D:$D,'TKP 终端汇总'!$A:$A,'TKP 项目汇总'!$T:$T)</f>
        <v>0</v>
      </c>
      <c r="E66" s="70">
        <f>SUMIF('TKP 项目汇总'!$D:$D,'TKP 终端汇总'!$A:$A,'TKP 项目汇总'!$W:$W)</f>
        <v>58.93</v>
      </c>
      <c r="F66" s="70">
        <f>SUMIF('TKP 项目汇总'!$D:$D,'TKP 终端汇总'!$A:$A,'TKP 项目汇总'!$X:$X)</f>
        <v>-58.93</v>
      </c>
      <c r="G66" s="75"/>
    </row>
    <row r="67" spans="1:7" hidden="1" outlineLevel="1" x14ac:dyDescent="0.2">
      <c r="A67" s="74" t="s">
        <v>1400</v>
      </c>
      <c r="B67" s="70">
        <f>SUMIF('TKP 项目汇总'!D:D,'TKP 终端汇总'!A:A,'TKP 项目汇总'!M:M)</f>
        <v>12480</v>
      </c>
      <c r="C67" s="70">
        <f>SUMIF('TKP 项目汇总'!$D:$D,'TKP 终端汇总'!$A:$A,'TKP 项目汇总'!$S:$S)</f>
        <v>12293.58</v>
      </c>
      <c r="D67" s="70">
        <f>SUMIF('TKP 项目汇总'!$D:$D,'TKP 终端汇总'!$A:$A,'TKP 项目汇总'!$T:$T)</f>
        <v>186.42000000000007</v>
      </c>
      <c r="E67" s="70">
        <f>SUMIF('TKP 项目汇总'!$D:$D,'TKP 终端汇总'!$A:$A,'TKP 项目汇总'!$W:$W)</f>
        <v>0</v>
      </c>
      <c r="F67" s="70">
        <f>SUMIF('TKP 项目汇总'!$D:$D,'TKP 终端汇总'!$A:$A,'TKP 项目汇总'!$X:$X)</f>
        <v>186.42000000000007</v>
      </c>
      <c r="G67" s="75"/>
    </row>
    <row r="68" spans="1:7" hidden="1" outlineLevel="1" x14ac:dyDescent="0.2">
      <c r="A68" s="74" t="s">
        <v>1458</v>
      </c>
      <c r="B68" s="70">
        <f>SUMIF('TKP 项目汇总'!D:D,'TKP 终端汇总'!A:A,'TKP 项目汇总'!M:M)</f>
        <v>424.83</v>
      </c>
      <c r="C68" s="70">
        <f>SUMIF('TKP 项目汇总'!$D:$D,'TKP 终端汇总'!$A:$A,'TKP 项目汇总'!$S:$S)</f>
        <v>0</v>
      </c>
      <c r="D68" s="70">
        <f>SUMIF('TKP 项目汇总'!$D:$D,'TKP 终端汇总'!$A:$A,'TKP 项目汇总'!$T:$T)</f>
        <v>424.83</v>
      </c>
      <c r="E68" s="70">
        <f>SUMIF('TKP 项目汇总'!$D:$D,'TKP 终端汇总'!$A:$A,'TKP 项目汇总'!$W:$W)</f>
        <v>0</v>
      </c>
      <c r="F68" s="70">
        <f>SUMIF('TKP 项目汇总'!$D:$D,'TKP 终端汇总'!$A:$A,'TKP 项目汇总'!$X:$X)</f>
        <v>424.83</v>
      </c>
      <c r="G68" s="75"/>
    </row>
    <row r="69" spans="1:7" hidden="1" outlineLevel="1" x14ac:dyDescent="0.2">
      <c r="A69" s="74" t="s">
        <v>1367</v>
      </c>
      <c r="B69" s="70">
        <f>SUMIF('TKP 项目汇总'!D:D,'TKP 终端汇总'!A:A,'TKP 项目汇总'!M:M)</f>
        <v>1275</v>
      </c>
      <c r="C69" s="70">
        <f>SUMIF('TKP 项目汇总'!$D:$D,'TKP 终端汇总'!$A:$A,'TKP 项目汇总'!$S:$S)</f>
        <v>0</v>
      </c>
      <c r="D69" s="70">
        <f>SUMIF('TKP 项目汇总'!$D:$D,'TKP 终端汇总'!$A:$A,'TKP 项目汇总'!$T:$T)</f>
        <v>1275</v>
      </c>
      <c r="E69" s="70">
        <f>SUMIF('TKP 项目汇总'!$D:$D,'TKP 终端汇总'!$A:$A,'TKP 项目汇总'!$W:$W)</f>
        <v>0</v>
      </c>
      <c r="F69" s="70">
        <f>SUMIF('TKP 项目汇总'!$D:$D,'TKP 终端汇总'!$A:$A,'TKP 项目汇总'!$X:$X)</f>
        <v>1275</v>
      </c>
      <c r="G69" s="75"/>
    </row>
    <row r="70" spans="1:7" hidden="1" outlineLevel="1" x14ac:dyDescent="0.2">
      <c r="A70" s="74" t="s">
        <v>1366</v>
      </c>
      <c r="B70" s="70">
        <f>SUMIF('TKP 项目汇总'!D:D,'TKP 终端汇总'!A:A,'TKP 项目汇总'!M:M)</f>
        <v>4119.62</v>
      </c>
      <c r="C70" s="70">
        <f>SUMIF('TKP 项目汇总'!$D:$D,'TKP 终端汇总'!$A:$A,'TKP 项目汇总'!$S:$S)</f>
        <v>2212.7599999999998</v>
      </c>
      <c r="D70" s="70">
        <f>SUMIF('TKP 项目汇总'!$D:$D,'TKP 终端汇总'!$A:$A,'TKP 项目汇总'!$T:$T)</f>
        <v>1906.8600000000001</v>
      </c>
      <c r="E70" s="70">
        <f>SUMIF('TKP 项目汇总'!$D:$D,'TKP 终端汇总'!$A:$A,'TKP 项目汇总'!$W:$W)</f>
        <v>210.02</v>
      </c>
      <c r="F70" s="70">
        <f>SUMIF('TKP 项目汇总'!$D:$D,'TKP 终端汇总'!$A:$A,'TKP 项目汇总'!$X:$X)</f>
        <v>1696.8400000000001</v>
      </c>
      <c r="G70" s="75"/>
    </row>
    <row r="71" spans="1:7" hidden="1" outlineLevel="1" x14ac:dyDescent="0.2">
      <c r="A71" s="78" t="s">
        <v>1291</v>
      </c>
      <c r="B71" s="70">
        <f>SUMIF('TKP 项目汇总'!D:D,'TKP 终端汇总'!A:A,'TKP 项目汇总'!M:M)</f>
        <v>2561.2600000000002</v>
      </c>
      <c r="C71" s="70">
        <f>SUMIF('TKP 项目汇总'!$D:$D,'TKP 终端汇总'!$A:$A,'TKP 项目汇总'!$S:$S)</f>
        <v>0</v>
      </c>
      <c r="D71" s="70">
        <f>SUMIF('TKP 项目汇总'!$D:$D,'TKP 终端汇总'!$A:$A,'TKP 项目汇总'!$T:$T)</f>
        <v>2561.2600000000002</v>
      </c>
      <c r="E71" s="70">
        <f>SUMIF('TKP 项目汇总'!$D:$D,'TKP 终端汇总'!$A:$A,'TKP 项目汇总'!$W:$W)</f>
        <v>0</v>
      </c>
      <c r="F71" s="70">
        <f>SUMIF('TKP 项目汇总'!$D:$D,'TKP 终端汇总'!$A:$A,'TKP 项目汇总'!$X:$X)</f>
        <v>2561.2600000000002</v>
      </c>
      <c r="G71" s="75"/>
    </row>
    <row r="72" spans="1:7" hidden="1" outlineLevel="1" collapsed="1" x14ac:dyDescent="0.2">
      <c r="A72" s="74" t="s">
        <v>1186</v>
      </c>
      <c r="B72" s="70">
        <f>SUMIF('TKP 项目汇总'!D:D,'TKP 终端汇总'!A:A,'TKP 项目汇总'!M:M)</f>
        <v>10736.24</v>
      </c>
      <c r="C72" s="70">
        <f>SUMIF('TKP 项目汇总'!$D:$D,'TKP 终端汇总'!$A:$A,'TKP 项目汇总'!$S:$S)</f>
        <v>3717.55</v>
      </c>
      <c r="D72" s="70">
        <f>SUMIF('TKP 项目汇总'!$D:$D,'TKP 终端汇总'!$A:$A,'TKP 项目汇总'!$T:$T)</f>
        <v>7018.69</v>
      </c>
      <c r="E72" s="70">
        <f>SUMIF('TKP 项目汇总'!$D:$D,'TKP 终端汇总'!$A:$A,'TKP 项目汇总'!$W:$W)</f>
        <v>0</v>
      </c>
      <c r="F72" s="70">
        <f>SUMIF('TKP 项目汇总'!$D:$D,'TKP 终端汇总'!$A:$A,'TKP 项目汇总'!$X:$X)</f>
        <v>7018.69</v>
      </c>
      <c r="G72" s="75"/>
    </row>
    <row r="73" spans="1:7" hidden="1" outlineLevel="1" collapsed="1" x14ac:dyDescent="0.2">
      <c r="A73" s="74" t="s">
        <v>1168</v>
      </c>
      <c r="B73" s="70">
        <f>SUMIF('TKP 项目汇总'!D:D,'TKP 终端汇总'!A:A,'TKP 项目汇总'!M:M)</f>
        <v>126770.09</v>
      </c>
      <c r="C73" s="70">
        <f>SUMIF('TKP 项目汇总'!$D:$D,'TKP 终端汇总'!$A:$A,'TKP 项目汇总'!$S:$S)</f>
        <v>99830.91</v>
      </c>
      <c r="D73" s="70">
        <f>SUMIF('TKP 项目汇总'!$D:$D,'TKP 终端汇总'!$A:$A,'TKP 项目汇总'!$T:$T)</f>
        <v>26939.179999999993</v>
      </c>
      <c r="E73" s="70">
        <f>SUMIF('TKP 项目汇总'!$D:$D,'TKP 终端汇总'!$A:$A,'TKP 项目汇总'!$W:$W)</f>
        <v>8786.9</v>
      </c>
      <c r="F73" s="70">
        <f>SUMIF('TKP 项目汇总'!$D:$D,'TKP 终端汇总'!$A:$A,'TKP 项目汇总'!$X:$X)</f>
        <v>18152.28</v>
      </c>
      <c r="G73" s="75"/>
    </row>
    <row r="74" spans="1:7" hidden="1" outlineLevel="1" collapsed="1" x14ac:dyDescent="0.2">
      <c r="A74" s="74" t="s">
        <v>1227</v>
      </c>
      <c r="B74" s="70">
        <f>SUMIF('TKP 项目汇总'!D:D,'TKP 终端汇总'!A:A,'TKP 项目汇总'!M:M)</f>
        <v>26520</v>
      </c>
      <c r="C74" s="70">
        <f>SUMIF('TKP 项目汇总'!$D:$D,'TKP 终端汇总'!$A:$A,'TKP 项目汇总'!$S:$S)</f>
        <v>0</v>
      </c>
      <c r="D74" s="70">
        <f>SUMIF('TKP 项目汇总'!$D:$D,'TKP 终端汇总'!$A:$A,'TKP 项目汇总'!$T:$T)</f>
        <v>26520</v>
      </c>
      <c r="E74" s="70">
        <f>SUMIF('TKP 项目汇总'!$D:$D,'TKP 终端汇总'!$A:$A,'TKP 项目汇总'!$W:$W)</f>
        <v>0</v>
      </c>
      <c r="F74" s="70">
        <f>SUMIF('TKP 项目汇总'!$D:$D,'TKP 终端汇总'!$A:$A,'TKP 项目汇总'!$X:$X)</f>
        <v>26520</v>
      </c>
      <c r="G74" s="75"/>
    </row>
    <row r="75" spans="1:7" hidden="1" outlineLevel="1" collapsed="1" x14ac:dyDescent="0.2">
      <c r="A75" s="74" t="s">
        <v>1159</v>
      </c>
      <c r="B75" s="70">
        <f>SUMIF('TKP 项目汇总'!D:D,'TKP 终端汇总'!A:A,'TKP 项目汇总'!M:M)</f>
        <v>45191.340000000004</v>
      </c>
      <c r="C75" s="70">
        <f>SUMIF('TKP 项目汇总'!$D:$D,'TKP 终端汇总'!$A:$A,'TKP 项目汇总'!$S:$S)</f>
        <v>16205.62</v>
      </c>
      <c r="D75" s="70">
        <f>SUMIF('TKP 项目汇总'!$D:$D,'TKP 终端汇总'!$A:$A,'TKP 项目汇总'!$T:$T)</f>
        <v>28985.719999999998</v>
      </c>
      <c r="E75" s="70">
        <f>SUMIF('TKP 项目汇总'!$D:$D,'TKP 终端汇总'!$A:$A,'TKP 项目汇总'!$W:$W)</f>
        <v>1760.53</v>
      </c>
      <c r="F75" s="70">
        <f>SUMIF('TKP 项目汇总'!$D:$D,'TKP 终端汇总'!$A:$A,'TKP 项目汇总'!$X:$X)</f>
        <v>27225.19</v>
      </c>
      <c r="G75" s="75"/>
    </row>
    <row r="76" spans="1:7" hidden="1" outlineLevel="1" collapsed="1" x14ac:dyDescent="0.2">
      <c r="A76" s="74" t="s">
        <v>1157</v>
      </c>
      <c r="B76" s="70">
        <f>SUMIF('TKP 项目汇总'!D:D,'TKP 终端汇总'!A:A,'TKP 项目汇总'!M:M)</f>
        <v>542877.79999999993</v>
      </c>
      <c r="C76" s="70">
        <f>SUMIF('TKP 项目汇总'!$D:$D,'TKP 终端汇总'!$A:$A,'TKP 项目汇总'!$S:$S)</f>
        <v>321221.99</v>
      </c>
      <c r="D76" s="70">
        <f>SUMIF('TKP 项目汇总'!$D:$D,'TKP 终端汇总'!$A:$A,'TKP 项目汇总'!$T:$T)</f>
        <v>221655.81</v>
      </c>
      <c r="E76" s="70">
        <f>SUMIF('TKP 项目汇总'!$D:$D,'TKP 终端汇总'!$A:$A,'TKP 项目汇总'!$W:$W)</f>
        <v>189300.38000000003</v>
      </c>
      <c r="F76" s="70">
        <f>SUMIF('TKP 项目汇总'!$D:$D,'TKP 终端汇总'!$A:$A,'TKP 项目汇总'!$X:$X)</f>
        <v>32355.430000000008</v>
      </c>
      <c r="G76" s="75"/>
    </row>
    <row r="77" spans="1:7" hidden="1" outlineLevel="1" x14ac:dyDescent="0.2">
      <c r="A77" s="74" t="s">
        <v>1230</v>
      </c>
      <c r="B77" s="70">
        <f>SUMIF('TKP 项目汇总'!D:D,'TKP 终端汇总'!A:A,'TKP 项目汇总'!M:M)</f>
        <v>34320</v>
      </c>
      <c r="C77" s="70">
        <f>SUMIF('TKP 项目汇总'!$D:$D,'TKP 终端汇总'!$A:$A,'TKP 项目汇总'!$S:$S)</f>
        <v>0</v>
      </c>
      <c r="D77" s="70">
        <f>SUMIF('TKP 项目汇总'!$D:$D,'TKP 终端汇总'!$A:$A,'TKP 项目汇总'!$T:$T)</f>
        <v>34320</v>
      </c>
      <c r="E77" s="70">
        <f>SUMIF('TKP 项目汇总'!$D:$D,'TKP 终端汇总'!$A:$A,'TKP 项目汇总'!$W:$W)</f>
        <v>0</v>
      </c>
      <c r="F77" s="70">
        <f>SUMIF('TKP 项目汇总'!$D:$D,'TKP 终端汇总'!$A:$A,'TKP 项目汇总'!$X:$X)</f>
        <v>34320</v>
      </c>
      <c r="G77" s="75"/>
    </row>
    <row r="78" spans="1:7" hidden="1" outlineLevel="1" x14ac:dyDescent="0.2">
      <c r="A78" s="74" t="s">
        <v>1156</v>
      </c>
      <c r="B78" s="70">
        <f>SUMIF('TKP 项目汇总'!D:D,'TKP 终端汇总'!A:A,'TKP 项目汇总'!M:M)</f>
        <v>83176.5</v>
      </c>
      <c r="C78" s="70">
        <f>SUMIF('TKP 项目汇总'!$D:$D,'TKP 终端汇总'!$A:$A,'TKP 项目汇总'!$S:$S)</f>
        <v>837.86</v>
      </c>
      <c r="D78" s="70">
        <f>SUMIF('TKP 项目汇总'!$D:$D,'TKP 终端汇总'!$A:$A,'TKP 项目汇总'!$T:$T)</f>
        <v>82338.64</v>
      </c>
      <c r="E78" s="70">
        <f>SUMIF('TKP 项目汇总'!$D:$D,'TKP 终端汇总'!$A:$A,'TKP 项目汇总'!$W:$W)</f>
        <v>26511.200000000001</v>
      </c>
      <c r="F78" s="70">
        <f>SUMIF('TKP 项目汇总'!$D:$D,'TKP 终端汇总'!$A:$A,'TKP 项目汇总'!$X:$X)</f>
        <v>55827.44</v>
      </c>
      <c r="G78" s="75"/>
    </row>
    <row r="79" spans="1:7" hidden="1" outlineLevel="1" x14ac:dyDescent="0.2">
      <c r="A79" s="74" t="s">
        <v>1176</v>
      </c>
      <c r="B79" s="70">
        <f>SUMIF('TKP 项目汇总'!D:D,'TKP 终端汇总'!A:A,'TKP 项目汇总'!M:M)</f>
        <v>298800.65000000002</v>
      </c>
      <c r="C79" s="70">
        <f>SUMIF('TKP 项目汇总'!$D:$D,'TKP 终端汇总'!$A:$A,'TKP 项目汇总'!$S:$S)</f>
        <v>218356.82</v>
      </c>
      <c r="D79" s="70">
        <f>SUMIF('TKP 项目汇总'!$D:$D,'TKP 终端汇总'!$A:$A,'TKP 项目汇总'!$T:$T)</f>
        <v>80443.830000000031</v>
      </c>
      <c r="E79" s="70">
        <f>SUMIF('TKP 项目汇总'!$D:$D,'TKP 终端汇总'!$A:$A,'TKP 项目汇总'!$W:$W)</f>
        <v>0</v>
      </c>
      <c r="F79" s="70">
        <f>SUMIF('TKP 项目汇总'!$D:$D,'TKP 终端汇总'!$A:$A,'TKP 项目汇总'!$X:$X)</f>
        <v>80443.830000000031</v>
      </c>
      <c r="G79" s="75"/>
    </row>
    <row r="80" spans="1:7" s="138" customFormat="1" hidden="1" outlineLevel="1" x14ac:dyDescent="0.2">
      <c r="A80" s="74" t="s">
        <v>1191</v>
      </c>
      <c r="B80" s="70">
        <f>SUMIF('TKP 项目汇总'!D:D,'TKP 终端汇总'!A:A,'TKP 项目汇总'!M:M)</f>
        <v>656882.11</v>
      </c>
      <c r="C80" s="70">
        <f>SUMIF('TKP 项目汇总'!$D:$D,'TKP 终端汇总'!$A:$A,'TKP 项目汇总'!$S:$S)</f>
        <v>570722.4</v>
      </c>
      <c r="D80" s="70">
        <f>SUMIF('TKP 项目汇总'!$D:$D,'TKP 终端汇总'!$A:$A,'TKP 项目汇总'!$T:$T)</f>
        <v>86159.710000000021</v>
      </c>
      <c r="E80" s="70">
        <f>SUMIF('TKP 项目汇总'!$D:$D,'TKP 终端汇总'!$A:$A,'TKP 项目汇总'!$W:$W)</f>
        <v>3926.51</v>
      </c>
      <c r="F80" s="70">
        <f>SUMIF('TKP 项目汇总'!$D:$D,'TKP 终端汇总'!$A:$A,'TKP 项目汇总'!$X:$X)</f>
        <v>82233.200000000012</v>
      </c>
      <c r="G80" s="75"/>
    </row>
    <row r="81" spans="1:7" s="138" customFormat="1" hidden="1" outlineLevel="1" x14ac:dyDescent="0.2">
      <c r="A81" s="74" t="s">
        <v>1154</v>
      </c>
      <c r="B81" s="70">
        <f>SUMIF('TKP 项目汇总'!D:D,'TKP 终端汇总'!A:A,'TKP 项目汇总'!M:M)</f>
        <v>217733.03</v>
      </c>
      <c r="C81" s="70">
        <f>SUMIF('TKP 项目汇总'!$D:$D,'TKP 终端汇总'!$A:$A,'TKP 项目汇总'!$S:$S)</f>
        <v>102017.55000000002</v>
      </c>
      <c r="D81" s="70">
        <f>SUMIF('TKP 项目汇总'!$D:$D,'TKP 终端汇总'!$A:$A,'TKP 项目汇总'!$T:$T)</f>
        <v>115715.48</v>
      </c>
      <c r="E81" s="70">
        <f>SUMIF('TKP 项目汇总'!$D:$D,'TKP 终端汇总'!$A:$A,'TKP 项目汇总'!$W:$W)</f>
        <v>0</v>
      </c>
      <c r="F81" s="70">
        <f>SUMIF('TKP 项目汇总'!$D:$D,'TKP 终端汇总'!$A:$A,'TKP 项目汇总'!$X:$X)</f>
        <v>115715.48</v>
      </c>
      <c r="G81" s="75"/>
    </row>
    <row r="82" spans="1:7" s="138" customFormat="1" hidden="1" outlineLevel="1" x14ac:dyDescent="0.2">
      <c r="A82" s="74" t="s">
        <v>1163</v>
      </c>
      <c r="B82" s="70">
        <f>SUMIF('TKP 项目汇总'!D:D,'TKP 终端汇总'!A:A,'TKP 项目汇总'!M:M)</f>
        <v>167487.44</v>
      </c>
      <c r="C82" s="70">
        <f>SUMIF('TKP 项目汇总'!$D:$D,'TKP 终端汇总'!$A:$A,'TKP 项目汇总'!$S:$S)</f>
        <v>25723.93</v>
      </c>
      <c r="D82" s="70">
        <f>SUMIF('TKP 项目汇总'!$D:$D,'TKP 终端汇总'!$A:$A,'TKP 项目汇总'!$T:$T)</f>
        <v>141763.51</v>
      </c>
      <c r="E82" s="70">
        <f>SUMIF('TKP 项目汇总'!$D:$D,'TKP 终端汇总'!$A:$A,'TKP 项目汇总'!$W:$W)</f>
        <v>25136.39</v>
      </c>
      <c r="F82" s="70">
        <f>SUMIF('TKP 项目汇总'!$D:$D,'TKP 终端汇总'!$A:$A,'TKP 项目汇总'!$X:$X)</f>
        <v>116627.12000000001</v>
      </c>
      <c r="G82" s="75"/>
    </row>
    <row r="83" spans="1:7" s="138" customFormat="1" hidden="1" outlineLevel="1" x14ac:dyDescent="0.2">
      <c r="A83" s="74" t="s">
        <v>1188</v>
      </c>
      <c r="B83" s="70">
        <f>SUMIF('TKP 项目汇总'!D:D,'TKP 终端汇总'!A:A,'TKP 项目汇总'!M:M)</f>
        <v>516261.5</v>
      </c>
      <c r="C83" s="70">
        <f>SUMIF('TKP 项目汇总'!$D:$D,'TKP 终端汇总'!$A:$A,'TKP 项目汇总'!$S:$S)</f>
        <v>417251.08999999991</v>
      </c>
      <c r="D83" s="70">
        <f>SUMIF('TKP 项目汇总'!$D:$D,'TKP 终端汇总'!$A:$A,'TKP 项目汇总'!$T:$T)</f>
        <v>99010.410000000033</v>
      </c>
      <c r="E83" s="70">
        <f>SUMIF('TKP 项目汇总'!$D:$D,'TKP 终端汇总'!$A:$A,'TKP 项目汇总'!$W:$W)</f>
        <v>-26486.91</v>
      </c>
      <c r="F83" s="70">
        <f>SUMIF('TKP 项目汇总'!$D:$D,'TKP 终端汇总'!$A:$A,'TKP 项目汇总'!$X:$X)</f>
        <v>125497.32000000004</v>
      </c>
      <c r="G83" s="75"/>
    </row>
    <row r="84" spans="1:7" s="138" customFormat="1" hidden="1" outlineLevel="1" x14ac:dyDescent="0.2">
      <c r="A84" s="74" t="s">
        <v>1161</v>
      </c>
      <c r="B84" s="70">
        <f>SUMIF('TKP 项目汇总'!D:D,'TKP 终端汇总'!A:A,'TKP 项目汇总'!M:M)</f>
        <v>1014109.69</v>
      </c>
      <c r="C84" s="70">
        <f>SUMIF('TKP 项目汇总'!$D:$D,'TKP 终端汇总'!$A:$A,'TKP 项目汇总'!$S:$S)</f>
        <v>610774.0199999999</v>
      </c>
      <c r="D84" s="70">
        <f>SUMIF('TKP 项目汇总'!$D:$D,'TKP 终端汇总'!$A:$A,'TKP 项目汇总'!$T:$T)</f>
        <v>403335.66999999993</v>
      </c>
      <c r="E84" s="70">
        <f>SUMIF('TKP 项目汇总'!$D:$D,'TKP 终端汇总'!$A:$A,'TKP 项目汇总'!$W:$W)</f>
        <v>161165.89000000001</v>
      </c>
      <c r="F84" s="70">
        <f>SUMIF('TKP 项目汇总'!$D:$D,'TKP 终端汇总'!$A:$A,'TKP 项目汇总'!$X:$X)</f>
        <v>242169.77999999994</v>
      </c>
      <c r="G84" s="75"/>
    </row>
    <row r="85" spans="1:7" s="138" customFormat="1" hidden="1" outlineLevel="1" x14ac:dyDescent="0.2">
      <c r="A85" s="74" t="s">
        <v>1223</v>
      </c>
      <c r="B85" s="70">
        <f>SUMIF('TKP 项目汇总'!D:D,'TKP 终端汇总'!A:A,'TKP 项目汇总'!M:M)</f>
        <v>267934.78000000003</v>
      </c>
      <c r="C85" s="70">
        <f>SUMIF('TKP 项目汇总'!$D:$D,'TKP 终端汇总'!$A:$A,'TKP 项目汇总'!$S:$S)</f>
        <v>0</v>
      </c>
      <c r="D85" s="70">
        <f>SUMIF('TKP 项目汇总'!$D:$D,'TKP 终端汇总'!$A:$A,'TKP 项目汇总'!$T:$T)</f>
        <v>267934.78000000003</v>
      </c>
      <c r="E85" s="70">
        <f>SUMIF('TKP 项目汇总'!$D:$D,'TKP 终端汇总'!$A:$A,'TKP 项目汇总'!$W:$W)</f>
        <v>11344.19</v>
      </c>
      <c r="F85" s="70">
        <f>SUMIF('TKP 项目汇总'!$D:$D,'TKP 终端汇总'!$A:$A,'TKP 项目汇总'!$X:$X)</f>
        <v>256590.59000000003</v>
      </c>
      <c r="G85" s="75"/>
    </row>
    <row r="86" spans="1:7" s="138" customFormat="1" hidden="1" outlineLevel="1" x14ac:dyDescent="0.2">
      <c r="A86" s="74" t="s">
        <v>1150</v>
      </c>
      <c r="B86" s="70">
        <f>SUMIF('TKP 项目汇总'!D:D,'TKP 终端汇总'!A:A,'TKP 项目汇总'!M:M)</f>
        <v>1530404.95</v>
      </c>
      <c r="C86" s="70">
        <f>SUMIF('TKP 项目汇总'!$D:$D,'TKP 终端汇总'!$A:$A,'TKP 项目汇总'!$S:$S)</f>
        <v>1089739.52</v>
      </c>
      <c r="D86" s="70">
        <f>SUMIF('TKP 项目汇总'!$D:$D,'TKP 终端汇总'!$A:$A,'TKP 项目汇总'!$T:$T)</f>
        <v>440665.43000000011</v>
      </c>
      <c r="E86" s="70">
        <f>SUMIF('TKP 项目汇总'!$D:$D,'TKP 终端汇总'!$A:$A,'TKP 项目汇总'!$W:$W)</f>
        <v>178435.04</v>
      </c>
      <c r="F86" s="70">
        <f>SUMIF('TKP 项目汇总'!$D:$D,'TKP 终端汇总'!$A:$A,'TKP 项目汇总'!$X:$X)</f>
        <v>262230.39</v>
      </c>
      <c r="G86" s="75"/>
    </row>
    <row r="87" spans="1:7" s="138" customFormat="1" hidden="1" outlineLevel="1" x14ac:dyDescent="0.2">
      <c r="A87" s="74" t="s">
        <v>853</v>
      </c>
      <c r="B87" s="70">
        <f>SUMIF('TKP 项目汇总'!D:D,'TKP 终端汇总'!A:A,'TKP 项目汇总'!M:M)</f>
        <v>0</v>
      </c>
      <c r="C87" s="70">
        <f>SUMIF('TKP 项目汇总'!$D:$D,'TKP 终端汇总'!$A:$A,'TKP 项目汇总'!$S:$S)</f>
        <v>-358277.49</v>
      </c>
      <c r="D87" s="70">
        <f>SUMIF('TKP 项目汇总'!$D:$D,'TKP 终端汇总'!$A:$A,'TKP 项目汇总'!$T:$T)</f>
        <v>358277.49</v>
      </c>
      <c r="E87" s="70">
        <f>SUMIF('TKP 项目汇总'!$D:$D,'TKP 终端汇总'!$A:$A,'TKP 项目汇总'!$W:$W)</f>
        <v>0</v>
      </c>
      <c r="F87" s="70">
        <f>SUMIF('TKP 项目汇总'!$D:$D,'TKP 终端汇总'!$A:$A,'TKP 项目汇总'!$X:$X)</f>
        <v>358277.49</v>
      </c>
      <c r="G87" s="75"/>
    </row>
    <row r="88" spans="1:7" s="138" customFormat="1" hidden="1" outlineLevel="1" x14ac:dyDescent="0.2">
      <c r="A88" s="74" t="s">
        <v>1155</v>
      </c>
      <c r="B88" s="70">
        <f>SUMIF('TKP 项目汇总'!D:D,'TKP 终端汇总'!A:A,'TKP 项目汇总'!M:M)</f>
        <v>452934.82999999996</v>
      </c>
      <c r="C88" s="70">
        <f>SUMIF('TKP 项目汇总'!$D:$D,'TKP 终端汇总'!$A:$A,'TKP 项目汇总'!$S:$S)</f>
        <v>55043.54</v>
      </c>
      <c r="D88" s="70">
        <f>SUMIF('TKP 项目汇总'!$D:$D,'TKP 终端汇总'!$A:$A,'TKP 项目汇总'!$T:$T)</f>
        <v>397891.29000000004</v>
      </c>
      <c r="E88" s="70">
        <f>SUMIF('TKP 项目汇总'!$D:$D,'TKP 终端汇总'!$A:$A,'TKP 项目汇总'!$W:$W)</f>
        <v>0</v>
      </c>
      <c r="F88" s="70">
        <f>SUMIF('TKP 项目汇总'!$D:$D,'TKP 终端汇总'!$A:$A,'TKP 项目汇总'!$X:$X)</f>
        <v>397891.29000000004</v>
      </c>
      <c r="G88" s="75"/>
    </row>
    <row r="89" spans="1:7" s="138" customFormat="1" hidden="1" outlineLevel="1" x14ac:dyDescent="0.2">
      <c r="A89" s="74" t="s">
        <v>1370</v>
      </c>
      <c r="B89" s="70">
        <f>SUMIF('TKP 项目汇总'!D:D,'TKP 终端汇总'!A:A,'TKP 项目汇总'!M:M)</f>
        <v>3419379.34</v>
      </c>
      <c r="C89" s="70">
        <f>SUMIF('TKP 项目汇总'!$D:$D,'TKP 终端汇总'!$A:$A,'TKP 项目汇总'!$S:$S)</f>
        <v>2849844.6</v>
      </c>
      <c r="D89" s="70">
        <f>SUMIF('TKP 项目汇总'!$D:$D,'TKP 终端汇总'!$A:$A,'TKP 项目汇总'!$T:$T)</f>
        <v>569534.73999999976</v>
      </c>
      <c r="E89" s="70">
        <f>SUMIF('TKP 项目汇总'!$D:$D,'TKP 终端汇总'!$A:$A,'TKP 项目汇总'!$W:$W)</f>
        <v>104741.84999999999</v>
      </c>
      <c r="F89" s="70">
        <f>SUMIF('TKP 项目汇总'!$D:$D,'TKP 终端汇总'!$A:$A,'TKP 项目汇总'!$X:$X)</f>
        <v>464792.88999999984</v>
      </c>
      <c r="G89" s="75"/>
    </row>
    <row r="90" spans="1:7" s="138" customFormat="1" hidden="1" outlineLevel="1" x14ac:dyDescent="0.2">
      <c r="A90" s="74" t="s">
        <v>1148</v>
      </c>
      <c r="B90" s="70">
        <f>SUMIF('TKP 项目汇总'!D:D,'TKP 终端汇总'!A:A,'TKP 项目汇总'!M:M)</f>
        <v>3619477.62</v>
      </c>
      <c r="C90" s="70">
        <f>SUMIF('TKP 项目汇总'!$D:$D,'TKP 终端汇总'!$A:$A,'TKP 项目汇总'!$S:$S)</f>
        <v>3021656.86</v>
      </c>
      <c r="D90" s="70">
        <f>SUMIF('TKP 项目汇总'!$D:$D,'TKP 终端汇总'!$A:$A,'TKP 项目汇总'!$T:$T)</f>
        <v>597820.76000000013</v>
      </c>
      <c r="E90" s="70">
        <f>SUMIF('TKP 项目汇总'!$D:$D,'TKP 终端汇总'!$A:$A,'TKP 项目汇总'!$W:$W)</f>
        <v>59061.209999999992</v>
      </c>
      <c r="F90" s="70">
        <f>SUMIF('TKP 项目汇总'!$D:$D,'TKP 终端汇总'!$A:$A,'TKP 项目汇总'!$X:$X)</f>
        <v>538759.55000000005</v>
      </c>
      <c r="G90" s="75"/>
    </row>
    <row r="91" spans="1:7" s="138" customFormat="1" hidden="1" outlineLevel="1" x14ac:dyDescent="0.2">
      <c r="A91" s="74" t="s">
        <v>1197</v>
      </c>
      <c r="B91" s="70">
        <f>SUMIF('TKP 项目汇总'!D:D,'TKP 终端汇总'!A:A,'TKP 项目汇总'!M:M)</f>
        <v>694489.90999999992</v>
      </c>
      <c r="C91" s="70">
        <f>SUMIF('TKP 项目汇总'!$D:$D,'TKP 终端汇总'!$A:$A,'TKP 项目汇总'!$S:$S)</f>
        <v>98476.7</v>
      </c>
      <c r="D91" s="70">
        <f>SUMIF('TKP 项目汇总'!$D:$D,'TKP 终端汇总'!$A:$A,'TKP 项目汇总'!$T:$T)</f>
        <v>596013.21</v>
      </c>
      <c r="E91" s="70">
        <f>SUMIF('TKP 项目汇总'!$D:$D,'TKP 终端汇总'!$A:$A,'TKP 项目汇总'!$W:$W)</f>
        <v>7877.76</v>
      </c>
      <c r="F91" s="70">
        <f>SUMIF('TKP 项目汇总'!$D:$D,'TKP 终端汇总'!$A:$A,'TKP 项目汇总'!$X:$X)</f>
        <v>588135.45000000007</v>
      </c>
      <c r="G91" s="75"/>
    </row>
    <row r="92" spans="1:7" hidden="1" outlineLevel="1" x14ac:dyDescent="0.2">
      <c r="A92" s="74" t="s">
        <v>785</v>
      </c>
      <c r="B92" s="70">
        <f>SUMIF('TKP 项目汇总'!D:D,'TKP 终端汇总'!A:A,'TKP 项目汇总'!M:M)</f>
        <v>823788.54</v>
      </c>
      <c r="C92" s="70">
        <f>SUMIF('TKP 项目汇总'!$D:$D,'TKP 终端汇总'!$A:$A,'TKP 项目汇总'!$S:$S)</f>
        <v>7488.99</v>
      </c>
      <c r="D92" s="70">
        <f>SUMIF('TKP 项目汇总'!$D:$D,'TKP 终端汇总'!$A:$A,'TKP 项目汇总'!$T:$T)</f>
        <v>816299.55</v>
      </c>
      <c r="E92" s="70">
        <f>SUMIF('TKP 项目汇总'!$D:$D,'TKP 终端汇总'!$A:$A,'TKP 项目汇总'!$W:$W)</f>
        <v>10271.460000000001</v>
      </c>
      <c r="F92" s="70">
        <f>SUMIF('TKP 项目汇总'!$D:$D,'TKP 终端汇总'!$A:$A,'TKP 项目汇总'!$X:$X)</f>
        <v>806028.09000000008</v>
      </c>
      <c r="G92" s="75"/>
    </row>
    <row r="93" spans="1:7" ht="13.5" thickBot="1" x14ac:dyDescent="0.25">
      <c r="A93" s="135" t="s">
        <v>1371</v>
      </c>
      <c r="B93" s="136">
        <f>SUM(B4:B92)</f>
        <v>50828981.937328979</v>
      </c>
      <c r="C93" s="136">
        <f t="shared" ref="C93:F93" si="0">SUM(C4:C92)</f>
        <v>83937409.080000028</v>
      </c>
      <c r="D93" s="136">
        <f t="shared" si="0"/>
        <v>-33108427.142671037</v>
      </c>
      <c r="E93" s="136">
        <f t="shared" si="0"/>
        <v>4088386.45</v>
      </c>
      <c r="F93" s="136">
        <f t="shared" si="0"/>
        <v>-37196813.592671029</v>
      </c>
      <c r="G93" s="137"/>
    </row>
    <row r="94" spans="1:7" x14ac:dyDescent="0.2">
      <c r="B94" s="139">
        <f>B93-'TKP 项目汇总'!M393</f>
        <v>0</v>
      </c>
      <c r="C94" s="139">
        <f>C93-'TKP 项目汇总'!S393</f>
        <v>0</v>
      </c>
      <c r="D94" s="139">
        <f>D93-'TKP 项目汇总'!T393</f>
        <v>0</v>
      </c>
      <c r="E94" s="139">
        <f>E93-'TKP 项目汇总'!W393</f>
        <v>0</v>
      </c>
      <c r="F94" s="139">
        <f>F93-'TKP 项目汇总'!X393</f>
        <v>0</v>
      </c>
    </row>
    <row r="96" spans="1:7" ht="18.75" x14ac:dyDescent="0.2">
      <c r="A96" s="68" t="s">
        <v>1402</v>
      </c>
    </row>
    <row r="97" spans="1:7" ht="13.5" thickBot="1" x14ac:dyDescent="0.25">
      <c r="A97" s="69" t="s">
        <v>1139</v>
      </c>
    </row>
    <row r="98" spans="1:7" x14ac:dyDescent="0.2">
      <c r="A98" s="128" t="s">
        <v>660</v>
      </c>
      <c r="B98" s="129" t="s">
        <v>669</v>
      </c>
      <c r="C98" s="129" t="s">
        <v>675</v>
      </c>
      <c r="D98" s="129" t="s">
        <v>676</v>
      </c>
      <c r="E98" s="129" t="s">
        <v>679</v>
      </c>
      <c r="F98" s="129" t="s">
        <v>1145</v>
      </c>
      <c r="G98" s="130" t="s">
        <v>1146</v>
      </c>
    </row>
    <row r="99" spans="1:7" x14ac:dyDescent="0.2">
      <c r="A99" s="125" t="s">
        <v>1310</v>
      </c>
      <c r="B99" s="123">
        <f>'HP1'!$O$58</f>
        <v>8818552.2199999988</v>
      </c>
      <c r="C99" s="123">
        <f>'HP1'!$U$58</f>
        <v>10737954.16086957</v>
      </c>
      <c r="D99" s="123">
        <f>B99-C99</f>
        <v>-1919401.9408695716</v>
      </c>
      <c r="E99" s="123">
        <f>'HP1'!$Y$58</f>
        <v>161623.03</v>
      </c>
      <c r="F99" s="123">
        <f>D99-E99</f>
        <v>-2081024.9708695717</v>
      </c>
      <c r="G99" s="75"/>
    </row>
    <row r="100" spans="1:7" x14ac:dyDescent="0.2">
      <c r="A100" s="125" t="s">
        <v>1311</v>
      </c>
      <c r="B100" s="123">
        <f>'HP3'!O55</f>
        <v>5800872.9800000004</v>
      </c>
      <c r="C100" s="123">
        <f>'HP3'!U55</f>
        <v>5328200.8499999996</v>
      </c>
      <c r="D100" s="123">
        <f t="shared" ref="D100:D110" si="1">B100-C100</f>
        <v>472672.13000000082</v>
      </c>
      <c r="E100" s="123">
        <f>'HP3'!Y55</f>
        <v>106770.26999999997</v>
      </c>
      <c r="F100" s="123">
        <f t="shared" ref="F100:F110" si="2">D100-E100</f>
        <v>365901.86000000086</v>
      </c>
      <c r="G100" s="75"/>
    </row>
    <row r="101" spans="1:7" x14ac:dyDescent="0.2">
      <c r="A101" s="125" t="s">
        <v>1312</v>
      </c>
      <c r="B101" s="123">
        <f>'HP4'!O55</f>
        <v>8819603.8273289762</v>
      </c>
      <c r="C101" s="123">
        <f>'HP4'!U55</f>
        <v>37052015.37000002</v>
      </c>
      <c r="D101" s="123">
        <f t="shared" si="1"/>
        <v>-28232411.542671043</v>
      </c>
      <c r="E101" s="123">
        <f>'HP4'!Y55</f>
        <v>354814.41899999999</v>
      </c>
      <c r="F101" s="76">
        <f t="shared" si="2"/>
        <v>-28587225.961671043</v>
      </c>
      <c r="G101" s="75"/>
    </row>
    <row r="102" spans="1:7" x14ac:dyDescent="0.2">
      <c r="A102" s="125" t="s">
        <v>1313</v>
      </c>
      <c r="B102" s="123">
        <f>'SD1'!O91</f>
        <v>3805816.0999999996</v>
      </c>
      <c r="C102" s="123">
        <f>'SD1'!U91</f>
        <v>3248089.3600000003</v>
      </c>
      <c r="D102" s="123">
        <f t="shared" si="1"/>
        <v>557726.73999999929</v>
      </c>
      <c r="E102" s="123">
        <f>'SD1'!Y91</f>
        <v>772244.10999999975</v>
      </c>
      <c r="F102" s="123">
        <f t="shared" si="2"/>
        <v>-214517.37000000046</v>
      </c>
      <c r="G102" s="75"/>
    </row>
    <row r="103" spans="1:7" x14ac:dyDescent="0.2">
      <c r="A103" s="125" t="s">
        <v>1314</v>
      </c>
      <c r="B103" s="123">
        <f>MDT!O10</f>
        <v>698609.52999999991</v>
      </c>
      <c r="C103" s="123">
        <f>MDT!U10</f>
        <v>83686.12</v>
      </c>
      <c r="D103" s="123">
        <f t="shared" si="1"/>
        <v>614923.40999999992</v>
      </c>
      <c r="E103" s="123">
        <f>MDT!Y10</f>
        <v>8087.7800000000007</v>
      </c>
      <c r="F103" s="123">
        <f t="shared" si="2"/>
        <v>606835.62999999989</v>
      </c>
      <c r="G103" s="75"/>
    </row>
    <row r="104" spans="1:7" x14ac:dyDescent="0.2">
      <c r="A104" s="125" t="s">
        <v>1315</v>
      </c>
      <c r="B104" s="123">
        <f>HCT!O34</f>
        <v>609552.02999999991</v>
      </c>
      <c r="C104" s="123">
        <f>HCT!U34</f>
        <v>358293.82000000007</v>
      </c>
      <c r="D104" s="123">
        <f t="shared" si="1"/>
        <v>251258.20999999985</v>
      </c>
      <c r="E104" s="123">
        <f>HCT!Y34</f>
        <v>32984.269999999997</v>
      </c>
      <c r="F104" s="123">
        <f t="shared" si="2"/>
        <v>218273.93999999986</v>
      </c>
      <c r="G104" s="75"/>
    </row>
    <row r="105" spans="1:7" x14ac:dyDescent="0.2">
      <c r="A105" s="125" t="s">
        <v>741</v>
      </c>
      <c r="B105" s="123">
        <f>'HZ1 '!O91</f>
        <v>12687345.660000002</v>
      </c>
      <c r="C105" s="123">
        <f>'HZ1 '!U91</f>
        <v>18205146.720000006</v>
      </c>
      <c r="D105" s="123">
        <f t="shared" si="1"/>
        <v>-5517801.0600000042</v>
      </c>
      <c r="E105" s="123">
        <f>'HZ1 '!Y91</f>
        <v>2036960.89</v>
      </c>
      <c r="F105" s="76">
        <f t="shared" si="2"/>
        <v>-7554761.9500000039</v>
      </c>
      <c r="G105" s="75"/>
    </row>
    <row r="106" spans="1:7" x14ac:dyDescent="0.2">
      <c r="A106" s="125" t="s">
        <v>1316</v>
      </c>
      <c r="B106" s="123">
        <f>'HD1'!O39</f>
        <v>2110942.0499999998</v>
      </c>
      <c r="C106" s="123">
        <f>'HD1'!U39</f>
        <v>1844751.6200000003</v>
      </c>
      <c r="D106" s="123">
        <f t="shared" si="1"/>
        <v>266190.42999999947</v>
      </c>
      <c r="E106" s="123">
        <f>'HD1'!Y39</f>
        <v>160958.38999999998</v>
      </c>
      <c r="F106" s="123">
        <f t="shared" si="2"/>
        <v>105232.03999999948</v>
      </c>
      <c r="G106" s="75"/>
    </row>
    <row r="107" spans="1:7" x14ac:dyDescent="0.2">
      <c r="A107" s="125" t="s">
        <v>1317</v>
      </c>
      <c r="B107" s="123">
        <f>'HD2'!O50</f>
        <v>6850216.959999999</v>
      </c>
      <c r="C107" s="123">
        <f>'HD2'!U50</f>
        <v>5509725.8899999997</v>
      </c>
      <c r="D107" s="123">
        <f t="shared" si="1"/>
        <v>1340491.0699999994</v>
      </c>
      <c r="E107" s="123">
        <f>'HD2'!Y50</f>
        <v>242763.85000000003</v>
      </c>
      <c r="F107" s="123">
        <f t="shared" si="2"/>
        <v>1097727.2199999993</v>
      </c>
      <c r="G107" s="75"/>
    </row>
    <row r="108" spans="1:7" x14ac:dyDescent="0.2">
      <c r="A108" s="125" t="s">
        <v>740</v>
      </c>
      <c r="B108" s="123">
        <f>TKTC!O50</f>
        <v>627470.58000000007</v>
      </c>
      <c r="C108" s="123">
        <f>TKTC!U50</f>
        <v>899108.08</v>
      </c>
      <c r="D108" s="123">
        <f t="shared" si="1"/>
        <v>-271637.49999999988</v>
      </c>
      <c r="E108" s="123">
        <f>TKTC!Y50</f>
        <v>182444.66999999995</v>
      </c>
      <c r="F108" s="123">
        <f t="shared" si="2"/>
        <v>-454082.16999999981</v>
      </c>
      <c r="G108" s="75"/>
    </row>
    <row r="109" spans="1:7" x14ac:dyDescent="0.2">
      <c r="A109" s="125" t="s">
        <v>1318</v>
      </c>
      <c r="B109" s="123">
        <f>TKYN!O19</f>
        <v>0</v>
      </c>
      <c r="C109" s="123">
        <f>TKYN!U19</f>
        <v>562417.83913043456</v>
      </c>
      <c r="D109" s="123">
        <f t="shared" si="1"/>
        <v>-562417.83913043456</v>
      </c>
      <c r="E109" s="123">
        <f>TKYN!Y19</f>
        <v>28734.78</v>
      </c>
      <c r="F109" s="123">
        <f t="shared" si="2"/>
        <v>-591152.61913043458</v>
      </c>
      <c r="G109" s="75"/>
    </row>
    <row r="110" spans="1:7" x14ac:dyDescent="0.2">
      <c r="A110" s="125" t="s">
        <v>1319</v>
      </c>
      <c r="B110" s="123">
        <f>PDS!O6</f>
        <v>0</v>
      </c>
      <c r="C110" s="123">
        <f>PDS!U6</f>
        <v>108019.21000000008</v>
      </c>
      <c r="D110" s="123">
        <f t="shared" si="1"/>
        <v>-108019.21000000008</v>
      </c>
      <c r="E110" s="123">
        <f>PDS!Y6</f>
        <v>0</v>
      </c>
      <c r="F110" s="123">
        <f t="shared" si="2"/>
        <v>-108019.21000000008</v>
      </c>
      <c r="G110" s="75"/>
    </row>
    <row r="111" spans="1:7" ht="13.5" thickBot="1" x14ac:dyDescent="0.25">
      <c r="A111" s="124" t="s">
        <v>622</v>
      </c>
      <c r="B111" s="126">
        <f>SUM(B99:B110)</f>
        <v>50828981.937328979</v>
      </c>
      <c r="C111" s="126">
        <f t="shared" ref="C111:F111" si="3">SUM(C99:C110)</f>
        <v>83937409.040000021</v>
      </c>
      <c r="D111" s="126">
        <f t="shared" si="3"/>
        <v>-33108427.102671053</v>
      </c>
      <c r="E111" s="126">
        <f t="shared" si="3"/>
        <v>4088386.4589999998</v>
      </c>
      <c r="F111" s="126">
        <f t="shared" si="3"/>
        <v>-37196813.561671056</v>
      </c>
      <c r="G111" s="127"/>
    </row>
    <row r="112" spans="1:7" x14ac:dyDescent="0.2">
      <c r="D112" s="77">
        <f>D111-'TKP 项目汇总'!T393</f>
        <v>3.9999980479478836E-2</v>
      </c>
      <c r="F112" s="139">
        <f>F111-'TKP 项目汇总'!X393</f>
        <v>3.0999995768070221E-2</v>
      </c>
    </row>
  </sheetData>
  <autoFilter ref="A3:G72" xr:uid="{00000000-0009-0000-0000-000000000000}">
    <sortState xmlns:xlrd2="http://schemas.microsoft.com/office/spreadsheetml/2017/richdata2" ref="A4:G82">
      <sortCondition descending="1" ref="C3:C72"/>
    </sortState>
  </autoFilter>
  <sortState xmlns:xlrd2="http://schemas.microsoft.com/office/spreadsheetml/2017/richdata2" ref="A4:G92">
    <sortCondition ref="F4:F92"/>
  </sortState>
  <phoneticPr fontId="3" type="noConversion"/>
  <conditionalFormatting sqref="A1">
    <cfRule type="duplicateValues" dxfId="76" priority="12"/>
    <cfRule type="duplicateValues" dxfId="75" priority="13"/>
  </conditionalFormatting>
  <conditionalFormatting sqref="A96">
    <cfRule type="duplicateValues" dxfId="74" priority="1"/>
    <cfRule type="duplicateValues" dxfId="73" priority="2"/>
  </conditionalFormatting>
  <conditionalFormatting sqref="A99:A110 A96">
    <cfRule type="duplicateValues" dxfId="72" priority="4"/>
  </conditionalFormatting>
  <conditionalFormatting sqref="A111">
    <cfRule type="duplicateValues" dxfId="71" priority="3"/>
  </conditionalFormatting>
  <conditionalFormatting sqref="A112:A1048576 A1 A3:A69 A72:A95">
    <cfRule type="duplicateValues" dxfId="70" priority="15"/>
  </conditionalFormatting>
  <pageMargins left="0.7" right="0.7" top="0.75" bottom="0.75" header="0.3" footer="0.3"/>
  <pageSetup paperSize="9" orientation="portrait" r:id="rId1"/>
  <ignoredErrors>
    <ignoredError sqref="E99 E100:E110" 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B050"/>
  </sheetPr>
  <dimension ref="A1:Y398"/>
  <sheetViews>
    <sheetView workbookViewId="0">
      <pane xSplit="5" ySplit="4" topLeftCell="F380" activePane="bottomRight" state="frozen"/>
      <selection activeCell="F56" sqref="E56:F57"/>
      <selection pane="topRight" activeCell="F56" sqref="E56:F57"/>
      <selection pane="bottomLeft" activeCell="F56" sqref="E56:F57"/>
      <selection pane="bottomRight" activeCell="S401" sqref="S401"/>
    </sheetView>
  </sheetViews>
  <sheetFormatPr defaultRowHeight="12.75" outlineLevelCol="1" x14ac:dyDescent="0.2"/>
  <cols>
    <col min="1" max="1" width="11.42578125" style="72" customWidth="1"/>
    <col min="2" max="2" width="12.5703125" style="72" customWidth="1"/>
    <col min="3" max="3" width="10.85546875" style="80" customWidth="1"/>
    <col min="4" max="4" width="20.7109375" style="72" customWidth="1"/>
    <col min="5" max="6" width="13" style="72" bestFit="1" customWidth="1"/>
    <col min="7" max="7" width="14.140625" style="72" customWidth="1"/>
    <col min="8" max="9" width="14.5703125" style="72" hidden="1" customWidth="1" outlineLevel="1"/>
    <col min="10" max="11" width="12.7109375" style="72" hidden="1" customWidth="1" outlineLevel="1"/>
    <col min="12" max="12" width="14.5703125" style="72" hidden="1" customWidth="1" outlineLevel="1"/>
    <col min="13" max="13" width="12.7109375" style="72" customWidth="1" collapsed="1"/>
    <col min="14" max="18" width="12.28515625" style="72" hidden="1" customWidth="1" outlineLevel="1"/>
    <col min="19" max="19" width="12.7109375" style="72" customWidth="1" collapsed="1"/>
    <col min="20" max="20" width="12.7109375" style="72" customWidth="1"/>
    <col min="21" max="21" width="13.5703125" style="72" hidden="1" customWidth="1" outlineLevel="1"/>
    <col min="22" max="22" width="12.28515625" style="72" hidden="1" customWidth="1" outlineLevel="1"/>
    <col min="23" max="23" width="12.7109375" style="72" customWidth="1" collapsed="1"/>
    <col min="24" max="24" width="12.5703125" style="72" customWidth="1"/>
    <col min="25" max="25" width="9.140625" style="72" hidden="1" customWidth="1"/>
    <col min="26" max="16384" width="9.140625" style="72"/>
  </cols>
  <sheetData>
    <row r="1" spans="1:25" ht="23.25" customHeight="1" x14ac:dyDescent="0.2">
      <c r="A1" s="79" t="s">
        <v>1403</v>
      </c>
    </row>
    <row r="2" spans="1:25" ht="15" customHeight="1" x14ac:dyDescent="0.2">
      <c r="A2" s="81" t="s">
        <v>1139</v>
      </c>
    </row>
    <row r="3" spans="1:25" s="101" customFormat="1" ht="18" customHeight="1" x14ac:dyDescent="0.2">
      <c r="A3" s="102" t="s">
        <v>651</v>
      </c>
      <c r="B3" s="102" t="s">
        <v>577</v>
      </c>
      <c r="C3" s="102" t="s">
        <v>578</v>
      </c>
      <c r="D3" s="102" t="s">
        <v>579</v>
      </c>
      <c r="E3" s="102" t="s">
        <v>580</v>
      </c>
      <c r="F3" s="102" t="s">
        <v>581</v>
      </c>
      <c r="G3" s="102" t="s">
        <v>582</v>
      </c>
      <c r="H3" s="103" t="s">
        <v>583</v>
      </c>
      <c r="I3" s="103" t="s">
        <v>584</v>
      </c>
      <c r="J3" s="103" t="s">
        <v>585</v>
      </c>
      <c r="K3" s="103" t="s">
        <v>586</v>
      </c>
      <c r="L3" s="103" t="s">
        <v>587</v>
      </c>
      <c r="M3" s="104" t="s">
        <v>588</v>
      </c>
      <c r="N3" s="103" t="s">
        <v>589</v>
      </c>
      <c r="O3" s="103" t="s">
        <v>590</v>
      </c>
      <c r="P3" s="103" t="s">
        <v>591</v>
      </c>
      <c r="Q3" s="103" t="s">
        <v>592</v>
      </c>
      <c r="R3" s="103" t="s">
        <v>593</v>
      </c>
      <c r="S3" s="104" t="s">
        <v>594</v>
      </c>
      <c r="T3" s="105" t="s">
        <v>595</v>
      </c>
      <c r="U3" s="103" t="s">
        <v>596</v>
      </c>
      <c r="V3" s="103" t="s">
        <v>597</v>
      </c>
      <c r="W3" s="104" t="s">
        <v>598</v>
      </c>
      <c r="X3" s="106" t="s">
        <v>1294</v>
      </c>
    </row>
    <row r="4" spans="1:25" x14ac:dyDescent="0.2">
      <c r="A4" s="107" t="s">
        <v>0</v>
      </c>
      <c r="B4" s="107" t="s">
        <v>1</v>
      </c>
      <c r="C4" s="108">
        <v>440</v>
      </c>
      <c r="D4" s="107" t="s">
        <v>1161</v>
      </c>
      <c r="E4" s="109">
        <v>44698</v>
      </c>
      <c r="F4" s="109">
        <v>44838</v>
      </c>
      <c r="G4" s="110">
        <v>15668730</v>
      </c>
      <c r="H4" s="110">
        <v>0</v>
      </c>
      <c r="I4" s="110">
        <v>0</v>
      </c>
      <c r="J4" s="110">
        <v>83983.05</v>
      </c>
      <c r="K4" s="110">
        <v>0</v>
      </c>
      <c r="L4" s="110">
        <v>0</v>
      </c>
      <c r="M4" s="110">
        <v>83983.05</v>
      </c>
      <c r="N4" s="110">
        <v>0</v>
      </c>
      <c r="O4" s="110">
        <v>0</v>
      </c>
      <c r="P4" s="110">
        <v>0</v>
      </c>
      <c r="Q4" s="110">
        <v>0</v>
      </c>
      <c r="R4" s="110">
        <v>57554.78</v>
      </c>
      <c r="S4" s="110">
        <v>57554.78</v>
      </c>
      <c r="T4" s="110">
        <v>26428.270000000004</v>
      </c>
      <c r="U4" s="110">
        <v>2003.31</v>
      </c>
      <c r="V4" s="110">
        <v>0</v>
      </c>
      <c r="W4" s="110">
        <v>2003.31</v>
      </c>
      <c r="X4" s="111">
        <v>24424.960000000003</v>
      </c>
      <c r="Y4" s="72" t="str">
        <f>VLOOKUP(D4,'TKP 终端汇总'!A:A,1,0)</f>
        <v>OTTERBOX</v>
      </c>
    </row>
    <row r="5" spans="1:25" x14ac:dyDescent="0.2">
      <c r="A5" s="107" t="s">
        <v>3</v>
      </c>
      <c r="B5" s="107" t="s">
        <v>4</v>
      </c>
      <c r="C5" s="108" t="s">
        <v>5</v>
      </c>
      <c r="D5" s="107" t="s">
        <v>1162</v>
      </c>
      <c r="E5" s="109">
        <v>44503</v>
      </c>
      <c r="F5" s="109"/>
      <c r="G5" s="110">
        <v>1686960</v>
      </c>
      <c r="H5" s="110">
        <v>730384.2</v>
      </c>
      <c r="I5" s="110">
        <v>0</v>
      </c>
      <c r="J5" s="110">
        <v>2962.88</v>
      </c>
      <c r="K5" s="110">
        <v>0</v>
      </c>
      <c r="L5" s="110">
        <v>0</v>
      </c>
      <c r="M5" s="110">
        <v>733347.08</v>
      </c>
      <c r="N5" s="110">
        <v>747658.93</v>
      </c>
      <c r="O5" s="110">
        <v>0</v>
      </c>
      <c r="P5" s="110">
        <v>0</v>
      </c>
      <c r="Q5" s="110">
        <v>0</v>
      </c>
      <c r="R5" s="110">
        <v>4282.3499999999995</v>
      </c>
      <c r="S5" s="110">
        <v>751941.28</v>
      </c>
      <c r="T5" s="110">
        <v>-18594.200000000041</v>
      </c>
      <c r="U5" s="110">
        <v>0</v>
      </c>
      <c r="V5" s="110">
        <v>47.65</v>
      </c>
      <c r="W5" s="110">
        <v>47.65</v>
      </c>
      <c r="X5" s="111">
        <v>-18641.850000000042</v>
      </c>
      <c r="Y5" s="72" t="str">
        <f>VLOOKUP(D5,'TKP 终端汇总'!A:A,1,0)</f>
        <v xml:space="preserve">August </v>
      </c>
    </row>
    <row r="6" spans="1:25" x14ac:dyDescent="0.2">
      <c r="A6" s="107" t="s">
        <v>7</v>
      </c>
      <c r="B6" s="107" t="s">
        <v>8</v>
      </c>
      <c r="C6" s="108" t="s">
        <v>9</v>
      </c>
      <c r="D6" s="107" t="s">
        <v>1197</v>
      </c>
      <c r="E6" s="109">
        <v>44616</v>
      </c>
      <c r="F6" s="109">
        <v>44848</v>
      </c>
      <c r="G6" s="110">
        <v>5247000</v>
      </c>
      <c r="H6" s="110">
        <v>576713.81999999995</v>
      </c>
      <c r="I6" s="110">
        <v>0</v>
      </c>
      <c r="J6" s="110">
        <v>0</v>
      </c>
      <c r="K6" s="110">
        <v>0</v>
      </c>
      <c r="L6" s="110">
        <v>0</v>
      </c>
      <c r="M6" s="110">
        <v>576713.81999999995</v>
      </c>
      <c r="N6" s="110">
        <v>0</v>
      </c>
      <c r="O6" s="110">
        <v>0</v>
      </c>
      <c r="P6" s="110">
        <v>0</v>
      </c>
      <c r="Q6" s="110">
        <v>0</v>
      </c>
      <c r="R6" s="110">
        <v>0</v>
      </c>
      <c r="S6" s="110">
        <v>0</v>
      </c>
      <c r="T6" s="110">
        <v>576713.81999999995</v>
      </c>
      <c r="U6" s="110">
        <v>0</v>
      </c>
      <c r="V6" s="110">
        <v>2530.34</v>
      </c>
      <c r="W6" s="110">
        <v>2530.34</v>
      </c>
      <c r="X6" s="111">
        <v>574183.48</v>
      </c>
      <c r="Y6" s="72" t="str">
        <f>VLOOKUP(D6,'TKP 终端汇总'!A:A,1,0)</f>
        <v>新产业</v>
      </c>
    </row>
    <row r="7" spans="1:25" x14ac:dyDescent="0.2">
      <c r="A7" s="107" t="s">
        <v>11</v>
      </c>
      <c r="B7" s="107" t="s">
        <v>12</v>
      </c>
      <c r="C7" s="108">
        <v>440</v>
      </c>
      <c r="D7" s="107" t="s">
        <v>1161</v>
      </c>
      <c r="E7" s="109">
        <v>44698</v>
      </c>
      <c r="F7" s="109">
        <v>44826</v>
      </c>
      <c r="G7" s="110">
        <v>0</v>
      </c>
      <c r="H7" s="110">
        <v>0</v>
      </c>
      <c r="I7" s="110">
        <v>0</v>
      </c>
      <c r="J7" s="110">
        <v>0</v>
      </c>
      <c r="K7" s="110">
        <v>0</v>
      </c>
      <c r="L7" s="110">
        <v>0</v>
      </c>
      <c r="M7" s="110">
        <v>0</v>
      </c>
      <c r="N7" s="110">
        <v>0</v>
      </c>
      <c r="O7" s="110">
        <v>0</v>
      </c>
      <c r="P7" s="110">
        <v>0</v>
      </c>
      <c r="Q7" s="110">
        <v>0</v>
      </c>
      <c r="R7" s="110">
        <v>0</v>
      </c>
      <c r="S7" s="110">
        <v>0</v>
      </c>
      <c r="T7" s="110">
        <v>0</v>
      </c>
      <c r="U7" s="110">
        <v>0</v>
      </c>
      <c r="V7" s="110">
        <v>0</v>
      </c>
      <c r="W7" s="110">
        <v>0</v>
      </c>
      <c r="X7" s="111">
        <v>0</v>
      </c>
      <c r="Y7" s="72" t="str">
        <f>VLOOKUP(D7,'TKP 终端汇总'!A:A,1,0)</f>
        <v>OTTERBOX</v>
      </c>
    </row>
    <row r="8" spans="1:25" x14ac:dyDescent="0.2">
      <c r="A8" s="107" t="s">
        <v>13</v>
      </c>
      <c r="B8" s="107" t="s">
        <v>14</v>
      </c>
      <c r="C8" s="108">
        <v>440</v>
      </c>
      <c r="D8" s="107" t="s">
        <v>1161</v>
      </c>
      <c r="E8" s="109">
        <v>44698</v>
      </c>
      <c r="F8" s="109">
        <v>44830</v>
      </c>
      <c r="G8" s="110">
        <v>7643856</v>
      </c>
      <c r="H8" s="110">
        <v>0</v>
      </c>
      <c r="I8" s="110">
        <v>0</v>
      </c>
      <c r="J8" s="110">
        <v>0</v>
      </c>
      <c r="K8" s="110">
        <v>0</v>
      </c>
      <c r="L8" s="110">
        <v>0</v>
      </c>
      <c r="M8" s="110">
        <v>0</v>
      </c>
      <c r="N8" s="110">
        <v>0</v>
      </c>
      <c r="O8" s="110">
        <v>0</v>
      </c>
      <c r="P8" s="110">
        <v>0</v>
      </c>
      <c r="Q8" s="110">
        <v>1900.51</v>
      </c>
      <c r="R8" s="110">
        <v>0</v>
      </c>
      <c r="S8" s="110">
        <v>1900.51</v>
      </c>
      <c r="T8" s="110">
        <v>-1900.51</v>
      </c>
      <c r="U8" s="110">
        <v>34953.85</v>
      </c>
      <c r="V8" s="110">
        <v>0</v>
      </c>
      <c r="W8" s="110">
        <v>34953.85</v>
      </c>
      <c r="X8" s="111">
        <v>-36854.36</v>
      </c>
      <c r="Y8" s="72" t="str">
        <f>VLOOKUP(D8,'TKP 终端汇总'!A:A,1,0)</f>
        <v>OTTERBOX</v>
      </c>
    </row>
    <row r="9" spans="1:25" x14ac:dyDescent="0.2">
      <c r="A9" s="107" t="s">
        <v>17</v>
      </c>
      <c r="B9" s="107" t="s">
        <v>18</v>
      </c>
      <c r="C9" s="108">
        <v>440</v>
      </c>
      <c r="D9" s="107" t="s">
        <v>1161</v>
      </c>
      <c r="E9" s="109">
        <v>44698</v>
      </c>
      <c r="F9" s="109"/>
      <c r="G9" s="110">
        <v>0</v>
      </c>
      <c r="H9" s="110">
        <v>0</v>
      </c>
      <c r="I9" s="110">
        <v>0</v>
      </c>
      <c r="J9" s="110">
        <v>0</v>
      </c>
      <c r="K9" s="110">
        <v>0</v>
      </c>
      <c r="L9" s="110">
        <v>0</v>
      </c>
      <c r="M9" s="110">
        <v>0</v>
      </c>
      <c r="N9" s="110">
        <v>0</v>
      </c>
      <c r="O9" s="110">
        <v>0</v>
      </c>
      <c r="P9" s="110">
        <v>0</v>
      </c>
      <c r="Q9" s="110">
        <v>0</v>
      </c>
      <c r="R9" s="110">
        <v>0</v>
      </c>
      <c r="S9" s="110">
        <v>0</v>
      </c>
      <c r="T9" s="110">
        <v>0</v>
      </c>
      <c r="U9" s="110">
        <v>0</v>
      </c>
      <c r="V9" s="110">
        <v>0</v>
      </c>
      <c r="W9" s="110">
        <v>0</v>
      </c>
      <c r="X9" s="111">
        <v>0</v>
      </c>
      <c r="Y9" s="72" t="str">
        <f>VLOOKUP(D9,'TKP 终端汇总'!A:A,1,0)</f>
        <v>OTTERBOX</v>
      </c>
    </row>
    <row r="10" spans="1:25" x14ac:dyDescent="0.2">
      <c r="A10" s="107" t="s">
        <v>21</v>
      </c>
      <c r="B10" s="107" t="s">
        <v>22</v>
      </c>
      <c r="C10" s="108">
        <v>440</v>
      </c>
      <c r="D10" s="107" t="s">
        <v>1161</v>
      </c>
      <c r="E10" s="109">
        <v>44699</v>
      </c>
      <c r="F10" s="109">
        <v>44830</v>
      </c>
      <c r="G10" s="110">
        <v>0</v>
      </c>
      <c r="H10" s="110">
        <v>0</v>
      </c>
      <c r="I10" s="110">
        <v>0</v>
      </c>
      <c r="J10" s="110">
        <v>0</v>
      </c>
      <c r="K10" s="110">
        <v>0</v>
      </c>
      <c r="L10" s="110">
        <v>0</v>
      </c>
      <c r="M10" s="110">
        <v>0</v>
      </c>
      <c r="N10" s="110">
        <v>0</v>
      </c>
      <c r="O10" s="110">
        <v>0</v>
      </c>
      <c r="P10" s="110">
        <v>0</v>
      </c>
      <c r="Q10" s="110">
        <v>0</v>
      </c>
      <c r="R10" s="110">
        <v>0</v>
      </c>
      <c r="S10" s="110">
        <v>0</v>
      </c>
      <c r="T10" s="110">
        <v>0</v>
      </c>
      <c r="U10" s="110">
        <v>0</v>
      </c>
      <c r="V10" s="110">
        <v>0</v>
      </c>
      <c r="W10" s="110">
        <v>0</v>
      </c>
      <c r="X10" s="111">
        <v>0</v>
      </c>
      <c r="Y10" s="72" t="str">
        <f>VLOOKUP(D10,'TKP 终端汇总'!A:A,1,0)</f>
        <v>OTTERBOX</v>
      </c>
    </row>
    <row r="11" spans="1:25" x14ac:dyDescent="0.2">
      <c r="A11" s="107" t="s">
        <v>23</v>
      </c>
      <c r="B11" s="107" t="s">
        <v>24</v>
      </c>
      <c r="C11" s="108">
        <v>440</v>
      </c>
      <c r="D11" s="107" t="s">
        <v>1161</v>
      </c>
      <c r="E11" s="109">
        <v>44698</v>
      </c>
      <c r="F11" s="109">
        <v>44826</v>
      </c>
      <c r="G11" s="110">
        <v>0</v>
      </c>
      <c r="H11" s="110">
        <v>0</v>
      </c>
      <c r="I11" s="110">
        <v>0</v>
      </c>
      <c r="J11" s="110">
        <v>0</v>
      </c>
      <c r="K11" s="110">
        <v>0</v>
      </c>
      <c r="L11" s="110">
        <v>0</v>
      </c>
      <c r="M11" s="110">
        <v>0</v>
      </c>
      <c r="N11" s="110">
        <v>0</v>
      </c>
      <c r="O11" s="110">
        <v>0</v>
      </c>
      <c r="P11" s="110">
        <v>0</v>
      </c>
      <c r="Q11" s="110">
        <v>0</v>
      </c>
      <c r="R11" s="110">
        <v>-9156.369999999999</v>
      </c>
      <c r="S11" s="110">
        <v>-9156.369999999999</v>
      </c>
      <c r="T11" s="110">
        <v>9156.369999999999</v>
      </c>
      <c r="U11" s="110">
        <v>0</v>
      </c>
      <c r="V11" s="110">
        <v>0</v>
      </c>
      <c r="W11" s="110">
        <v>0</v>
      </c>
      <c r="X11" s="111">
        <v>9156.369999999999</v>
      </c>
      <c r="Y11" s="72" t="str">
        <f>VLOOKUP(D11,'TKP 终端汇总'!A:A,1,0)</f>
        <v>OTTERBOX</v>
      </c>
    </row>
    <row r="12" spans="1:25" x14ac:dyDescent="0.2">
      <c r="A12" s="107" t="s">
        <v>29</v>
      </c>
      <c r="B12" s="107" t="s">
        <v>30</v>
      </c>
      <c r="C12" s="108" t="s">
        <v>31</v>
      </c>
      <c r="D12" s="107" t="s">
        <v>1193</v>
      </c>
      <c r="E12" s="109">
        <v>44427</v>
      </c>
      <c r="F12" s="109"/>
      <c r="G12" s="110">
        <v>93305.3</v>
      </c>
      <c r="H12" s="110">
        <v>0</v>
      </c>
      <c r="I12" s="110">
        <v>0</v>
      </c>
      <c r="J12" s="110">
        <v>0</v>
      </c>
      <c r="K12" s="110">
        <v>0</v>
      </c>
      <c r="L12" s="110">
        <v>0</v>
      </c>
      <c r="M12" s="110">
        <v>0</v>
      </c>
      <c r="N12" s="110">
        <v>2923.87</v>
      </c>
      <c r="O12" s="110">
        <v>0</v>
      </c>
      <c r="P12" s="110">
        <v>0</v>
      </c>
      <c r="Q12" s="110">
        <v>0</v>
      </c>
      <c r="R12" s="110">
        <v>0</v>
      </c>
      <c r="S12" s="110">
        <v>2923.87</v>
      </c>
      <c r="T12" s="110">
        <v>-2923.87</v>
      </c>
      <c r="U12" s="110">
        <v>0</v>
      </c>
      <c r="V12" s="110">
        <v>0</v>
      </c>
      <c r="W12" s="110">
        <v>0</v>
      </c>
      <c r="X12" s="111">
        <v>-2923.87</v>
      </c>
      <c r="Y12" s="72" t="str">
        <f>VLOOKUP(D12,'TKP 终端汇总'!A:A,1,0)</f>
        <v>润视</v>
      </c>
    </row>
    <row r="13" spans="1:25" x14ac:dyDescent="0.2">
      <c r="A13" s="107" t="s">
        <v>47</v>
      </c>
      <c r="B13" s="107" t="s">
        <v>48</v>
      </c>
      <c r="C13" s="108">
        <v>330</v>
      </c>
      <c r="D13" s="107" t="s">
        <v>1148</v>
      </c>
      <c r="E13" s="109">
        <v>44482</v>
      </c>
      <c r="F13" s="109"/>
      <c r="G13" s="110">
        <v>19323850.199999999</v>
      </c>
      <c r="H13" s="110">
        <v>178849</v>
      </c>
      <c r="I13" s="110">
        <v>0</v>
      </c>
      <c r="J13" s="110">
        <v>13557.210000000001</v>
      </c>
      <c r="K13" s="110">
        <v>0</v>
      </c>
      <c r="L13" s="110">
        <v>0</v>
      </c>
      <c r="M13" s="110">
        <v>192406.21000000002</v>
      </c>
      <c r="N13" s="110">
        <v>106233.68</v>
      </c>
      <c r="O13" s="110">
        <v>0</v>
      </c>
      <c r="P13" s="110">
        <v>9788.82</v>
      </c>
      <c r="Q13" s="110">
        <v>0</v>
      </c>
      <c r="R13" s="110">
        <v>10150.58</v>
      </c>
      <c r="S13" s="110">
        <v>126173.08</v>
      </c>
      <c r="T13" s="110">
        <v>66233.13</v>
      </c>
      <c r="U13" s="110">
        <v>2079.44</v>
      </c>
      <c r="V13" s="110">
        <v>425.67</v>
      </c>
      <c r="W13" s="110">
        <v>2505.11</v>
      </c>
      <c r="X13" s="111">
        <v>63728.020000000004</v>
      </c>
      <c r="Y13" s="72" t="str">
        <f>VLOOKUP(D13,'TKP 终端汇总'!A:A,1,0)</f>
        <v>GN</v>
      </c>
    </row>
    <row r="14" spans="1:25" x14ac:dyDescent="0.2">
      <c r="A14" s="107" t="s">
        <v>54</v>
      </c>
      <c r="B14" s="107" t="s">
        <v>55</v>
      </c>
      <c r="C14" s="108" t="s">
        <v>56</v>
      </c>
      <c r="D14" s="107" t="s">
        <v>1151</v>
      </c>
      <c r="E14" s="109">
        <v>44461</v>
      </c>
      <c r="F14" s="109"/>
      <c r="G14" s="110">
        <v>136000</v>
      </c>
      <c r="H14" s="110">
        <v>0</v>
      </c>
      <c r="I14" s="110">
        <v>0</v>
      </c>
      <c r="J14" s="110">
        <v>0</v>
      </c>
      <c r="K14" s="110">
        <v>0</v>
      </c>
      <c r="L14" s="110">
        <v>0</v>
      </c>
      <c r="M14" s="110">
        <v>0</v>
      </c>
      <c r="N14" s="110">
        <v>0</v>
      </c>
      <c r="O14" s="110">
        <v>0</v>
      </c>
      <c r="P14" s="110">
        <v>308.58</v>
      </c>
      <c r="Q14" s="110">
        <v>0</v>
      </c>
      <c r="R14" s="110">
        <v>0</v>
      </c>
      <c r="S14" s="110">
        <v>308.58</v>
      </c>
      <c r="T14" s="110">
        <v>-308.58</v>
      </c>
      <c r="U14" s="110">
        <v>0</v>
      </c>
      <c r="V14" s="110">
        <v>0</v>
      </c>
      <c r="W14" s="110">
        <v>0</v>
      </c>
      <c r="X14" s="111">
        <v>-308.58</v>
      </c>
      <c r="Y14" s="72" t="str">
        <f>VLOOKUP(D14,'TKP 终端汇总'!A:A,1,0)</f>
        <v>合元</v>
      </c>
    </row>
    <row r="15" spans="1:25" x14ac:dyDescent="0.2">
      <c r="A15" s="107" t="s">
        <v>66</v>
      </c>
      <c r="B15" s="107" t="s">
        <v>67</v>
      </c>
      <c r="C15" s="108" t="s">
        <v>68</v>
      </c>
      <c r="D15" s="107" t="s">
        <v>1179</v>
      </c>
      <c r="E15" s="109">
        <v>44628</v>
      </c>
      <c r="F15" s="109"/>
      <c r="G15" s="110">
        <v>15365460</v>
      </c>
      <c r="H15" s="110">
        <v>0</v>
      </c>
      <c r="I15" s="110">
        <v>0</v>
      </c>
      <c r="J15" s="110">
        <v>4657.88</v>
      </c>
      <c r="K15" s="110">
        <v>4686</v>
      </c>
      <c r="L15" s="110">
        <v>0</v>
      </c>
      <c r="M15" s="110">
        <v>9343.880000000001</v>
      </c>
      <c r="N15" s="110">
        <v>0</v>
      </c>
      <c r="O15" s="110">
        <v>0</v>
      </c>
      <c r="P15" s="110">
        <v>185333.27</v>
      </c>
      <c r="Q15" s="110">
        <v>0</v>
      </c>
      <c r="R15" s="110">
        <v>2749.9</v>
      </c>
      <c r="S15" s="110">
        <v>188083.16999999998</v>
      </c>
      <c r="T15" s="110">
        <v>-178739.28999999998</v>
      </c>
      <c r="U15" s="110">
        <v>369.77</v>
      </c>
      <c r="V15" s="110">
        <v>10195.970000000001</v>
      </c>
      <c r="W15" s="110">
        <v>10565.740000000002</v>
      </c>
      <c r="X15" s="111">
        <v>-189305.02999999997</v>
      </c>
      <c r="Y15" s="72" t="str">
        <f>VLOOKUP(D15,'TKP 终端汇总'!A:A,1,0)</f>
        <v>Stripe</v>
      </c>
    </row>
    <row r="16" spans="1:25" x14ac:dyDescent="0.2">
      <c r="A16" s="107" t="s">
        <v>70</v>
      </c>
      <c r="B16" s="107" t="s">
        <v>71</v>
      </c>
      <c r="C16" s="108" t="s">
        <v>56</v>
      </c>
      <c r="D16" s="107" t="s">
        <v>1151</v>
      </c>
      <c r="E16" s="109">
        <v>44558</v>
      </c>
      <c r="F16" s="109"/>
      <c r="G16" s="110">
        <v>0</v>
      </c>
      <c r="H16" s="110">
        <v>0</v>
      </c>
      <c r="I16" s="110">
        <v>0</v>
      </c>
      <c r="J16" s="110">
        <v>0</v>
      </c>
      <c r="K16" s="110">
        <v>0</v>
      </c>
      <c r="L16" s="110">
        <v>0</v>
      </c>
      <c r="M16" s="110">
        <v>0</v>
      </c>
      <c r="N16" s="110">
        <v>0</v>
      </c>
      <c r="O16" s="110">
        <v>0</v>
      </c>
      <c r="P16" s="110">
        <v>0</v>
      </c>
      <c r="Q16" s="110">
        <v>0</v>
      </c>
      <c r="R16" s="110">
        <v>0</v>
      </c>
      <c r="S16" s="110">
        <v>0</v>
      </c>
      <c r="T16" s="110">
        <v>0</v>
      </c>
      <c r="U16" s="110">
        <v>0</v>
      </c>
      <c r="V16" s="110">
        <v>0</v>
      </c>
      <c r="W16" s="110">
        <v>0</v>
      </c>
      <c r="X16" s="111">
        <v>0</v>
      </c>
      <c r="Y16" s="72" t="str">
        <f>VLOOKUP(D16,'TKP 终端汇总'!A:A,1,0)</f>
        <v>合元</v>
      </c>
    </row>
    <row r="17" spans="1:25" x14ac:dyDescent="0.2">
      <c r="A17" s="107" t="s">
        <v>72</v>
      </c>
      <c r="B17" s="107" t="s">
        <v>73</v>
      </c>
      <c r="C17" s="108" t="s">
        <v>74</v>
      </c>
      <c r="D17" s="107" t="s">
        <v>1218</v>
      </c>
      <c r="E17" s="109">
        <v>44461</v>
      </c>
      <c r="F17" s="109"/>
      <c r="G17" s="110">
        <v>1900000</v>
      </c>
      <c r="H17" s="110">
        <v>0</v>
      </c>
      <c r="I17" s="110">
        <v>0</v>
      </c>
      <c r="J17" s="110">
        <v>0</v>
      </c>
      <c r="K17" s="110">
        <v>0</v>
      </c>
      <c r="L17" s="110">
        <v>0</v>
      </c>
      <c r="M17" s="110">
        <v>0</v>
      </c>
      <c r="N17" s="110">
        <v>0</v>
      </c>
      <c r="O17" s="110">
        <v>0</v>
      </c>
      <c r="P17" s="110">
        <v>0</v>
      </c>
      <c r="Q17" s="110">
        <v>0</v>
      </c>
      <c r="R17" s="110">
        <v>0</v>
      </c>
      <c r="S17" s="110">
        <v>0</v>
      </c>
      <c r="T17" s="110">
        <v>0</v>
      </c>
      <c r="U17" s="110">
        <v>0</v>
      </c>
      <c r="V17" s="110">
        <v>12178.5</v>
      </c>
      <c r="W17" s="110">
        <v>12178.5</v>
      </c>
      <c r="X17" s="111">
        <v>-12178.5</v>
      </c>
      <c r="Y17" s="72" t="str">
        <f>VLOOKUP(D17,'TKP 终端汇总'!A:A,1,0)</f>
        <v>Audigo</v>
      </c>
    </row>
    <row r="18" spans="1:25" x14ac:dyDescent="0.2">
      <c r="A18" s="107" t="s">
        <v>82</v>
      </c>
      <c r="B18" s="107" t="s">
        <v>83</v>
      </c>
      <c r="C18" s="108">
        <v>330</v>
      </c>
      <c r="D18" s="107" t="s">
        <v>1148</v>
      </c>
      <c r="E18" s="109">
        <v>44487</v>
      </c>
      <c r="F18" s="109"/>
      <c r="G18" s="110">
        <v>50367000</v>
      </c>
      <c r="H18" s="110">
        <v>43635.9</v>
      </c>
      <c r="I18" s="110">
        <v>0</v>
      </c>
      <c r="J18" s="110">
        <v>0</v>
      </c>
      <c r="K18" s="110">
        <v>0</v>
      </c>
      <c r="L18" s="110">
        <v>0</v>
      </c>
      <c r="M18" s="110">
        <v>43635.9</v>
      </c>
      <c r="N18" s="110">
        <v>42091.21</v>
      </c>
      <c r="O18" s="110">
        <v>0</v>
      </c>
      <c r="P18" s="110">
        <v>21652.579999999998</v>
      </c>
      <c r="Q18" s="110">
        <v>20047.54</v>
      </c>
      <c r="R18" s="110">
        <v>0</v>
      </c>
      <c r="S18" s="110">
        <v>83791.33</v>
      </c>
      <c r="T18" s="110">
        <v>-40155.43</v>
      </c>
      <c r="U18" s="110">
        <v>0</v>
      </c>
      <c r="V18" s="110">
        <v>2116.79</v>
      </c>
      <c r="W18" s="110">
        <v>2116.79</v>
      </c>
      <c r="X18" s="111">
        <v>-42272.22</v>
      </c>
      <c r="Y18" s="72" t="str">
        <f>VLOOKUP(D18,'TKP 终端汇总'!A:A,1,0)</f>
        <v>GN</v>
      </c>
    </row>
    <row r="19" spans="1:25" x14ac:dyDescent="0.2">
      <c r="A19" s="107" t="s">
        <v>89</v>
      </c>
      <c r="B19" s="107" t="s">
        <v>90</v>
      </c>
      <c r="C19" s="108">
        <v>360</v>
      </c>
      <c r="D19" s="107" t="s">
        <v>1153</v>
      </c>
      <c r="E19" s="109">
        <v>44638</v>
      </c>
      <c r="F19" s="109"/>
      <c r="G19" s="110">
        <v>2420000</v>
      </c>
      <c r="H19" s="110">
        <v>0</v>
      </c>
      <c r="I19" s="110">
        <v>0</v>
      </c>
      <c r="J19" s="110">
        <v>0</v>
      </c>
      <c r="K19" s="110">
        <v>0</v>
      </c>
      <c r="L19" s="110">
        <v>0</v>
      </c>
      <c r="M19" s="110">
        <v>0</v>
      </c>
      <c r="N19" s="110">
        <v>0</v>
      </c>
      <c r="O19" s="110">
        <v>0</v>
      </c>
      <c r="P19" s="110">
        <v>868.98</v>
      </c>
      <c r="Q19" s="110">
        <v>0</v>
      </c>
      <c r="R19" s="110">
        <v>0</v>
      </c>
      <c r="S19" s="110">
        <v>868.98</v>
      </c>
      <c r="T19" s="110">
        <v>-868.98</v>
      </c>
      <c r="U19" s="110">
        <v>0</v>
      </c>
      <c r="V19" s="110">
        <v>0</v>
      </c>
      <c r="W19" s="110">
        <v>0</v>
      </c>
      <c r="X19" s="111">
        <v>-868.98</v>
      </c>
      <c r="Y19" s="72" t="str">
        <f>VLOOKUP(D19,'TKP 终端汇总'!A:A,1,0)</f>
        <v>Google</v>
      </c>
    </row>
    <row r="20" spans="1:25" x14ac:dyDescent="0.2">
      <c r="A20" s="107" t="s">
        <v>100</v>
      </c>
      <c r="B20" s="107" t="s">
        <v>101</v>
      </c>
      <c r="C20" s="108">
        <v>360</v>
      </c>
      <c r="D20" s="107" t="s">
        <v>1153</v>
      </c>
      <c r="E20" s="109">
        <v>44657</v>
      </c>
      <c r="F20" s="109"/>
      <c r="G20" s="110">
        <v>836000</v>
      </c>
      <c r="H20" s="110">
        <v>0</v>
      </c>
      <c r="I20" s="110">
        <v>0</v>
      </c>
      <c r="J20" s="110">
        <v>0</v>
      </c>
      <c r="K20" s="110">
        <v>0</v>
      </c>
      <c r="L20" s="110">
        <v>0</v>
      </c>
      <c r="M20" s="110">
        <v>0</v>
      </c>
      <c r="N20" s="110">
        <v>0</v>
      </c>
      <c r="O20" s="110">
        <v>0</v>
      </c>
      <c r="P20" s="110">
        <v>2484.52</v>
      </c>
      <c r="Q20" s="110">
        <v>0</v>
      </c>
      <c r="R20" s="110">
        <v>0</v>
      </c>
      <c r="S20" s="110">
        <v>2484.52</v>
      </c>
      <c r="T20" s="110">
        <v>-2484.52</v>
      </c>
      <c r="U20" s="110">
        <v>0</v>
      </c>
      <c r="V20" s="110">
        <v>0</v>
      </c>
      <c r="W20" s="110">
        <v>0</v>
      </c>
      <c r="X20" s="111">
        <v>-2484.52</v>
      </c>
      <c r="Y20" s="72" t="str">
        <f>VLOOKUP(D20,'TKP 终端汇总'!A:A,1,0)</f>
        <v>Google</v>
      </c>
    </row>
    <row r="21" spans="1:25" x14ac:dyDescent="0.2">
      <c r="A21" s="107" t="s">
        <v>102</v>
      </c>
      <c r="B21" s="107" t="s">
        <v>103</v>
      </c>
      <c r="C21" s="108" t="s">
        <v>5</v>
      </c>
      <c r="D21" s="107" t="s">
        <v>1162</v>
      </c>
      <c r="E21" s="109">
        <v>44607</v>
      </c>
      <c r="F21" s="109"/>
      <c r="G21" s="110">
        <v>4711014</v>
      </c>
      <c r="H21" s="110">
        <v>0</v>
      </c>
      <c r="I21" s="110">
        <v>0</v>
      </c>
      <c r="J21" s="110">
        <v>0</v>
      </c>
      <c r="K21" s="110">
        <v>0</v>
      </c>
      <c r="L21" s="110">
        <v>0</v>
      </c>
      <c r="M21" s="110">
        <v>0</v>
      </c>
      <c r="N21" s="110">
        <v>190.93</v>
      </c>
      <c r="O21" s="110">
        <v>0</v>
      </c>
      <c r="P21" s="110">
        <v>6982.1600000000017</v>
      </c>
      <c r="Q21" s="110">
        <v>2836.66</v>
      </c>
      <c r="R21" s="110">
        <v>5618.34</v>
      </c>
      <c r="S21" s="110">
        <v>15628.09</v>
      </c>
      <c r="T21" s="110">
        <v>-15628.09</v>
      </c>
      <c r="U21" s="110">
        <v>12036.72</v>
      </c>
      <c r="V21" s="110">
        <v>62837.670000000006</v>
      </c>
      <c r="W21" s="110">
        <v>74874.390000000014</v>
      </c>
      <c r="X21" s="111">
        <v>-90502.48000000001</v>
      </c>
      <c r="Y21" s="72" t="str">
        <f>VLOOKUP(D21,'TKP 终端汇总'!A:A,1,0)</f>
        <v xml:space="preserve">August </v>
      </c>
    </row>
    <row r="22" spans="1:25" x14ac:dyDescent="0.2">
      <c r="A22" s="107" t="s">
        <v>104</v>
      </c>
      <c r="B22" s="107" t="s">
        <v>105</v>
      </c>
      <c r="C22" s="108" t="s">
        <v>56</v>
      </c>
      <c r="D22" s="107" t="s">
        <v>1151</v>
      </c>
      <c r="E22" s="109">
        <v>44677</v>
      </c>
      <c r="F22" s="109"/>
      <c r="G22" s="110">
        <v>20095000</v>
      </c>
      <c r="H22" s="110">
        <v>205248.64000000001</v>
      </c>
      <c r="I22" s="110">
        <v>0</v>
      </c>
      <c r="J22" s="110">
        <v>0</v>
      </c>
      <c r="K22" s="110">
        <v>0</v>
      </c>
      <c r="L22" s="110">
        <v>0</v>
      </c>
      <c r="M22" s="110">
        <v>205248.64000000001</v>
      </c>
      <c r="N22" s="110">
        <v>25122.159999999996</v>
      </c>
      <c r="O22" s="110">
        <v>0</v>
      </c>
      <c r="P22" s="110">
        <v>37023.949999999997</v>
      </c>
      <c r="Q22" s="110">
        <v>0</v>
      </c>
      <c r="R22" s="110">
        <v>0</v>
      </c>
      <c r="S22" s="110">
        <v>62146.11</v>
      </c>
      <c r="T22" s="110">
        <v>143102.53000000003</v>
      </c>
      <c r="U22" s="110">
        <v>0</v>
      </c>
      <c r="V22" s="110">
        <v>40.42</v>
      </c>
      <c r="W22" s="110">
        <v>40.42</v>
      </c>
      <c r="X22" s="111">
        <v>143062.11000000002</v>
      </c>
      <c r="Y22" s="72" t="str">
        <f>VLOOKUP(D22,'TKP 终端汇总'!A:A,1,0)</f>
        <v>合元</v>
      </c>
    </row>
    <row r="23" spans="1:25" x14ac:dyDescent="0.2">
      <c r="A23" s="107" t="s">
        <v>112</v>
      </c>
      <c r="B23" s="107" t="s">
        <v>113</v>
      </c>
      <c r="C23" s="108" t="s">
        <v>114</v>
      </c>
      <c r="D23" s="107" t="s">
        <v>1165</v>
      </c>
      <c r="E23" s="109">
        <v>44606</v>
      </c>
      <c r="F23" s="109"/>
      <c r="G23" s="110">
        <v>10261764</v>
      </c>
      <c r="H23" s="110">
        <v>81135.91</v>
      </c>
      <c r="I23" s="110">
        <v>0</v>
      </c>
      <c r="J23" s="110">
        <v>15261</v>
      </c>
      <c r="K23" s="110">
        <v>0</v>
      </c>
      <c r="L23" s="110">
        <v>0</v>
      </c>
      <c r="M23" s="110">
        <v>96396.910000000018</v>
      </c>
      <c r="N23" s="110">
        <v>19288.379999999997</v>
      </c>
      <c r="O23" s="110">
        <v>0</v>
      </c>
      <c r="P23" s="110">
        <v>10491.48</v>
      </c>
      <c r="Q23" s="110">
        <v>25292.97</v>
      </c>
      <c r="R23" s="110">
        <v>0</v>
      </c>
      <c r="S23" s="110">
        <v>55072.83</v>
      </c>
      <c r="T23" s="110">
        <v>41324.080000000009</v>
      </c>
      <c r="U23" s="110">
        <v>0</v>
      </c>
      <c r="V23" s="110">
        <v>107227.17</v>
      </c>
      <c r="W23" s="110">
        <v>107227.17</v>
      </c>
      <c r="X23" s="111">
        <v>-65903.09</v>
      </c>
      <c r="Y23" s="72" t="str">
        <f>VLOOKUP(D23,'TKP 终端汇总'!A:A,1,0)</f>
        <v>影石</v>
      </c>
    </row>
    <row r="24" spans="1:25" x14ac:dyDescent="0.2">
      <c r="A24" s="107" t="s">
        <v>116</v>
      </c>
      <c r="B24" s="107" t="s">
        <v>117</v>
      </c>
      <c r="C24" s="108" t="s">
        <v>96</v>
      </c>
      <c r="D24" s="107" t="s">
        <v>1194</v>
      </c>
      <c r="E24" s="109">
        <v>44634</v>
      </c>
      <c r="F24" s="109"/>
      <c r="G24" s="110">
        <v>0</v>
      </c>
      <c r="H24" s="110">
        <v>0</v>
      </c>
      <c r="I24" s="110">
        <v>0</v>
      </c>
      <c r="J24" s="110">
        <v>0</v>
      </c>
      <c r="K24" s="110">
        <v>0</v>
      </c>
      <c r="L24" s="110">
        <v>0</v>
      </c>
      <c r="M24" s="110">
        <v>0</v>
      </c>
      <c r="N24" s="110">
        <v>0</v>
      </c>
      <c r="O24" s="110">
        <v>0</v>
      </c>
      <c r="P24" s="110">
        <v>0</v>
      </c>
      <c r="Q24" s="110">
        <v>0</v>
      </c>
      <c r="R24" s="110">
        <v>0</v>
      </c>
      <c r="S24" s="110">
        <v>0</v>
      </c>
      <c r="T24" s="110">
        <v>0</v>
      </c>
      <c r="U24" s="110">
        <v>0</v>
      </c>
      <c r="V24" s="110">
        <v>0</v>
      </c>
      <c r="W24" s="110">
        <v>0</v>
      </c>
      <c r="X24" s="111">
        <v>0</v>
      </c>
      <c r="Y24" s="72" t="str">
        <f>VLOOKUP(D24,'TKP 终端汇总'!A:A,1,0)</f>
        <v>通力</v>
      </c>
    </row>
    <row r="25" spans="1:25" x14ac:dyDescent="0.2">
      <c r="A25" s="107" t="s">
        <v>118</v>
      </c>
      <c r="B25" s="107" t="s">
        <v>119</v>
      </c>
      <c r="C25" s="108">
        <v>330</v>
      </c>
      <c r="D25" s="107" t="s">
        <v>1148</v>
      </c>
      <c r="E25" s="109">
        <v>44496</v>
      </c>
      <c r="F25" s="109"/>
      <c r="G25" s="110">
        <v>7104600</v>
      </c>
      <c r="H25" s="110">
        <v>0</v>
      </c>
      <c r="I25" s="110">
        <v>0</v>
      </c>
      <c r="J25" s="110">
        <v>0</v>
      </c>
      <c r="K25" s="110">
        <v>0</v>
      </c>
      <c r="L25" s="110">
        <v>0</v>
      </c>
      <c r="M25" s="110">
        <v>0</v>
      </c>
      <c r="N25" s="110">
        <v>0</v>
      </c>
      <c r="O25" s="110">
        <v>0</v>
      </c>
      <c r="P25" s="110">
        <v>1845.53</v>
      </c>
      <c r="Q25" s="110">
        <v>0</v>
      </c>
      <c r="R25" s="110">
        <v>0</v>
      </c>
      <c r="S25" s="110">
        <v>1845.53</v>
      </c>
      <c r="T25" s="110">
        <v>-1845.53</v>
      </c>
      <c r="U25" s="110">
        <v>0</v>
      </c>
      <c r="V25" s="110">
        <v>289.66000000000003</v>
      </c>
      <c r="W25" s="110">
        <v>289.66000000000003</v>
      </c>
      <c r="X25" s="111">
        <v>-2135.19</v>
      </c>
      <c r="Y25" s="72" t="str">
        <f>VLOOKUP(D25,'TKP 终端汇总'!A:A,1,0)</f>
        <v>GN</v>
      </c>
    </row>
    <row r="26" spans="1:25" x14ac:dyDescent="0.2">
      <c r="A26" s="107" t="s">
        <v>120</v>
      </c>
      <c r="B26" s="107" t="s">
        <v>121</v>
      </c>
      <c r="C26" s="108" t="s">
        <v>122</v>
      </c>
      <c r="D26" s="107" t="s">
        <v>1370</v>
      </c>
      <c r="E26" s="109">
        <v>44691</v>
      </c>
      <c r="F26" s="109"/>
      <c r="G26" s="110">
        <v>18102000</v>
      </c>
      <c r="H26" s="110">
        <v>0</v>
      </c>
      <c r="I26" s="110">
        <v>0</v>
      </c>
      <c r="J26" s="110">
        <v>0</v>
      </c>
      <c r="K26" s="110">
        <v>0</v>
      </c>
      <c r="L26" s="110">
        <v>0</v>
      </c>
      <c r="M26" s="110">
        <v>0</v>
      </c>
      <c r="N26" s="110">
        <v>0</v>
      </c>
      <c r="O26" s="110">
        <v>0</v>
      </c>
      <c r="P26" s="110">
        <v>0</v>
      </c>
      <c r="Q26" s="110">
        <v>0</v>
      </c>
      <c r="R26" s="110">
        <v>0</v>
      </c>
      <c r="S26" s="110">
        <v>0</v>
      </c>
      <c r="T26" s="110">
        <v>0</v>
      </c>
      <c r="U26" s="110">
        <v>0</v>
      </c>
      <c r="V26" s="110">
        <v>9714.1299999999992</v>
      </c>
      <c r="W26" s="110">
        <v>9714.1299999999992</v>
      </c>
      <c r="X26" s="111">
        <v>-9714.1299999999992</v>
      </c>
      <c r="Y26" s="72" t="str">
        <f>VLOOKUP(D26,'TKP 终端汇总'!A:A,1,0)</f>
        <v>Meta</v>
      </c>
    </row>
    <row r="27" spans="1:25" x14ac:dyDescent="0.2">
      <c r="A27" s="107" t="s">
        <v>124</v>
      </c>
      <c r="B27" s="107" t="s">
        <v>125</v>
      </c>
      <c r="C27" s="108" t="s">
        <v>56</v>
      </c>
      <c r="D27" s="107" t="s">
        <v>1151</v>
      </c>
      <c r="E27" s="109">
        <v>44456</v>
      </c>
      <c r="F27" s="109"/>
      <c r="G27" s="110">
        <v>874800</v>
      </c>
      <c r="H27" s="110">
        <v>10119.23</v>
      </c>
      <c r="I27" s="110">
        <v>0</v>
      </c>
      <c r="J27" s="110">
        <v>0</v>
      </c>
      <c r="K27" s="110">
        <v>0</v>
      </c>
      <c r="L27" s="110">
        <v>0</v>
      </c>
      <c r="M27" s="110">
        <v>10119.23</v>
      </c>
      <c r="N27" s="110">
        <v>0</v>
      </c>
      <c r="O27" s="110">
        <v>0</v>
      </c>
      <c r="P27" s="110">
        <v>0</v>
      </c>
      <c r="Q27" s="110">
        <v>0</v>
      </c>
      <c r="R27" s="110">
        <v>0</v>
      </c>
      <c r="S27" s="110">
        <v>0</v>
      </c>
      <c r="T27" s="110">
        <v>10119.23</v>
      </c>
      <c r="U27" s="110">
        <v>0</v>
      </c>
      <c r="V27" s="110">
        <v>0</v>
      </c>
      <c r="W27" s="110">
        <v>0</v>
      </c>
      <c r="X27" s="111">
        <v>10119.23</v>
      </c>
      <c r="Y27" s="72" t="str">
        <f>VLOOKUP(D27,'TKP 终端汇总'!A:A,1,0)</f>
        <v>合元</v>
      </c>
    </row>
    <row r="28" spans="1:25" x14ac:dyDescent="0.2">
      <c r="A28" s="107" t="s">
        <v>126</v>
      </c>
      <c r="B28" s="107" t="s">
        <v>127</v>
      </c>
      <c r="C28" s="108">
        <v>438</v>
      </c>
      <c r="D28" s="107" t="s">
        <v>1157</v>
      </c>
      <c r="E28" s="109">
        <v>44516</v>
      </c>
      <c r="F28" s="109"/>
      <c r="G28" s="110">
        <v>7342600</v>
      </c>
      <c r="H28" s="110">
        <v>0</v>
      </c>
      <c r="I28" s="110">
        <v>0</v>
      </c>
      <c r="J28" s="110">
        <v>120388.34</v>
      </c>
      <c r="K28" s="110">
        <v>0</v>
      </c>
      <c r="L28" s="110">
        <v>0</v>
      </c>
      <c r="M28" s="110">
        <v>120388.34</v>
      </c>
      <c r="N28" s="110">
        <v>0</v>
      </c>
      <c r="O28" s="110">
        <v>0</v>
      </c>
      <c r="P28" s="110">
        <v>0</v>
      </c>
      <c r="Q28" s="110">
        <v>0</v>
      </c>
      <c r="R28" s="110">
        <v>0</v>
      </c>
      <c r="S28" s="110">
        <v>0</v>
      </c>
      <c r="T28" s="110">
        <v>120388.34</v>
      </c>
      <c r="U28" s="110">
        <v>0</v>
      </c>
      <c r="V28" s="110">
        <v>3166.03</v>
      </c>
      <c r="W28" s="110">
        <v>3166.03</v>
      </c>
      <c r="X28" s="111">
        <v>117222.31</v>
      </c>
      <c r="Y28" s="72" t="str">
        <f>VLOOKUP(D28,'TKP 终端汇总'!A:A,1,0)</f>
        <v>PHILIPS</v>
      </c>
    </row>
    <row r="29" spans="1:25" x14ac:dyDescent="0.2">
      <c r="A29" s="107" t="s">
        <v>128</v>
      </c>
      <c r="B29" s="107" t="s">
        <v>129</v>
      </c>
      <c r="C29" s="108" t="s">
        <v>122</v>
      </c>
      <c r="D29" s="107" t="s">
        <v>1370</v>
      </c>
      <c r="E29" s="109">
        <v>44700</v>
      </c>
      <c r="F29" s="109"/>
      <c r="G29" s="110">
        <v>0</v>
      </c>
      <c r="H29" s="110">
        <v>0</v>
      </c>
      <c r="I29" s="110">
        <v>0</v>
      </c>
      <c r="J29" s="110">
        <v>0</v>
      </c>
      <c r="K29" s="110">
        <v>0</v>
      </c>
      <c r="L29" s="110">
        <v>0</v>
      </c>
      <c r="M29" s="110">
        <v>0</v>
      </c>
      <c r="N29" s="110">
        <v>0</v>
      </c>
      <c r="O29" s="110">
        <v>0</v>
      </c>
      <c r="P29" s="110">
        <v>0</v>
      </c>
      <c r="Q29" s="110">
        <v>0</v>
      </c>
      <c r="R29" s="110">
        <v>0</v>
      </c>
      <c r="S29" s="110">
        <v>0</v>
      </c>
      <c r="T29" s="110">
        <v>0</v>
      </c>
      <c r="U29" s="110">
        <v>0</v>
      </c>
      <c r="V29" s="110">
        <v>0</v>
      </c>
      <c r="W29" s="110">
        <v>0</v>
      </c>
      <c r="X29" s="111">
        <v>0</v>
      </c>
      <c r="Y29" s="72" t="str">
        <f>VLOOKUP(D29,'TKP 终端汇总'!A:A,1,0)</f>
        <v>Meta</v>
      </c>
    </row>
    <row r="30" spans="1:25" x14ac:dyDescent="0.2">
      <c r="A30" s="107" t="s">
        <v>130</v>
      </c>
      <c r="B30" s="107" t="s">
        <v>131</v>
      </c>
      <c r="C30" s="108">
        <v>438</v>
      </c>
      <c r="D30" s="107" t="s">
        <v>1157</v>
      </c>
      <c r="E30" s="109">
        <v>44442</v>
      </c>
      <c r="F30" s="109"/>
      <c r="G30" s="110">
        <v>660000</v>
      </c>
      <c r="H30" s="110">
        <v>0</v>
      </c>
      <c r="I30" s="110">
        <v>0</v>
      </c>
      <c r="J30" s="110">
        <v>41007.480000000003</v>
      </c>
      <c r="K30" s="110">
        <v>172.38000000000102</v>
      </c>
      <c r="L30" s="110">
        <v>0</v>
      </c>
      <c r="M30" s="110">
        <v>41179.86</v>
      </c>
      <c r="N30" s="110">
        <v>5698.3899999999994</v>
      </c>
      <c r="O30" s="110">
        <v>0</v>
      </c>
      <c r="P30" s="110">
        <v>6663.15</v>
      </c>
      <c r="Q30" s="110">
        <v>0</v>
      </c>
      <c r="R30" s="110">
        <v>34528.65</v>
      </c>
      <c r="S30" s="110">
        <v>46890.189999999995</v>
      </c>
      <c r="T30" s="110">
        <v>-5710.3299999999954</v>
      </c>
      <c r="U30" s="110">
        <v>0</v>
      </c>
      <c r="V30" s="110">
        <v>53736.090000000004</v>
      </c>
      <c r="W30" s="110">
        <v>53736.090000000004</v>
      </c>
      <c r="X30" s="111">
        <v>-59446.42</v>
      </c>
      <c r="Y30" s="72" t="str">
        <f>VLOOKUP(D30,'TKP 终端汇总'!A:A,1,0)</f>
        <v>PHILIPS</v>
      </c>
    </row>
    <row r="31" spans="1:25" x14ac:dyDescent="0.2">
      <c r="A31" s="107" t="s">
        <v>132</v>
      </c>
      <c r="B31" s="107" t="s">
        <v>133</v>
      </c>
      <c r="C31" s="108">
        <v>440</v>
      </c>
      <c r="D31" s="107" t="s">
        <v>1161</v>
      </c>
      <c r="E31" s="109">
        <v>44623</v>
      </c>
      <c r="F31" s="109"/>
      <c r="G31" s="110">
        <v>0</v>
      </c>
      <c r="H31" s="110">
        <v>0</v>
      </c>
      <c r="I31" s="110">
        <v>0</v>
      </c>
      <c r="J31" s="110">
        <v>0</v>
      </c>
      <c r="K31" s="110">
        <v>0</v>
      </c>
      <c r="L31" s="110">
        <v>0</v>
      </c>
      <c r="M31" s="110">
        <v>0</v>
      </c>
      <c r="N31" s="110">
        <v>0</v>
      </c>
      <c r="O31" s="110">
        <v>0</v>
      </c>
      <c r="P31" s="110">
        <v>0</v>
      </c>
      <c r="Q31" s="110">
        <v>0</v>
      </c>
      <c r="R31" s="110">
        <v>0</v>
      </c>
      <c r="S31" s="110">
        <v>0</v>
      </c>
      <c r="T31" s="110">
        <v>0</v>
      </c>
      <c r="U31" s="110">
        <v>0</v>
      </c>
      <c r="V31" s="110">
        <v>0</v>
      </c>
      <c r="W31" s="110">
        <v>0</v>
      </c>
      <c r="X31" s="111">
        <v>0</v>
      </c>
      <c r="Y31" s="72" t="str">
        <f>VLOOKUP(D31,'TKP 终端汇总'!A:A,1,0)</f>
        <v>OTTERBOX</v>
      </c>
    </row>
    <row r="32" spans="1:25" x14ac:dyDescent="0.2">
      <c r="A32" s="107" t="s">
        <v>134</v>
      </c>
      <c r="B32" s="107" t="s">
        <v>135</v>
      </c>
      <c r="C32" s="108" t="s">
        <v>136</v>
      </c>
      <c r="D32" s="107" t="s">
        <v>1178</v>
      </c>
      <c r="E32" s="109">
        <v>44480</v>
      </c>
      <c r="F32" s="109"/>
      <c r="G32" s="110">
        <v>13080000</v>
      </c>
      <c r="H32" s="110">
        <v>0</v>
      </c>
      <c r="I32" s="110">
        <v>0</v>
      </c>
      <c r="J32" s="110">
        <v>0</v>
      </c>
      <c r="K32" s="110">
        <v>0</v>
      </c>
      <c r="L32" s="110">
        <v>0</v>
      </c>
      <c r="M32" s="110">
        <v>0</v>
      </c>
      <c r="N32" s="110">
        <v>0</v>
      </c>
      <c r="O32" s="110">
        <v>0</v>
      </c>
      <c r="P32" s="110">
        <v>9094.98</v>
      </c>
      <c r="Q32" s="110">
        <v>0</v>
      </c>
      <c r="R32" s="110">
        <v>0</v>
      </c>
      <c r="S32" s="110">
        <v>9094.98</v>
      </c>
      <c r="T32" s="110">
        <v>-9094.98</v>
      </c>
      <c r="U32" s="110">
        <v>0</v>
      </c>
      <c r="V32" s="110">
        <v>0</v>
      </c>
      <c r="W32" s="110">
        <v>0</v>
      </c>
      <c r="X32" s="111">
        <v>-9094.98</v>
      </c>
      <c r="Y32" s="72" t="str">
        <f>VLOOKUP(D32,'TKP 终端汇总'!A:A,1,0)</f>
        <v>Square</v>
      </c>
    </row>
    <row r="33" spans="1:25" x14ac:dyDescent="0.2">
      <c r="A33" s="107" t="s">
        <v>138</v>
      </c>
      <c r="B33" s="107" t="s">
        <v>139</v>
      </c>
      <c r="C33" s="108">
        <v>438</v>
      </c>
      <c r="D33" s="107" t="s">
        <v>1157</v>
      </c>
      <c r="E33" s="109">
        <v>44677</v>
      </c>
      <c r="F33" s="109"/>
      <c r="G33" s="110">
        <v>0</v>
      </c>
      <c r="H33" s="110">
        <v>0</v>
      </c>
      <c r="I33" s="110">
        <v>0</v>
      </c>
      <c r="J33" s="110">
        <v>0</v>
      </c>
      <c r="K33" s="110">
        <v>0</v>
      </c>
      <c r="L33" s="110">
        <v>0</v>
      </c>
      <c r="M33" s="110">
        <v>0</v>
      </c>
      <c r="N33" s="110">
        <v>0</v>
      </c>
      <c r="O33" s="110">
        <v>0</v>
      </c>
      <c r="P33" s="110">
        <v>0</v>
      </c>
      <c r="Q33" s="110">
        <v>0</v>
      </c>
      <c r="R33" s="110">
        <v>0</v>
      </c>
      <c r="S33" s="110">
        <v>0</v>
      </c>
      <c r="T33" s="110">
        <v>0</v>
      </c>
      <c r="U33" s="110">
        <v>0</v>
      </c>
      <c r="V33" s="110">
        <v>0</v>
      </c>
      <c r="W33" s="110">
        <v>0</v>
      </c>
      <c r="X33" s="111">
        <v>0</v>
      </c>
      <c r="Y33" s="72" t="str">
        <f>VLOOKUP(D33,'TKP 终端汇总'!A:A,1,0)</f>
        <v>PHILIPS</v>
      </c>
    </row>
    <row r="34" spans="1:25" x14ac:dyDescent="0.2">
      <c r="A34" s="107" t="s">
        <v>140</v>
      </c>
      <c r="B34" s="107" t="s">
        <v>141</v>
      </c>
      <c r="C34" s="108">
        <v>438</v>
      </c>
      <c r="D34" s="107" t="s">
        <v>1157</v>
      </c>
      <c r="E34" s="109">
        <v>44706</v>
      </c>
      <c r="F34" s="109"/>
      <c r="G34" s="110">
        <v>25730568</v>
      </c>
      <c r="H34" s="110">
        <v>0</v>
      </c>
      <c r="I34" s="110">
        <v>0</v>
      </c>
      <c r="J34" s="110">
        <v>315522.76</v>
      </c>
      <c r="K34" s="110">
        <v>0</v>
      </c>
      <c r="L34" s="110">
        <v>0</v>
      </c>
      <c r="M34" s="110">
        <v>315522.76</v>
      </c>
      <c r="N34" s="110">
        <v>0</v>
      </c>
      <c r="O34" s="110">
        <v>0</v>
      </c>
      <c r="P34" s="110">
        <v>2576.1499999999996</v>
      </c>
      <c r="Q34" s="110">
        <v>0</v>
      </c>
      <c r="R34" s="110">
        <v>48234.58</v>
      </c>
      <c r="S34" s="110">
        <v>50810.729999999996</v>
      </c>
      <c r="T34" s="110">
        <v>264712.03000000003</v>
      </c>
      <c r="U34" s="110">
        <v>0</v>
      </c>
      <c r="V34" s="110">
        <v>0</v>
      </c>
      <c r="W34" s="110">
        <v>0</v>
      </c>
      <c r="X34" s="111">
        <v>264712.03000000003</v>
      </c>
      <c r="Y34" s="72" t="str">
        <f>VLOOKUP(D34,'TKP 终端汇总'!A:A,1,0)</f>
        <v>PHILIPS</v>
      </c>
    </row>
    <row r="35" spans="1:25" x14ac:dyDescent="0.2">
      <c r="A35" s="107" t="s">
        <v>146</v>
      </c>
      <c r="B35" s="107" t="s">
        <v>147</v>
      </c>
      <c r="C35" s="108" t="s">
        <v>56</v>
      </c>
      <c r="D35" s="107" t="s">
        <v>1151</v>
      </c>
      <c r="E35" s="109">
        <v>44670</v>
      </c>
      <c r="F35" s="109"/>
      <c r="G35" s="110">
        <v>26807280</v>
      </c>
      <c r="H35" s="110">
        <v>0</v>
      </c>
      <c r="I35" s="110">
        <v>0</v>
      </c>
      <c r="J35" s="110">
        <v>76914.16</v>
      </c>
      <c r="K35" s="110">
        <v>0</v>
      </c>
      <c r="L35" s="110">
        <v>0</v>
      </c>
      <c r="M35" s="110">
        <v>76914.16</v>
      </c>
      <c r="N35" s="110">
        <v>45349.59</v>
      </c>
      <c r="O35" s="110">
        <v>0</v>
      </c>
      <c r="P35" s="110">
        <v>4167.6899999999996</v>
      </c>
      <c r="Q35" s="110">
        <v>3053.06</v>
      </c>
      <c r="R35" s="110">
        <v>614.57000000000005</v>
      </c>
      <c r="S35" s="110">
        <v>53184.909999999996</v>
      </c>
      <c r="T35" s="110">
        <v>23729.250000000011</v>
      </c>
      <c r="U35" s="110">
        <v>0</v>
      </c>
      <c r="V35" s="110">
        <v>7287.47</v>
      </c>
      <c r="W35" s="110">
        <v>7287.47</v>
      </c>
      <c r="X35" s="111">
        <v>16441.78000000001</v>
      </c>
      <c r="Y35" s="72" t="str">
        <f>VLOOKUP(D35,'TKP 终端汇总'!A:A,1,0)</f>
        <v>合元</v>
      </c>
    </row>
    <row r="36" spans="1:25" x14ac:dyDescent="0.2">
      <c r="A36" s="107" t="s">
        <v>148</v>
      </c>
      <c r="B36" s="107" t="s">
        <v>149</v>
      </c>
      <c r="C36" s="108" t="s">
        <v>122</v>
      </c>
      <c r="D36" s="107" t="s">
        <v>1370</v>
      </c>
      <c r="E36" s="109">
        <v>44674</v>
      </c>
      <c r="F36" s="109"/>
      <c r="G36" s="110">
        <v>2220000</v>
      </c>
      <c r="H36" s="110">
        <v>0</v>
      </c>
      <c r="I36" s="110">
        <v>0</v>
      </c>
      <c r="J36" s="110">
        <v>0</v>
      </c>
      <c r="K36" s="110">
        <v>0</v>
      </c>
      <c r="L36" s="110">
        <v>0</v>
      </c>
      <c r="M36" s="110">
        <v>0</v>
      </c>
      <c r="N36" s="110">
        <v>0</v>
      </c>
      <c r="O36" s="110">
        <v>0</v>
      </c>
      <c r="P36" s="110">
        <v>0</v>
      </c>
      <c r="Q36" s="110">
        <v>3851.82</v>
      </c>
      <c r="R36" s="110">
        <v>0</v>
      </c>
      <c r="S36" s="110">
        <v>3851.82</v>
      </c>
      <c r="T36" s="110">
        <v>-3851.82</v>
      </c>
      <c r="U36" s="110">
        <v>0</v>
      </c>
      <c r="V36" s="110">
        <v>0</v>
      </c>
      <c r="W36" s="110">
        <v>0</v>
      </c>
      <c r="X36" s="111">
        <v>-3851.82</v>
      </c>
      <c r="Y36" s="72" t="str">
        <f>VLOOKUP(D36,'TKP 终端汇总'!A:A,1,0)</f>
        <v>Meta</v>
      </c>
    </row>
    <row r="37" spans="1:25" x14ac:dyDescent="0.2">
      <c r="A37" s="107" t="s">
        <v>150</v>
      </c>
      <c r="B37" s="107" t="s">
        <v>151</v>
      </c>
      <c r="C37" s="108" t="s">
        <v>80</v>
      </c>
      <c r="D37" s="107" t="s">
        <v>1151</v>
      </c>
      <c r="E37" s="109">
        <v>44623</v>
      </c>
      <c r="F37" s="109"/>
      <c r="G37" s="110">
        <v>13134000</v>
      </c>
      <c r="H37" s="110">
        <v>295939.90000000002</v>
      </c>
      <c r="I37" s="110">
        <v>0</v>
      </c>
      <c r="J37" s="110">
        <v>0</v>
      </c>
      <c r="K37" s="110">
        <v>0</v>
      </c>
      <c r="L37" s="110">
        <v>0</v>
      </c>
      <c r="M37" s="110">
        <v>295939.90000000002</v>
      </c>
      <c r="N37" s="110">
        <v>149728.26</v>
      </c>
      <c r="O37" s="110">
        <v>0</v>
      </c>
      <c r="P37" s="110">
        <v>3148.49</v>
      </c>
      <c r="Q37" s="110">
        <v>0</v>
      </c>
      <c r="R37" s="110">
        <v>0</v>
      </c>
      <c r="S37" s="110">
        <v>152876.75</v>
      </c>
      <c r="T37" s="110">
        <v>143063.15000000002</v>
      </c>
      <c r="U37" s="110">
        <v>2711.19</v>
      </c>
      <c r="V37" s="110">
        <v>4644.01</v>
      </c>
      <c r="W37" s="110">
        <v>7355.2000000000007</v>
      </c>
      <c r="X37" s="111">
        <v>135707.95000000001</v>
      </c>
      <c r="Y37" s="72" t="str">
        <f>VLOOKUP(D37,'TKP 终端汇总'!A:A,1,0)</f>
        <v>合元</v>
      </c>
    </row>
    <row r="38" spans="1:25" x14ac:dyDescent="0.2">
      <c r="A38" s="107" t="s">
        <v>152</v>
      </c>
      <c r="B38" s="107" t="s">
        <v>153</v>
      </c>
      <c r="C38" s="108" t="s">
        <v>62</v>
      </c>
      <c r="D38" s="107" t="s">
        <v>1152</v>
      </c>
      <c r="E38" s="109">
        <v>44729</v>
      </c>
      <c r="F38" s="109"/>
      <c r="G38" s="110">
        <v>4796000</v>
      </c>
      <c r="H38" s="110">
        <v>0</v>
      </c>
      <c r="I38" s="110">
        <v>0</v>
      </c>
      <c r="J38" s="110">
        <v>0</v>
      </c>
      <c r="K38" s="110">
        <v>0</v>
      </c>
      <c r="L38" s="110">
        <v>0</v>
      </c>
      <c r="M38" s="110">
        <v>0</v>
      </c>
      <c r="N38" s="110">
        <v>0</v>
      </c>
      <c r="O38" s="110">
        <v>0</v>
      </c>
      <c r="P38" s="110">
        <v>21775.83</v>
      </c>
      <c r="Q38" s="110">
        <v>0</v>
      </c>
      <c r="R38" s="110">
        <v>0</v>
      </c>
      <c r="S38" s="110">
        <v>21775.83</v>
      </c>
      <c r="T38" s="110">
        <v>-21775.83</v>
      </c>
      <c r="U38" s="110">
        <v>0</v>
      </c>
      <c r="V38" s="110">
        <v>0</v>
      </c>
      <c r="W38" s="110">
        <v>0</v>
      </c>
      <c r="X38" s="111">
        <v>-21775.83</v>
      </c>
      <c r="Y38" s="72" t="str">
        <f>VLOOKUP(D38,'TKP 终端汇总'!A:A,1,0)</f>
        <v>BAT</v>
      </c>
    </row>
    <row r="39" spans="1:25" x14ac:dyDescent="0.2">
      <c r="A39" s="107" t="s">
        <v>154</v>
      </c>
      <c r="B39" s="107" t="s">
        <v>155</v>
      </c>
      <c r="C39" s="108" t="s">
        <v>56</v>
      </c>
      <c r="D39" s="107" t="s">
        <v>1151</v>
      </c>
      <c r="E39" s="109">
        <v>44652</v>
      </c>
      <c r="F39" s="109"/>
      <c r="G39" s="110">
        <v>55264500</v>
      </c>
      <c r="H39" s="110">
        <v>1262215.6000000001</v>
      </c>
      <c r="I39" s="110">
        <v>0</v>
      </c>
      <c r="J39" s="110">
        <v>0</v>
      </c>
      <c r="K39" s="110">
        <v>0</v>
      </c>
      <c r="L39" s="110">
        <v>0</v>
      </c>
      <c r="M39" s="110">
        <v>1262215.6000000001</v>
      </c>
      <c r="N39" s="110">
        <v>3053703</v>
      </c>
      <c r="O39" s="110">
        <v>0</v>
      </c>
      <c r="P39" s="110">
        <v>514608.27</v>
      </c>
      <c r="Q39" s="110">
        <v>0</v>
      </c>
      <c r="R39" s="110">
        <v>3052.5</v>
      </c>
      <c r="S39" s="110">
        <v>3571363.7700000005</v>
      </c>
      <c r="T39" s="110">
        <v>-2309148.1700000004</v>
      </c>
      <c r="U39" s="110">
        <v>0</v>
      </c>
      <c r="V39" s="110">
        <v>442.38</v>
      </c>
      <c r="W39" s="110">
        <v>442.38</v>
      </c>
      <c r="X39" s="111">
        <v>-2309590.5500000003</v>
      </c>
      <c r="Y39" s="72" t="str">
        <f>VLOOKUP(D39,'TKP 终端汇总'!A:A,1,0)</f>
        <v>合元</v>
      </c>
    </row>
    <row r="40" spans="1:25" x14ac:dyDescent="0.2">
      <c r="A40" s="107" t="s">
        <v>156</v>
      </c>
      <c r="B40" s="107" t="s">
        <v>157</v>
      </c>
      <c r="C40" s="108" t="s">
        <v>158</v>
      </c>
      <c r="D40" s="107" t="s">
        <v>1195</v>
      </c>
      <c r="E40" s="109">
        <v>44629</v>
      </c>
      <c r="F40" s="109"/>
      <c r="G40" s="110">
        <v>5427000</v>
      </c>
      <c r="H40" s="110">
        <v>0</v>
      </c>
      <c r="I40" s="110">
        <v>0</v>
      </c>
      <c r="J40" s="110">
        <v>0</v>
      </c>
      <c r="K40" s="110">
        <v>0</v>
      </c>
      <c r="L40" s="110">
        <v>0</v>
      </c>
      <c r="M40" s="110">
        <v>0</v>
      </c>
      <c r="N40" s="110">
        <v>2815.2200000000003</v>
      </c>
      <c r="O40" s="110">
        <v>0</v>
      </c>
      <c r="P40" s="110">
        <v>8093.37</v>
      </c>
      <c r="Q40" s="110">
        <v>0</v>
      </c>
      <c r="R40" s="110">
        <v>0</v>
      </c>
      <c r="S40" s="110">
        <v>10908.59</v>
      </c>
      <c r="T40" s="110">
        <v>-10908.59</v>
      </c>
      <c r="U40" s="110">
        <v>2291.14</v>
      </c>
      <c r="V40" s="110">
        <v>141.25</v>
      </c>
      <c r="W40" s="110">
        <v>2432.39</v>
      </c>
      <c r="X40" s="111">
        <v>-13340.98</v>
      </c>
      <c r="Y40" s="72" t="str">
        <f>VLOOKUP(D40,'TKP 终端汇总'!A:A,1,0)</f>
        <v>问问</v>
      </c>
    </row>
    <row r="41" spans="1:25" x14ac:dyDescent="0.2">
      <c r="A41" s="107" t="s">
        <v>160</v>
      </c>
      <c r="B41" s="107" t="s">
        <v>161</v>
      </c>
      <c r="C41" s="108" t="s">
        <v>62</v>
      </c>
      <c r="D41" s="107" t="s">
        <v>1152</v>
      </c>
      <c r="E41" s="109">
        <v>44543</v>
      </c>
      <c r="F41" s="109"/>
      <c r="G41" s="110">
        <v>52956600</v>
      </c>
      <c r="H41" s="110">
        <v>130045.95999999999</v>
      </c>
      <c r="I41" s="110">
        <v>0</v>
      </c>
      <c r="J41" s="110">
        <v>224867.6073289761</v>
      </c>
      <c r="K41" s="110">
        <v>0</v>
      </c>
      <c r="L41" s="110">
        <v>0</v>
      </c>
      <c r="M41" s="110">
        <v>354913.56732897606</v>
      </c>
      <c r="N41" s="110">
        <v>5469595.1199999992</v>
      </c>
      <c r="O41" s="110">
        <v>0</v>
      </c>
      <c r="P41" s="110">
        <v>184235.24</v>
      </c>
      <c r="Q41" s="110">
        <v>0</v>
      </c>
      <c r="R41" s="110">
        <v>-2361.5100000000002</v>
      </c>
      <c r="S41" s="110">
        <v>5651468.8499999996</v>
      </c>
      <c r="T41" s="110">
        <v>-5296555.2826710232</v>
      </c>
      <c r="U41" s="110">
        <v>35385.360000000001</v>
      </c>
      <c r="V41" s="110">
        <v>33086.97</v>
      </c>
      <c r="W41" s="110">
        <v>68472.33</v>
      </c>
      <c r="X41" s="111">
        <v>-5365027.6126710232</v>
      </c>
      <c r="Y41" s="72" t="str">
        <f>VLOOKUP(D41,'TKP 终端汇总'!A:A,1,0)</f>
        <v>BAT</v>
      </c>
    </row>
    <row r="42" spans="1:25" x14ac:dyDescent="0.2">
      <c r="A42" s="107" t="s">
        <v>162</v>
      </c>
      <c r="B42" s="107" t="s">
        <v>163</v>
      </c>
      <c r="C42" s="108" t="s">
        <v>5</v>
      </c>
      <c r="D42" s="107" t="s">
        <v>1162</v>
      </c>
      <c r="E42" s="109">
        <v>44411</v>
      </c>
      <c r="F42" s="109"/>
      <c r="G42" s="110">
        <v>8056400</v>
      </c>
      <c r="H42" s="110">
        <v>0</v>
      </c>
      <c r="I42" s="110">
        <v>0</v>
      </c>
      <c r="J42" s="110">
        <v>0</v>
      </c>
      <c r="K42" s="110">
        <v>0</v>
      </c>
      <c r="L42" s="110">
        <v>0</v>
      </c>
      <c r="M42" s="110">
        <v>0</v>
      </c>
      <c r="N42" s="110">
        <v>0</v>
      </c>
      <c r="O42" s="110">
        <v>0</v>
      </c>
      <c r="P42" s="110">
        <v>19335.68</v>
      </c>
      <c r="Q42" s="110">
        <v>0</v>
      </c>
      <c r="R42" s="110">
        <v>0</v>
      </c>
      <c r="S42" s="110">
        <v>19335.68</v>
      </c>
      <c r="T42" s="110">
        <v>-19335.68</v>
      </c>
      <c r="U42" s="110">
        <v>0</v>
      </c>
      <c r="V42" s="110">
        <v>0</v>
      </c>
      <c r="W42" s="110">
        <v>0</v>
      </c>
      <c r="X42" s="111">
        <v>-19335.68</v>
      </c>
      <c r="Y42" s="72" t="str">
        <f>VLOOKUP(D42,'TKP 终端汇总'!A:A,1,0)</f>
        <v xml:space="preserve">August </v>
      </c>
    </row>
    <row r="43" spans="1:25" x14ac:dyDescent="0.2">
      <c r="A43" s="107" t="s">
        <v>164</v>
      </c>
      <c r="B43" s="107" t="s">
        <v>165</v>
      </c>
      <c r="C43" s="108" t="s">
        <v>166</v>
      </c>
      <c r="D43" s="107" t="s">
        <v>475</v>
      </c>
      <c r="E43" s="109">
        <v>44613</v>
      </c>
      <c r="F43" s="109"/>
      <c r="G43" s="110">
        <v>968000</v>
      </c>
      <c r="H43" s="110">
        <v>0</v>
      </c>
      <c r="I43" s="110">
        <v>0</v>
      </c>
      <c r="J43" s="110">
        <v>0</v>
      </c>
      <c r="K43" s="110">
        <v>0</v>
      </c>
      <c r="L43" s="110">
        <v>0</v>
      </c>
      <c r="M43" s="110">
        <v>0</v>
      </c>
      <c r="N43" s="110">
        <v>0</v>
      </c>
      <c r="O43" s="110">
        <v>0</v>
      </c>
      <c r="P43" s="110">
        <v>19124.080000000002</v>
      </c>
      <c r="Q43" s="110">
        <v>0</v>
      </c>
      <c r="R43" s="110">
        <v>2464.48</v>
      </c>
      <c r="S43" s="110">
        <v>21588.559999999998</v>
      </c>
      <c r="T43" s="110">
        <v>-21588.559999999998</v>
      </c>
      <c r="U43" s="110">
        <v>0</v>
      </c>
      <c r="V43" s="110">
        <v>0</v>
      </c>
      <c r="W43" s="110">
        <v>0</v>
      </c>
      <c r="X43" s="111">
        <v>-21588.559999999998</v>
      </c>
      <c r="Y43" s="72" t="str">
        <f>VLOOKUP(D43,'TKP 终端汇总'!A:A,1,0)</f>
        <v>韶音</v>
      </c>
    </row>
    <row r="44" spans="1:25" x14ac:dyDescent="0.2">
      <c r="A44" s="107" t="s">
        <v>168</v>
      </c>
      <c r="B44" s="107" t="s">
        <v>169</v>
      </c>
      <c r="C44" s="108" t="s">
        <v>166</v>
      </c>
      <c r="D44" s="107" t="s">
        <v>475</v>
      </c>
      <c r="E44" s="109">
        <v>44628</v>
      </c>
      <c r="F44" s="109"/>
      <c r="G44" s="110">
        <v>3825000</v>
      </c>
      <c r="H44" s="110">
        <v>7055.03</v>
      </c>
      <c r="I44" s="110">
        <v>0</v>
      </c>
      <c r="J44" s="110">
        <v>0</v>
      </c>
      <c r="K44" s="110">
        <v>0</v>
      </c>
      <c r="L44" s="110">
        <v>0</v>
      </c>
      <c r="M44" s="110">
        <v>7055.03</v>
      </c>
      <c r="N44" s="110">
        <v>0</v>
      </c>
      <c r="O44" s="110">
        <v>0</v>
      </c>
      <c r="P44" s="110">
        <v>5660.3</v>
      </c>
      <c r="Q44" s="110">
        <v>0</v>
      </c>
      <c r="R44" s="110">
        <v>0</v>
      </c>
      <c r="S44" s="110">
        <v>5660.3</v>
      </c>
      <c r="T44" s="110">
        <v>1394.7299999999998</v>
      </c>
      <c r="U44" s="110">
        <v>0</v>
      </c>
      <c r="V44" s="110">
        <v>275.41000000000003</v>
      </c>
      <c r="W44" s="110">
        <v>275.41000000000003</v>
      </c>
      <c r="X44" s="111">
        <v>1119.3199999999997</v>
      </c>
      <c r="Y44" s="72" t="str">
        <f>VLOOKUP(D44,'TKP 终端汇总'!A:A,1,0)</f>
        <v>韶音</v>
      </c>
    </row>
    <row r="45" spans="1:25" x14ac:dyDescent="0.2">
      <c r="A45" s="107" t="s">
        <v>170</v>
      </c>
      <c r="B45" s="107" t="s">
        <v>171</v>
      </c>
      <c r="C45" s="108" t="s">
        <v>172</v>
      </c>
      <c r="D45" s="107" t="s">
        <v>1167</v>
      </c>
      <c r="E45" s="109">
        <v>44757</v>
      </c>
      <c r="F45" s="109"/>
      <c r="G45" s="110">
        <v>21578100</v>
      </c>
      <c r="H45" s="110">
        <v>23064.6</v>
      </c>
      <c r="I45" s="110">
        <v>0</v>
      </c>
      <c r="J45" s="110">
        <v>1762.11</v>
      </c>
      <c r="K45" s="110">
        <v>0</v>
      </c>
      <c r="L45" s="110">
        <v>0</v>
      </c>
      <c r="M45" s="110">
        <v>24826.71</v>
      </c>
      <c r="N45" s="110">
        <v>18546.060000000001</v>
      </c>
      <c r="O45" s="110">
        <v>0</v>
      </c>
      <c r="P45" s="110">
        <v>36388.43</v>
      </c>
      <c r="Q45" s="110">
        <v>41718.65</v>
      </c>
      <c r="R45" s="110">
        <v>15796.859999999999</v>
      </c>
      <c r="S45" s="110">
        <v>112450</v>
      </c>
      <c r="T45" s="110">
        <v>-87623.290000000008</v>
      </c>
      <c r="U45" s="110">
        <v>3174.29</v>
      </c>
      <c r="V45" s="110">
        <v>26735.29</v>
      </c>
      <c r="W45" s="110">
        <v>29909.58</v>
      </c>
      <c r="X45" s="111">
        <v>-117532.87000000001</v>
      </c>
      <c r="Y45" s="72" t="str">
        <f>VLOOKUP(D45,'TKP 终端汇总'!A:A,1,0)</f>
        <v>美律</v>
      </c>
    </row>
    <row r="46" spans="1:25" x14ac:dyDescent="0.2">
      <c r="A46" s="107" t="s">
        <v>174</v>
      </c>
      <c r="B46" s="107" t="s">
        <v>175</v>
      </c>
      <c r="C46" s="108">
        <v>360</v>
      </c>
      <c r="D46" s="107" t="s">
        <v>1153</v>
      </c>
      <c r="E46" s="109">
        <v>44722</v>
      </c>
      <c r="F46" s="109"/>
      <c r="G46" s="110">
        <v>0</v>
      </c>
      <c r="H46" s="110">
        <v>0</v>
      </c>
      <c r="I46" s="110">
        <v>0</v>
      </c>
      <c r="J46" s="110">
        <v>0</v>
      </c>
      <c r="K46" s="110">
        <v>0</v>
      </c>
      <c r="L46" s="110">
        <v>0</v>
      </c>
      <c r="M46" s="110">
        <v>0</v>
      </c>
      <c r="N46" s="110">
        <v>0</v>
      </c>
      <c r="O46" s="110">
        <v>0</v>
      </c>
      <c r="P46" s="110">
        <v>0</v>
      </c>
      <c r="Q46" s="110">
        <v>0</v>
      </c>
      <c r="R46" s="110">
        <v>0</v>
      </c>
      <c r="S46" s="110">
        <v>0</v>
      </c>
      <c r="T46" s="110">
        <v>0</v>
      </c>
      <c r="U46" s="110">
        <v>0</v>
      </c>
      <c r="V46" s="110">
        <v>0</v>
      </c>
      <c r="W46" s="110">
        <v>0</v>
      </c>
      <c r="X46" s="111">
        <v>0</v>
      </c>
      <c r="Y46" s="72" t="str">
        <f>VLOOKUP(D46,'TKP 终端汇总'!A:A,1,0)</f>
        <v>Google</v>
      </c>
    </row>
    <row r="47" spans="1:25" x14ac:dyDescent="0.2">
      <c r="A47" s="107" t="s">
        <v>176</v>
      </c>
      <c r="B47" s="107" t="s">
        <v>177</v>
      </c>
      <c r="C47" s="108">
        <v>440</v>
      </c>
      <c r="D47" s="107" t="s">
        <v>1161</v>
      </c>
      <c r="E47" s="109">
        <v>44698</v>
      </c>
      <c r="F47" s="109"/>
      <c r="G47" s="110">
        <v>0</v>
      </c>
      <c r="H47" s="110">
        <v>0</v>
      </c>
      <c r="I47" s="110">
        <v>0</v>
      </c>
      <c r="J47" s="110">
        <v>0</v>
      </c>
      <c r="K47" s="110">
        <v>0</v>
      </c>
      <c r="L47" s="110">
        <v>0</v>
      </c>
      <c r="M47" s="110">
        <v>0</v>
      </c>
      <c r="N47" s="110">
        <v>0</v>
      </c>
      <c r="O47" s="110">
        <v>0</v>
      </c>
      <c r="P47" s="110">
        <v>0</v>
      </c>
      <c r="Q47" s="110">
        <v>0</v>
      </c>
      <c r="R47" s="110">
        <v>0</v>
      </c>
      <c r="S47" s="110">
        <v>0</v>
      </c>
      <c r="T47" s="110">
        <v>0</v>
      </c>
      <c r="U47" s="110">
        <v>0</v>
      </c>
      <c r="V47" s="110">
        <v>0</v>
      </c>
      <c r="W47" s="110">
        <v>0</v>
      </c>
      <c r="X47" s="111">
        <v>0</v>
      </c>
      <c r="Y47" s="72" t="str">
        <f>VLOOKUP(D47,'TKP 终端汇总'!A:A,1,0)</f>
        <v>OTTERBOX</v>
      </c>
    </row>
    <row r="48" spans="1:25" x14ac:dyDescent="0.2">
      <c r="A48" s="107" t="s">
        <v>178</v>
      </c>
      <c r="B48" s="107" t="s">
        <v>179</v>
      </c>
      <c r="C48" s="108" t="s">
        <v>31</v>
      </c>
      <c r="D48" s="107" t="s">
        <v>1193</v>
      </c>
      <c r="E48" s="109">
        <v>44279</v>
      </c>
      <c r="F48" s="109"/>
      <c r="G48" s="110">
        <v>0</v>
      </c>
      <c r="H48" s="110">
        <v>0</v>
      </c>
      <c r="I48" s="110">
        <v>0</v>
      </c>
      <c r="J48" s="110">
        <v>0</v>
      </c>
      <c r="K48" s="110">
        <v>0</v>
      </c>
      <c r="L48" s="110">
        <v>0</v>
      </c>
      <c r="M48" s="110">
        <v>0</v>
      </c>
      <c r="N48" s="110">
        <v>0</v>
      </c>
      <c r="O48" s="110">
        <v>0</v>
      </c>
      <c r="P48" s="110">
        <v>0</v>
      </c>
      <c r="Q48" s="110">
        <v>0</v>
      </c>
      <c r="R48" s="110">
        <v>0</v>
      </c>
      <c r="S48" s="110">
        <v>0</v>
      </c>
      <c r="T48" s="110">
        <v>0</v>
      </c>
      <c r="U48" s="110">
        <v>0</v>
      </c>
      <c r="V48" s="110">
        <v>0</v>
      </c>
      <c r="W48" s="110">
        <v>0</v>
      </c>
      <c r="X48" s="111">
        <v>0</v>
      </c>
      <c r="Y48" s="72" t="str">
        <f>VLOOKUP(D48,'TKP 终端汇总'!A:A,1,0)</f>
        <v>润视</v>
      </c>
    </row>
    <row r="49" spans="1:25" x14ac:dyDescent="0.2">
      <c r="A49" s="107" t="s">
        <v>193</v>
      </c>
      <c r="B49" s="107" t="s">
        <v>194</v>
      </c>
      <c r="C49" s="108" t="s">
        <v>195</v>
      </c>
      <c r="D49" s="107" t="s">
        <v>1222</v>
      </c>
      <c r="E49" s="109">
        <v>44279</v>
      </c>
      <c r="F49" s="109"/>
      <c r="G49" s="110">
        <v>176000</v>
      </c>
      <c r="H49" s="110">
        <v>0</v>
      </c>
      <c r="I49" s="110">
        <v>0</v>
      </c>
      <c r="J49" s="110">
        <v>0</v>
      </c>
      <c r="K49" s="110">
        <v>0</v>
      </c>
      <c r="L49" s="110">
        <v>0</v>
      </c>
      <c r="M49" s="110">
        <v>0</v>
      </c>
      <c r="N49" s="110">
        <v>1525.79</v>
      </c>
      <c r="O49" s="110">
        <v>0</v>
      </c>
      <c r="P49" s="110">
        <v>0</v>
      </c>
      <c r="Q49" s="110">
        <v>0</v>
      </c>
      <c r="R49" s="110">
        <v>0</v>
      </c>
      <c r="S49" s="110">
        <v>1525.79</v>
      </c>
      <c r="T49" s="110">
        <v>-1525.79</v>
      </c>
      <c r="U49" s="110">
        <v>0</v>
      </c>
      <c r="V49" s="110">
        <v>163.1</v>
      </c>
      <c r="W49" s="110">
        <v>163.1</v>
      </c>
      <c r="X49" s="111">
        <v>-1688.8899999999999</v>
      </c>
      <c r="Y49" s="72" t="str">
        <f>VLOOKUP(D49,'TKP 终端汇总'!A:A,1,0)</f>
        <v>元晖</v>
      </c>
    </row>
    <row r="50" spans="1:25" x14ac:dyDescent="0.2">
      <c r="A50" s="107" t="s">
        <v>202</v>
      </c>
      <c r="B50" s="107" t="s">
        <v>203</v>
      </c>
      <c r="C50" s="108" t="s">
        <v>204</v>
      </c>
      <c r="D50" s="107" t="s">
        <v>1163</v>
      </c>
      <c r="E50" s="109">
        <v>44326</v>
      </c>
      <c r="F50" s="109">
        <v>44337</v>
      </c>
      <c r="G50" s="110">
        <v>3506250</v>
      </c>
      <c r="H50" s="110">
        <v>23732.47</v>
      </c>
      <c r="I50" s="110">
        <v>0</v>
      </c>
      <c r="J50" s="110">
        <v>0</v>
      </c>
      <c r="K50" s="110">
        <v>0</v>
      </c>
      <c r="L50" s="110">
        <v>0</v>
      </c>
      <c r="M50" s="110">
        <v>23732.47</v>
      </c>
      <c r="N50" s="110">
        <v>7530.59</v>
      </c>
      <c r="O50" s="110">
        <v>0</v>
      </c>
      <c r="P50" s="110">
        <v>0</v>
      </c>
      <c r="Q50" s="110">
        <v>0</v>
      </c>
      <c r="R50" s="110">
        <v>2884.97</v>
      </c>
      <c r="S50" s="110">
        <v>10415.56</v>
      </c>
      <c r="T50" s="110">
        <v>13316.910000000002</v>
      </c>
      <c r="U50" s="110">
        <v>0</v>
      </c>
      <c r="V50" s="110">
        <v>2148.54</v>
      </c>
      <c r="W50" s="110">
        <v>2148.54</v>
      </c>
      <c r="X50" s="111">
        <v>11168.370000000003</v>
      </c>
      <c r="Y50" s="72" t="str">
        <f>VLOOKUP(D50,'TKP 终端汇总'!A:A,1,0)</f>
        <v>Sensirion</v>
      </c>
    </row>
    <row r="51" spans="1:25" x14ac:dyDescent="0.2">
      <c r="A51" s="107" t="s">
        <v>212</v>
      </c>
      <c r="B51" s="107" t="s">
        <v>213</v>
      </c>
      <c r="C51" s="108" t="s">
        <v>208</v>
      </c>
      <c r="D51" s="107" t="s">
        <v>1177</v>
      </c>
      <c r="E51" s="109">
        <v>44245</v>
      </c>
      <c r="F51" s="109">
        <v>44271</v>
      </c>
      <c r="G51" s="110">
        <v>78450090</v>
      </c>
      <c r="H51" s="110">
        <v>0</v>
      </c>
      <c r="I51" s="110">
        <v>0</v>
      </c>
      <c r="J51" s="110">
        <v>68784</v>
      </c>
      <c r="K51" s="110">
        <v>0</v>
      </c>
      <c r="L51" s="110">
        <v>0</v>
      </c>
      <c r="M51" s="110">
        <v>68784</v>
      </c>
      <c r="N51" s="110">
        <v>479.07000000000005</v>
      </c>
      <c r="O51" s="110">
        <v>0</v>
      </c>
      <c r="P51" s="110">
        <v>0</v>
      </c>
      <c r="Q51" s="110">
        <v>0</v>
      </c>
      <c r="R51" s="110">
        <v>726.95999999999992</v>
      </c>
      <c r="S51" s="110">
        <v>1206.0300000000002</v>
      </c>
      <c r="T51" s="110">
        <v>67577.97</v>
      </c>
      <c r="U51" s="110">
        <v>9576.8799999999992</v>
      </c>
      <c r="V51" s="110">
        <v>10136.719999999999</v>
      </c>
      <c r="W51" s="110">
        <v>19713.599999999999</v>
      </c>
      <c r="X51" s="111">
        <v>47864.37</v>
      </c>
      <c r="Y51" s="72" t="str">
        <f>VLOOKUP(D51,'TKP 终端汇总'!A:A,1,0)</f>
        <v>POLYCOM</v>
      </c>
    </row>
    <row r="52" spans="1:25" x14ac:dyDescent="0.2">
      <c r="A52" s="107" t="s">
        <v>214</v>
      </c>
      <c r="B52" s="107" t="s">
        <v>215</v>
      </c>
      <c r="C52" s="108" t="s">
        <v>208</v>
      </c>
      <c r="D52" s="107" t="s">
        <v>1177</v>
      </c>
      <c r="E52" s="109">
        <v>44314</v>
      </c>
      <c r="F52" s="109">
        <v>44364</v>
      </c>
      <c r="G52" s="110">
        <v>36811500</v>
      </c>
      <c r="H52" s="110">
        <v>0</v>
      </c>
      <c r="I52" s="110">
        <v>0</v>
      </c>
      <c r="J52" s="110">
        <v>0</v>
      </c>
      <c r="K52" s="110">
        <v>0</v>
      </c>
      <c r="L52" s="110">
        <v>0</v>
      </c>
      <c r="M52" s="110">
        <v>0</v>
      </c>
      <c r="N52" s="110">
        <v>343.3</v>
      </c>
      <c r="O52" s="110">
        <v>0</v>
      </c>
      <c r="P52" s="110">
        <v>0</v>
      </c>
      <c r="Q52" s="110">
        <v>0</v>
      </c>
      <c r="R52" s="110">
        <v>0</v>
      </c>
      <c r="S52" s="110">
        <v>343.3</v>
      </c>
      <c r="T52" s="110">
        <v>-343.3</v>
      </c>
      <c r="U52" s="110">
        <v>11053.36</v>
      </c>
      <c r="V52" s="110">
        <v>10550.16</v>
      </c>
      <c r="W52" s="110">
        <v>21603.52</v>
      </c>
      <c r="X52" s="111">
        <v>-21946.82</v>
      </c>
      <c r="Y52" s="72" t="str">
        <f>VLOOKUP(D52,'TKP 终端汇总'!A:A,1,0)</f>
        <v>POLYCOM</v>
      </c>
    </row>
    <row r="53" spans="1:25" x14ac:dyDescent="0.2">
      <c r="A53" s="107" t="s">
        <v>216</v>
      </c>
      <c r="B53" s="107" t="s">
        <v>217</v>
      </c>
      <c r="C53" s="108" t="s">
        <v>208</v>
      </c>
      <c r="D53" s="107" t="s">
        <v>1177</v>
      </c>
      <c r="E53" s="109">
        <v>44411</v>
      </c>
      <c r="F53" s="109">
        <v>41820</v>
      </c>
      <c r="G53" s="110">
        <v>2250775</v>
      </c>
      <c r="H53" s="110">
        <v>0</v>
      </c>
      <c r="I53" s="110">
        <v>0</v>
      </c>
      <c r="J53" s="110">
        <v>0</v>
      </c>
      <c r="K53" s="110">
        <v>0</v>
      </c>
      <c r="L53" s="110">
        <v>0</v>
      </c>
      <c r="M53" s="110">
        <v>0</v>
      </c>
      <c r="N53" s="110">
        <v>0</v>
      </c>
      <c r="O53" s="110">
        <v>0</v>
      </c>
      <c r="P53" s="110">
        <v>0</v>
      </c>
      <c r="Q53" s="110">
        <v>0</v>
      </c>
      <c r="R53" s="110">
        <v>1617.5</v>
      </c>
      <c r="S53" s="110">
        <v>1617.5</v>
      </c>
      <c r="T53" s="110">
        <v>-1617.5</v>
      </c>
      <c r="U53" s="110">
        <v>0</v>
      </c>
      <c r="V53" s="110">
        <v>0</v>
      </c>
      <c r="W53" s="110">
        <v>0</v>
      </c>
      <c r="X53" s="111">
        <v>-1617.5</v>
      </c>
      <c r="Y53" s="72" t="str">
        <f>VLOOKUP(D53,'TKP 终端汇总'!A:A,1,0)</f>
        <v>POLYCOM</v>
      </c>
    </row>
    <row r="54" spans="1:25" x14ac:dyDescent="0.2">
      <c r="A54" s="107" t="s">
        <v>218</v>
      </c>
      <c r="B54" s="107" t="s">
        <v>219</v>
      </c>
      <c r="C54" s="108" t="s">
        <v>208</v>
      </c>
      <c r="D54" s="107" t="s">
        <v>1177</v>
      </c>
      <c r="E54" s="109">
        <v>44420</v>
      </c>
      <c r="F54" s="109">
        <v>44433</v>
      </c>
      <c r="G54" s="110">
        <v>4502100</v>
      </c>
      <c r="H54" s="110">
        <v>0</v>
      </c>
      <c r="I54" s="110">
        <v>0</v>
      </c>
      <c r="J54" s="110">
        <v>0</v>
      </c>
      <c r="K54" s="110">
        <v>0</v>
      </c>
      <c r="L54" s="110">
        <v>0</v>
      </c>
      <c r="M54" s="110">
        <v>0</v>
      </c>
      <c r="N54" s="110">
        <v>0</v>
      </c>
      <c r="O54" s="110">
        <v>0</v>
      </c>
      <c r="P54" s="110">
        <v>0</v>
      </c>
      <c r="Q54" s="110">
        <v>0</v>
      </c>
      <c r="R54" s="110">
        <v>0</v>
      </c>
      <c r="S54" s="110">
        <v>0</v>
      </c>
      <c r="T54" s="110">
        <v>0</v>
      </c>
      <c r="U54" s="110">
        <v>0</v>
      </c>
      <c r="V54" s="110">
        <v>2821.83</v>
      </c>
      <c r="W54" s="110">
        <v>2821.83</v>
      </c>
      <c r="X54" s="111">
        <v>-2821.83</v>
      </c>
      <c r="Y54" s="72" t="str">
        <f>VLOOKUP(D54,'TKP 终端汇总'!A:A,1,0)</f>
        <v>POLYCOM</v>
      </c>
    </row>
    <row r="55" spans="1:25" x14ac:dyDescent="0.2">
      <c r="A55" s="107" t="s">
        <v>220</v>
      </c>
      <c r="B55" s="107" t="s">
        <v>221</v>
      </c>
      <c r="C55" s="108" t="s">
        <v>9</v>
      </c>
      <c r="D55" s="107" t="s">
        <v>1197</v>
      </c>
      <c r="E55" s="109">
        <v>44226</v>
      </c>
      <c r="F55" s="109">
        <v>44195</v>
      </c>
      <c r="G55" s="110">
        <v>52313745</v>
      </c>
      <c r="H55" s="110">
        <v>0</v>
      </c>
      <c r="I55" s="110">
        <v>0</v>
      </c>
      <c r="J55" s="110">
        <v>0</v>
      </c>
      <c r="K55" s="110">
        <v>117776.09</v>
      </c>
      <c r="L55" s="110">
        <v>0</v>
      </c>
      <c r="M55" s="110">
        <v>117776.09</v>
      </c>
      <c r="N55" s="110">
        <v>26308.36</v>
      </c>
      <c r="O55" s="110">
        <v>0</v>
      </c>
      <c r="P55" s="110">
        <v>6051.19</v>
      </c>
      <c r="Q55" s="110">
        <v>0</v>
      </c>
      <c r="R55" s="110">
        <v>19372.84</v>
      </c>
      <c r="S55" s="110">
        <v>51732.39</v>
      </c>
      <c r="T55" s="110">
        <v>66043.7</v>
      </c>
      <c r="U55" s="110">
        <v>0</v>
      </c>
      <c r="V55" s="110">
        <v>5347.42</v>
      </c>
      <c r="W55" s="110">
        <v>5347.42</v>
      </c>
      <c r="X55" s="111">
        <v>60696.28</v>
      </c>
      <c r="Y55" s="72" t="str">
        <f>VLOOKUP(D55,'TKP 终端汇总'!A:A,1,0)</f>
        <v>新产业</v>
      </c>
    </row>
    <row r="56" spans="1:25" x14ac:dyDescent="0.2">
      <c r="A56" s="107" t="s">
        <v>222</v>
      </c>
      <c r="B56" s="107" t="s">
        <v>223</v>
      </c>
      <c r="C56" s="108">
        <v>207</v>
      </c>
      <c r="D56" s="107" t="s">
        <v>1169</v>
      </c>
      <c r="E56" s="109">
        <v>44226</v>
      </c>
      <c r="F56" s="109">
        <v>42198</v>
      </c>
      <c r="G56" s="110">
        <v>0</v>
      </c>
      <c r="H56" s="110">
        <v>0</v>
      </c>
      <c r="I56" s="110">
        <v>0</v>
      </c>
      <c r="J56" s="110">
        <v>283.56</v>
      </c>
      <c r="K56" s="110">
        <v>0</v>
      </c>
      <c r="L56" s="110">
        <v>0</v>
      </c>
      <c r="M56" s="110">
        <v>283.56</v>
      </c>
      <c r="N56" s="110">
        <v>2144.17</v>
      </c>
      <c r="O56" s="110">
        <v>0</v>
      </c>
      <c r="P56" s="110">
        <v>0</v>
      </c>
      <c r="Q56" s="110">
        <v>0</v>
      </c>
      <c r="R56" s="110">
        <v>0</v>
      </c>
      <c r="S56" s="110">
        <v>2144.17</v>
      </c>
      <c r="T56" s="110">
        <v>-1860.6100000000001</v>
      </c>
      <c r="U56" s="110">
        <v>0</v>
      </c>
      <c r="V56" s="110">
        <v>8688.5499999999993</v>
      </c>
      <c r="W56" s="110">
        <v>8688.5499999999993</v>
      </c>
      <c r="X56" s="111">
        <v>-10549.16</v>
      </c>
      <c r="Y56" s="72" t="str">
        <f>VLOOKUP(D56,'TKP 终端汇总'!A:A,1,0)</f>
        <v>骏丰</v>
      </c>
    </row>
    <row r="57" spans="1:25" x14ac:dyDescent="0.2">
      <c r="A57" s="107" t="s">
        <v>225</v>
      </c>
      <c r="B57" s="107" t="s">
        <v>226</v>
      </c>
      <c r="C57" s="108" t="s">
        <v>166</v>
      </c>
      <c r="D57" s="107" t="s">
        <v>475</v>
      </c>
      <c r="E57" s="109">
        <v>44226</v>
      </c>
      <c r="F57" s="109">
        <v>44223</v>
      </c>
      <c r="G57" s="110">
        <v>9839800</v>
      </c>
      <c r="H57" s="110">
        <v>40021.57</v>
      </c>
      <c r="I57" s="110">
        <v>0</v>
      </c>
      <c r="J57" s="110">
        <v>0</v>
      </c>
      <c r="K57" s="110">
        <v>0</v>
      </c>
      <c r="L57" s="110">
        <v>0</v>
      </c>
      <c r="M57" s="110">
        <v>40021.57</v>
      </c>
      <c r="N57" s="110">
        <v>40373.18</v>
      </c>
      <c r="O57" s="110">
        <v>0</v>
      </c>
      <c r="P57" s="110">
        <v>21366.229999999996</v>
      </c>
      <c r="Q57" s="110">
        <v>0</v>
      </c>
      <c r="R57" s="110">
        <v>0</v>
      </c>
      <c r="S57" s="110">
        <v>61739.41</v>
      </c>
      <c r="T57" s="110">
        <v>-21717.84</v>
      </c>
      <c r="U57" s="110">
        <v>1525.79</v>
      </c>
      <c r="V57" s="110">
        <v>95376.650000000009</v>
      </c>
      <c r="W57" s="110">
        <v>96902.44</v>
      </c>
      <c r="X57" s="111">
        <v>-118620.28</v>
      </c>
      <c r="Y57" s="72" t="str">
        <f>VLOOKUP(D57,'TKP 终端汇总'!A:A,1,0)</f>
        <v>韶音</v>
      </c>
    </row>
    <row r="58" spans="1:25" x14ac:dyDescent="0.2">
      <c r="A58" s="107" t="s">
        <v>227</v>
      </c>
      <c r="B58" s="107" t="s">
        <v>228</v>
      </c>
      <c r="C58" s="108" t="s">
        <v>166</v>
      </c>
      <c r="D58" s="107" t="s">
        <v>475</v>
      </c>
      <c r="E58" s="109">
        <v>44306</v>
      </c>
      <c r="F58" s="109">
        <v>44403</v>
      </c>
      <c r="G58" s="110">
        <v>1058000</v>
      </c>
      <c r="H58" s="110">
        <v>0</v>
      </c>
      <c r="I58" s="110">
        <v>0</v>
      </c>
      <c r="J58" s="110">
        <v>-3.24</v>
      </c>
      <c r="K58" s="110">
        <v>0</v>
      </c>
      <c r="L58" s="110">
        <v>0</v>
      </c>
      <c r="M58" s="110">
        <v>-3.24</v>
      </c>
      <c r="N58" s="110">
        <v>0</v>
      </c>
      <c r="O58" s="110">
        <v>0</v>
      </c>
      <c r="P58" s="110">
        <v>0</v>
      </c>
      <c r="Q58" s="110">
        <v>0</v>
      </c>
      <c r="R58" s="110">
        <v>0</v>
      </c>
      <c r="S58" s="110">
        <v>0</v>
      </c>
      <c r="T58" s="110">
        <v>-3.24</v>
      </c>
      <c r="U58" s="110">
        <v>0</v>
      </c>
      <c r="V58" s="110">
        <v>0</v>
      </c>
      <c r="W58" s="110">
        <v>0</v>
      </c>
      <c r="X58" s="111">
        <v>-3.24</v>
      </c>
      <c r="Y58" s="72" t="str">
        <f>VLOOKUP(D58,'TKP 终端汇总'!A:A,1,0)</f>
        <v>韶音</v>
      </c>
    </row>
    <row r="59" spans="1:25" x14ac:dyDescent="0.2">
      <c r="A59" s="107" t="s">
        <v>235</v>
      </c>
      <c r="B59" s="107" t="s">
        <v>236</v>
      </c>
      <c r="C59" s="108">
        <v>404</v>
      </c>
      <c r="D59" s="107" t="s">
        <v>1153</v>
      </c>
      <c r="E59" s="109">
        <v>44226</v>
      </c>
      <c r="F59" s="109">
        <v>42198</v>
      </c>
      <c r="G59" s="110">
        <v>462000</v>
      </c>
      <c r="H59" s="110">
        <v>0</v>
      </c>
      <c r="I59" s="110">
        <v>0</v>
      </c>
      <c r="J59" s="110">
        <v>0</v>
      </c>
      <c r="K59" s="110">
        <v>0</v>
      </c>
      <c r="L59" s="110">
        <v>0</v>
      </c>
      <c r="M59" s="110">
        <v>0</v>
      </c>
      <c r="N59" s="110">
        <v>60554.25</v>
      </c>
      <c r="O59" s="110">
        <v>0</v>
      </c>
      <c r="P59" s="110">
        <v>0</v>
      </c>
      <c r="Q59" s="110">
        <v>0</v>
      </c>
      <c r="R59" s="110">
        <v>0</v>
      </c>
      <c r="S59" s="110">
        <v>60554.25</v>
      </c>
      <c r="T59" s="110">
        <v>-60554.25</v>
      </c>
      <c r="U59" s="110">
        <v>0</v>
      </c>
      <c r="V59" s="110">
        <v>1428.43</v>
      </c>
      <c r="W59" s="110">
        <v>1428.43</v>
      </c>
      <c r="X59" s="111">
        <v>-61982.68</v>
      </c>
      <c r="Y59" s="72" t="str">
        <f>VLOOKUP(D59,'TKP 终端汇总'!A:A,1,0)</f>
        <v>Google</v>
      </c>
    </row>
    <row r="60" spans="1:25" x14ac:dyDescent="0.2">
      <c r="A60" s="107" t="s">
        <v>238</v>
      </c>
      <c r="B60" s="107" t="s">
        <v>239</v>
      </c>
      <c r="C60" s="108">
        <v>404</v>
      </c>
      <c r="D60" s="107" t="s">
        <v>1153</v>
      </c>
      <c r="E60" s="109">
        <v>44226</v>
      </c>
      <c r="F60" s="109">
        <v>42657</v>
      </c>
      <c r="G60" s="110">
        <v>0</v>
      </c>
      <c r="H60" s="110">
        <v>0</v>
      </c>
      <c r="I60" s="110">
        <v>0</v>
      </c>
      <c r="J60" s="110">
        <v>0</v>
      </c>
      <c r="K60" s="110">
        <v>0</v>
      </c>
      <c r="L60" s="110">
        <v>0</v>
      </c>
      <c r="M60" s="110">
        <v>0</v>
      </c>
      <c r="N60" s="110">
        <v>0</v>
      </c>
      <c r="O60" s="110">
        <v>0</v>
      </c>
      <c r="P60" s="110">
        <v>124124.61</v>
      </c>
      <c r="Q60" s="110">
        <v>0</v>
      </c>
      <c r="R60" s="110">
        <v>0</v>
      </c>
      <c r="S60" s="110">
        <v>124124.61</v>
      </c>
      <c r="T60" s="110">
        <v>-124124.61</v>
      </c>
      <c r="U60" s="110">
        <v>112505.59999999999</v>
      </c>
      <c r="V60" s="110">
        <v>0</v>
      </c>
      <c r="W60" s="110">
        <v>112505.59999999999</v>
      </c>
      <c r="X60" s="111">
        <v>-236630.21</v>
      </c>
      <c r="Y60" s="72" t="str">
        <f>VLOOKUP(D60,'TKP 终端汇总'!A:A,1,0)</f>
        <v>Google</v>
      </c>
    </row>
    <row r="61" spans="1:25" x14ac:dyDescent="0.2">
      <c r="A61" s="107" t="s">
        <v>240</v>
      </c>
      <c r="B61" s="107" t="s">
        <v>241</v>
      </c>
      <c r="C61" s="108">
        <v>330</v>
      </c>
      <c r="D61" s="107" t="s">
        <v>1148</v>
      </c>
      <c r="E61" s="109">
        <v>44226</v>
      </c>
      <c r="F61" s="109">
        <v>42181</v>
      </c>
      <c r="G61" s="110">
        <v>0</v>
      </c>
      <c r="H61" s="110">
        <v>0</v>
      </c>
      <c r="I61" s="110">
        <v>0</v>
      </c>
      <c r="J61" s="110">
        <v>0</v>
      </c>
      <c r="K61" s="110">
        <v>0</v>
      </c>
      <c r="L61" s="110">
        <v>0</v>
      </c>
      <c r="M61" s="110">
        <v>0</v>
      </c>
      <c r="N61" s="110">
        <v>0</v>
      </c>
      <c r="O61" s="110">
        <v>0</v>
      </c>
      <c r="P61" s="110">
        <v>0</v>
      </c>
      <c r="Q61" s="110">
        <v>0</v>
      </c>
      <c r="R61" s="110">
        <v>0</v>
      </c>
      <c r="S61" s="110">
        <v>0</v>
      </c>
      <c r="T61" s="110">
        <v>0</v>
      </c>
      <c r="U61" s="110">
        <v>0</v>
      </c>
      <c r="V61" s="110">
        <v>0</v>
      </c>
      <c r="W61" s="110">
        <v>0</v>
      </c>
      <c r="X61" s="111">
        <v>0</v>
      </c>
      <c r="Y61" s="72" t="str">
        <f>VLOOKUP(D61,'TKP 终端汇总'!A:A,1,0)</f>
        <v>GN</v>
      </c>
    </row>
    <row r="62" spans="1:25" x14ac:dyDescent="0.2">
      <c r="A62" s="107" t="s">
        <v>242</v>
      </c>
      <c r="B62" s="107" t="s">
        <v>243</v>
      </c>
      <c r="C62" s="108">
        <v>330</v>
      </c>
      <c r="D62" s="107" t="s">
        <v>1148</v>
      </c>
      <c r="E62" s="109">
        <v>44226</v>
      </c>
      <c r="F62" s="109">
        <v>42181</v>
      </c>
      <c r="G62" s="110">
        <v>0</v>
      </c>
      <c r="H62" s="110">
        <v>1926748.6</v>
      </c>
      <c r="I62" s="110">
        <v>0</v>
      </c>
      <c r="J62" s="110">
        <v>0</v>
      </c>
      <c r="K62" s="110">
        <v>0</v>
      </c>
      <c r="L62" s="110">
        <v>0</v>
      </c>
      <c r="M62" s="110">
        <v>1926748.6</v>
      </c>
      <c r="N62" s="110">
        <v>1138252</v>
      </c>
      <c r="O62" s="110">
        <v>0</v>
      </c>
      <c r="P62" s="110">
        <v>25728.59</v>
      </c>
      <c r="Q62" s="110">
        <v>41557.25</v>
      </c>
      <c r="R62" s="110">
        <v>4489.4400000000005</v>
      </c>
      <c r="S62" s="110">
        <v>1210027.28</v>
      </c>
      <c r="T62" s="110">
        <v>716721.32</v>
      </c>
      <c r="U62" s="110">
        <v>0</v>
      </c>
      <c r="V62" s="110">
        <v>2254.94</v>
      </c>
      <c r="W62" s="110">
        <v>2254.94</v>
      </c>
      <c r="X62" s="111">
        <v>714466.38</v>
      </c>
      <c r="Y62" s="72" t="str">
        <f>VLOOKUP(D62,'TKP 终端汇总'!A:A,1,0)</f>
        <v>GN</v>
      </c>
    </row>
    <row r="63" spans="1:25" x14ac:dyDescent="0.2">
      <c r="A63" s="107" t="s">
        <v>244</v>
      </c>
      <c r="B63" s="107" t="s">
        <v>245</v>
      </c>
      <c r="C63" s="108">
        <v>437</v>
      </c>
      <c r="D63" s="107" t="s">
        <v>1150</v>
      </c>
      <c r="E63" s="109">
        <v>44226</v>
      </c>
      <c r="F63" s="109">
        <v>44175</v>
      </c>
      <c r="G63" s="110">
        <v>6970000</v>
      </c>
      <c r="H63" s="110">
        <v>0</v>
      </c>
      <c r="I63" s="110">
        <v>0</v>
      </c>
      <c r="J63" s="110">
        <v>0</v>
      </c>
      <c r="K63" s="110">
        <v>0</v>
      </c>
      <c r="L63" s="110">
        <v>0</v>
      </c>
      <c r="M63" s="110">
        <v>0</v>
      </c>
      <c r="N63" s="110">
        <v>0</v>
      </c>
      <c r="O63" s="110">
        <v>0</v>
      </c>
      <c r="P63" s="110">
        <v>25128.83</v>
      </c>
      <c r="Q63" s="110">
        <v>0</v>
      </c>
      <c r="R63" s="110">
        <v>4304.53</v>
      </c>
      <c r="S63" s="110">
        <v>29433.359999999997</v>
      </c>
      <c r="T63" s="110">
        <v>-29433.359999999997</v>
      </c>
      <c r="U63" s="110">
        <v>1803.05</v>
      </c>
      <c r="V63" s="110">
        <v>0</v>
      </c>
      <c r="W63" s="110">
        <v>1803.05</v>
      </c>
      <c r="X63" s="111">
        <v>-31236.409999999996</v>
      </c>
      <c r="Y63" s="72" t="str">
        <f>VLOOKUP(D63,'TKP 终端汇总'!A:A,1,0)</f>
        <v>FITBIT</v>
      </c>
    </row>
    <row r="64" spans="1:25" x14ac:dyDescent="0.2">
      <c r="A64" s="107" t="s">
        <v>247</v>
      </c>
      <c r="B64" s="107" t="s">
        <v>248</v>
      </c>
      <c r="C64" s="108">
        <v>437</v>
      </c>
      <c r="D64" s="107" t="s">
        <v>1150</v>
      </c>
      <c r="E64" s="109">
        <v>44384</v>
      </c>
      <c r="F64" s="109">
        <v>44426</v>
      </c>
      <c r="G64" s="110">
        <v>805290</v>
      </c>
      <c r="H64" s="110">
        <v>0</v>
      </c>
      <c r="I64" s="110">
        <v>0</v>
      </c>
      <c r="J64" s="110">
        <v>0</v>
      </c>
      <c r="K64" s="110">
        <v>0</v>
      </c>
      <c r="L64" s="110">
        <v>0</v>
      </c>
      <c r="M64" s="110">
        <v>0</v>
      </c>
      <c r="N64" s="110">
        <v>0</v>
      </c>
      <c r="O64" s="110">
        <v>0</v>
      </c>
      <c r="P64" s="110">
        <v>0</v>
      </c>
      <c r="Q64" s="110">
        <v>0</v>
      </c>
      <c r="R64" s="110">
        <v>0</v>
      </c>
      <c r="S64" s="110">
        <v>0</v>
      </c>
      <c r="T64" s="110">
        <v>0</v>
      </c>
      <c r="U64" s="110">
        <v>763.71</v>
      </c>
      <c r="V64" s="110">
        <v>0</v>
      </c>
      <c r="W64" s="110">
        <v>763.71</v>
      </c>
      <c r="X64" s="111">
        <v>-763.71</v>
      </c>
      <c r="Y64" s="72" t="str">
        <f>VLOOKUP(D64,'TKP 终端汇总'!A:A,1,0)</f>
        <v>FITBIT</v>
      </c>
    </row>
    <row r="65" spans="1:25" x14ac:dyDescent="0.2">
      <c r="A65" s="107" t="s">
        <v>251</v>
      </c>
      <c r="B65" s="107" t="s">
        <v>252</v>
      </c>
      <c r="C65" s="108">
        <v>438</v>
      </c>
      <c r="D65" s="107" t="s">
        <v>1157</v>
      </c>
      <c r="E65" s="109">
        <v>44226</v>
      </c>
      <c r="F65" s="109">
        <v>42391</v>
      </c>
      <c r="G65" s="110">
        <v>0</v>
      </c>
      <c r="H65" s="110">
        <v>0</v>
      </c>
      <c r="I65" s="110">
        <v>0</v>
      </c>
      <c r="J65" s="110">
        <v>0</v>
      </c>
      <c r="K65" s="110">
        <v>0</v>
      </c>
      <c r="L65" s="110">
        <v>0</v>
      </c>
      <c r="M65" s="110">
        <v>0</v>
      </c>
      <c r="N65" s="110">
        <v>0</v>
      </c>
      <c r="O65" s="110">
        <v>0</v>
      </c>
      <c r="P65" s="110">
        <v>0</v>
      </c>
      <c r="Q65" s="110">
        <v>0</v>
      </c>
      <c r="R65" s="110">
        <v>0</v>
      </c>
      <c r="S65" s="110">
        <v>0</v>
      </c>
      <c r="T65" s="110">
        <v>0</v>
      </c>
      <c r="U65" s="110">
        <v>0</v>
      </c>
      <c r="V65" s="110">
        <v>0</v>
      </c>
      <c r="W65" s="110">
        <v>0</v>
      </c>
      <c r="X65" s="111">
        <v>0</v>
      </c>
      <c r="Y65" s="72" t="str">
        <f>VLOOKUP(D65,'TKP 终端汇总'!A:A,1,0)</f>
        <v>PHILIPS</v>
      </c>
    </row>
    <row r="66" spans="1:25" x14ac:dyDescent="0.2">
      <c r="A66" s="107" t="s">
        <v>255</v>
      </c>
      <c r="B66" s="107" t="s">
        <v>256</v>
      </c>
      <c r="C66" s="108">
        <v>440</v>
      </c>
      <c r="D66" s="107" t="s">
        <v>1161</v>
      </c>
      <c r="E66" s="109">
        <v>44228</v>
      </c>
      <c r="F66" s="109">
        <v>44313</v>
      </c>
      <c r="G66" s="110">
        <v>0</v>
      </c>
      <c r="H66" s="110">
        <v>0</v>
      </c>
      <c r="I66" s="110">
        <v>0</v>
      </c>
      <c r="J66" s="110">
        <v>0</v>
      </c>
      <c r="K66" s="110">
        <v>0</v>
      </c>
      <c r="L66" s="110">
        <v>0</v>
      </c>
      <c r="M66" s="110">
        <v>0</v>
      </c>
      <c r="N66" s="110">
        <v>0</v>
      </c>
      <c r="O66" s="110">
        <v>0</v>
      </c>
      <c r="P66" s="110">
        <v>0</v>
      </c>
      <c r="Q66" s="110">
        <v>0</v>
      </c>
      <c r="R66" s="110">
        <v>0</v>
      </c>
      <c r="S66" s="110">
        <v>0</v>
      </c>
      <c r="T66" s="110">
        <v>0</v>
      </c>
      <c r="U66" s="110">
        <v>0</v>
      </c>
      <c r="V66" s="110">
        <v>0</v>
      </c>
      <c r="W66" s="110">
        <v>0</v>
      </c>
      <c r="X66" s="111">
        <v>0</v>
      </c>
      <c r="Y66" s="72" t="str">
        <f>VLOOKUP(D66,'TKP 终端汇总'!A:A,1,0)</f>
        <v>OTTERBOX</v>
      </c>
    </row>
    <row r="67" spans="1:25" x14ac:dyDescent="0.2">
      <c r="A67" s="107" t="s">
        <v>265</v>
      </c>
      <c r="B67" s="107" t="s">
        <v>266</v>
      </c>
      <c r="C67" s="108">
        <v>781</v>
      </c>
      <c r="D67" s="107" t="s">
        <v>1170</v>
      </c>
      <c r="E67" s="109">
        <v>44347</v>
      </c>
      <c r="F67" s="109">
        <v>44357</v>
      </c>
      <c r="G67" s="110">
        <v>0</v>
      </c>
      <c r="H67" s="110">
        <v>0</v>
      </c>
      <c r="I67" s="110">
        <v>0</v>
      </c>
      <c r="J67" s="110">
        <v>0</v>
      </c>
      <c r="K67" s="110">
        <v>0</v>
      </c>
      <c r="L67" s="110">
        <v>0</v>
      </c>
      <c r="M67" s="110">
        <v>0</v>
      </c>
      <c r="N67" s="110">
        <v>0</v>
      </c>
      <c r="O67" s="110">
        <v>0</v>
      </c>
      <c r="P67" s="110">
        <v>0</v>
      </c>
      <c r="Q67" s="110">
        <v>0</v>
      </c>
      <c r="R67" s="110">
        <v>0</v>
      </c>
      <c r="S67" s="110">
        <v>0</v>
      </c>
      <c r="T67" s="110">
        <v>0</v>
      </c>
      <c r="U67" s="110">
        <v>0</v>
      </c>
      <c r="V67" s="110">
        <v>0</v>
      </c>
      <c r="W67" s="110">
        <v>0</v>
      </c>
      <c r="X67" s="111">
        <v>0</v>
      </c>
      <c r="Y67" s="72" t="str">
        <f>VLOOKUP(D67,'TKP 终端汇总'!A:A,1,0)</f>
        <v>ECOBEE</v>
      </c>
    </row>
    <row r="68" spans="1:25" x14ac:dyDescent="0.2">
      <c r="A68" s="107" t="s">
        <v>270</v>
      </c>
      <c r="B68" s="107" t="s">
        <v>271</v>
      </c>
      <c r="C68" s="108">
        <v>802</v>
      </c>
      <c r="D68" s="107" t="s">
        <v>1181</v>
      </c>
      <c r="E68" s="109">
        <v>44226</v>
      </c>
      <c r="F68" s="109">
        <v>44226</v>
      </c>
      <c r="G68" s="110">
        <v>5505528.5999999996</v>
      </c>
      <c r="H68" s="110">
        <v>0</v>
      </c>
      <c r="I68" s="110">
        <v>0</v>
      </c>
      <c r="J68" s="110">
        <v>0</v>
      </c>
      <c r="K68" s="110">
        <v>0</v>
      </c>
      <c r="L68" s="110">
        <v>0</v>
      </c>
      <c r="M68" s="110">
        <v>0</v>
      </c>
      <c r="N68" s="110">
        <v>0</v>
      </c>
      <c r="O68" s="110">
        <v>0</v>
      </c>
      <c r="P68" s="110">
        <v>38494.93</v>
      </c>
      <c r="Q68" s="110">
        <v>0</v>
      </c>
      <c r="R68" s="110">
        <v>0</v>
      </c>
      <c r="S68" s="110">
        <v>38494.93</v>
      </c>
      <c r="T68" s="110">
        <v>-38494.93</v>
      </c>
      <c r="U68" s="110">
        <v>0</v>
      </c>
      <c r="V68" s="110">
        <v>0</v>
      </c>
      <c r="W68" s="110">
        <v>0</v>
      </c>
      <c r="X68" s="111">
        <v>-38494.93</v>
      </c>
      <c r="Y68" s="72" t="str">
        <f>VLOOKUP(D68,'TKP 终端汇总'!A:A,1,0)</f>
        <v>Verifone</v>
      </c>
    </row>
    <row r="69" spans="1:25" x14ac:dyDescent="0.2">
      <c r="A69" s="107" t="s">
        <v>287</v>
      </c>
      <c r="B69" s="107" t="s">
        <v>288</v>
      </c>
      <c r="C69" s="108" t="s">
        <v>285</v>
      </c>
      <c r="D69" s="107" t="s">
        <v>1223</v>
      </c>
      <c r="E69" s="109">
        <v>44392</v>
      </c>
      <c r="F69" s="109">
        <v>44407</v>
      </c>
      <c r="G69" s="110">
        <v>8698360</v>
      </c>
      <c r="H69" s="110">
        <v>0</v>
      </c>
      <c r="I69" s="110">
        <v>0</v>
      </c>
      <c r="J69" s="110">
        <v>0</v>
      </c>
      <c r="K69" s="110">
        <v>0</v>
      </c>
      <c r="L69" s="110">
        <v>0</v>
      </c>
      <c r="M69" s="110">
        <v>0</v>
      </c>
      <c r="N69" s="110">
        <v>0</v>
      </c>
      <c r="O69" s="110">
        <v>0</v>
      </c>
      <c r="P69" s="110">
        <v>0</v>
      </c>
      <c r="Q69" s="110">
        <v>0</v>
      </c>
      <c r="R69" s="110">
        <v>0</v>
      </c>
      <c r="S69" s="110">
        <v>0</v>
      </c>
      <c r="T69" s="110">
        <v>0</v>
      </c>
      <c r="U69" s="110">
        <v>802.91</v>
      </c>
      <c r="V69" s="110">
        <v>10541.28</v>
      </c>
      <c r="W69" s="110">
        <v>11344.19</v>
      </c>
      <c r="X69" s="111">
        <v>-11344.19</v>
      </c>
      <c r="Y69" s="72" t="str">
        <f>VLOOKUP(D69,'TKP 终端汇总'!A:A,1,0)</f>
        <v>佛吉亚</v>
      </c>
    </row>
    <row r="70" spans="1:25" x14ac:dyDescent="0.2">
      <c r="A70" s="107" t="s">
        <v>297</v>
      </c>
      <c r="B70" s="107" t="s">
        <v>298</v>
      </c>
      <c r="C70" s="108" t="s">
        <v>5</v>
      </c>
      <c r="D70" s="107" t="s">
        <v>1162</v>
      </c>
      <c r="E70" s="109">
        <v>44264</v>
      </c>
      <c r="F70" s="109">
        <v>44288</v>
      </c>
      <c r="G70" s="110">
        <v>11536522.800000001</v>
      </c>
      <c r="H70" s="110">
        <v>0</v>
      </c>
      <c r="I70" s="110">
        <v>0</v>
      </c>
      <c r="J70" s="110">
        <v>2755.7000000000021</v>
      </c>
      <c r="K70" s="110">
        <v>0</v>
      </c>
      <c r="L70" s="110">
        <v>0</v>
      </c>
      <c r="M70" s="110">
        <v>2755.7000000000021</v>
      </c>
      <c r="N70" s="110">
        <v>0</v>
      </c>
      <c r="O70" s="110">
        <v>0</v>
      </c>
      <c r="P70" s="110">
        <v>6022.6200000000008</v>
      </c>
      <c r="Q70" s="110">
        <v>9070.4599999999991</v>
      </c>
      <c r="R70" s="110">
        <v>0</v>
      </c>
      <c r="S70" s="110">
        <v>15093.08</v>
      </c>
      <c r="T70" s="110">
        <v>-12337.379999999997</v>
      </c>
      <c r="U70" s="110">
        <v>0</v>
      </c>
      <c r="V70" s="110">
        <v>17481.009999999998</v>
      </c>
      <c r="W70" s="110">
        <v>17481.009999999998</v>
      </c>
      <c r="X70" s="111">
        <v>-29818.389999999996</v>
      </c>
      <c r="Y70" s="72" t="str">
        <f>VLOOKUP(D70,'TKP 终端汇总'!A:A,1,0)</f>
        <v xml:space="preserve">August </v>
      </c>
    </row>
    <row r="71" spans="1:25" x14ac:dyDescent="0.2">
      <c r="A71" s="107" t="s">
        <v>315</v>
      </c>
      <c r="B71" s="107" t="s">
        <v>316</v>
      </c>
      <c r="C71" s="108">
        <v>404</v>
      </c>
      <c r="D71" s="107" t="s">
        <v>1153</v>
      </c>
      <c r="E71" s="109">
        <v>44334</v>
      </c>
      <c r="F71" s="109">
        <v>43328</v>
      </c>
      <c r="G71" s="110">
        <v>67325484</v>
      </c>
      <c r="H71" s="110">
        <v>3424206.2</v>
      </c>
      <c r="I71" s="110">
        <v>0</v>
      </c>
      <c r="J71" s="110">
        <v>150826.54999999999</v>
      </c>
      <c r="K71" s="110">
        <v>384922</v>
      </c>
      <c r="L71" s="110">
        <v>0</v>
      </c>
      <c r="M71" s="110">
        <v>3959954.75</v>
      </c>
      <c r="N71" s="110">
        <v>3360312.1300000004</v>
      </c>
      <c r="O71" s="110">
        <v>0</v>
      </c>
      <c r="P71" s="110">
        <v>39847.119999999995</v>
      </c>
      <c r="Q71" s="110">
        <v>142087.84</v>
      </c>
      <c r="R71" s="110">
        <v>279059.81</v>
      </c>
      <c r="S71" s="110">
        <v>3821306.9</v>
      </c>
      <c r="T71" s="110">
        <v>138647.85000000024</v>
      </c>
      <c r="U71" s="110">
        <v>169919.18</v>
      </c>
      <c r="V71" s="110">
        <v>81626.299999999988</v>
      </c>
      <c r="W71" s="110">
        <v>251545.48</v>
      </c>
      <c r="X71" s="111">
        <v>-112897.62999999977</v>
      </c>
      <c r="Y71" s="72" t="str">
        <f>VLOOKUP(D71,'TKP 终端汇总'!A:A,1,0)</f>
        <v>Google</v>
      </c>
    </row>
    <row r="72" spans="1:25" x14ac:dyDescent="0.2">
      <c r="A72" s="107" t="s">
        <v>317</v>
      </c>
      <c r="B72" s="107" t="s">
        <v>318</v>
      </c>
      <c r="C72" s="108" t="s">
        <v>281</v>
      </c>
      <c r="D72" s="107" t="s">
        <v>1164</v>
      </c>
      <c r="E72" s="109">
        <v>44226</v>
      </c>
      <c r="F72" s="109">
        <v>44238</v>
      </c>
      <c r="G72" s="110">
        <v>175000</v>
      </c>
      <c r="H72" s="110">
        <v>0</v>
      </c>
      <c r="I72" s="110">
        <v>0</v>
      </c>
      <c r="J72" s="110">
        <v>0</v>
      </c>
      <c r="K72" s="110">
        <v>0</v>
      </c>
      <c r="L72" s="110">
        <v>0</v>
      </c>
      <c r="M72" s="110">
        <v>0</v>
      </c>
      <c r="N72" s="110">
        <v>0</v>
      </c>
      <c r="O72" s="110">
        <v>0</v>
      </c>
      <c r="P72" s="110">
        <v>0</v>
      </c>
      <c r="Q72" s="110">
        <v>0</v>
      </c>
      <c r="R72" s="110">
        <v>0</v>
      </c>
      <c r="S72" s="110">
        <v>0</v>
      </c>
      <c r="T72" s="110">
        <v>0</v>
      </c>
      <c r="U72" s="110">
        <v>0</v>
      </c>
      <c r="V72" s="110">
        <v>1098.26</v>
      </c>
      <c r="W72" s="110">
        <v>1098.26</v>
      </c>
      <c r="X72" s="111">
        <v>-1098.26</v>
      </c>
      <c r="Y72" s="72" t="str">
        <f>VLOOKUP(D72,'TKP 终端汇总'!A:A,1,0)</f>
        <v>歌尔</v>
      </c>
    </row>
    <row r="73" spans="1:25" x14ac:dyDescent="0.2">
      <c r="A73" s="107" t="s">
        <v>319</v>
      </c>
      <c r="B73" s="107" t="s">
        <v>320</v>
      </c>
      <c r="C73" s="108" t="s">
        <v>321</v>
      </c>
      <c r="D73" s="107" t="s">
        <v>1225</v>
      </c>
      <c r="E73" s="109">
        <v>44226</v>
      </c>
      <c r="F73" s="109">
        <v>43969</v>
      </c>
      <c r="G73" s="110">
        <v>7800000</v>
      </c>
      <c r="H73" s="110">
        <v>0</v>
      </c>
      <c r="I73" s="110">
        <v>0</v>
      </c>
      <c r="J73" s="110">
        <v>0</v>
      </c>
      <c r="K73" s="110">
        <v>0</v>
      </c>
      <c r="L73" s="110">
        <v>0</v>
      </c>
      <c r="M73" s="110">
        <v>0</v>
      </c>
      <c r="N73" s="110">
        <v>0</v>
      </c>
      <c r="O73" s="110">
        <v>0</v>
      </c>
      <c r="P73" s="110">
        <v>3169.4900000000002</v>
      </c>
      <c r="Q73" s="110">
        <v>0</v>
      </c>
      <c r="R73" s="110">
        <v>0</v>
      </c>
      <c r="S73" s="110">
        <v>3169.4900000000002</v>
      </c>
      <c r="T73" s="110">
        <v>-3169.4900000000002</v>
      </c>
      <c r="U73" s="110">
        <v>0</v>
      </c>
      <c r="V73" s="110">
        <v>0</v>
      </c>
      <c r="W73" s="110">
        <v>0</v>
      </c>
      <c r="X73" s="111">
        <v>-3169.4900000000002</v>
      </c>
      <c r="Y73" s="72" t="str">
        <f>VLOOKUP(D73,'TKP 终端汇总'!A:A,1,0)</f>
        <v>Pax Labs</v>
      </c>
    </row>
    <row r="74" spans="1:25" x14ac:dyDescent="0.2">
      <c r="A74" s="107" t="s">
        <v>323</v>
      </c>
      <c r="B74" s="107" t="s">
        <v>324</v>
      </c>
      <c r="C74" s="108" t="s">
        <v>62</v>
      </c>
      <c r="D74" s="107" t="s">
        <v>1152</v>
      </c>
      <c r="E74" s="109">
        <v>44226</v>
      </c>
      <c r="F74" s="109">
        <v>44344</v>
      </c>
      <c r="G74" s="110">
        <v>4125000</v>
      </c>
      <c r="H74" s="110">
        <v>0</v>
      </c>
      <c r="I74" s="110">
        <v>0</v>
      </c>
      <c r="J74" s="110">
        <v>0</v>
      </c>
      <c r="K74" s="110">
        <v>0</v>
      </c>
      <c r="L74" s="110">
        <v>0</v>
      </c>
      <c r="M74" s="110">
        <v>0</v>
      </c>
      <c r="N74" s="110">
        <v>180377.83</v>
      </c>
      <c r="O74" s="110">
        <v>0</v>
      </c>
      <c r="P74" s="110">
        <v>3246.8399999999997</v>
      </c>
      <c r="Q74" s="110">
        <v>0</v>
      </c>
      <c r="R74" s="110">
        <v>0</v>
      </c>
      <c r="S74" s="110">
        <v>183624.67</v>
      </c>
      <c r="T74" s="110">
        <v>-183624.67</v>
      </c>
      <c r="U74" s="110">
        <v>0</v>
      </c>
      <c r="V74" s="110">
        <v>4121.1499999999996</v>
      </c>
      <c r="W74" s="110">
        <v>4121.1499999999996</v>
      </c>
      <c r="X74" s="111">
        <v>-187745.82</v>
      </c>
      <c r="Y74" s="72" t="str">
        <f>VLOOKUP(D74,'TKP 终端汇总'!A:A,1,0)</f>
        <v>BAT</v>
      </c>
    </row>
    <row r="75" spans="1:25" x14ac:dyDescent="0.2">
      <c r="A75" s="107" t="s">
        <v>331</v>
      </c>
      <c r="B75" s="107" t="s">
        <v>332</v>
      </c>
      <c r="C75" s="108">
        <v>437</v>
      </c>
      <c r="D75" s="107" t="s">
        <v>1150</v>
      </c>
      <c r="E75" s="109">
        <v>44488</v>
      </c>
      <c r="F75" s="109">
        <v>44774</v>
      </c>
      <c r="G75" s="110">
        <v>1460200</v>
      </c>
      <c r="H75" s="110">
        <v>33076.589999999997</v>
      </c>
      <c r="I75" s="110">
        <v>0</v>
      </c>
      <c r="J75" s="110">
        <v>0</v>
      </c>
      <c r="K75" s="110">
        <v>0</v>
      </c>
      <c r="L75" s="110">
        <v>0</v>
      </c>
      <c r="M75" s="110">
        <v>33076.589999999997</v>
      </c>
      <c r="N75" s="110">
        <v>0</v>
      </c>
      <c r="O75" s="110">
        <v>0</v>
      </c>
      <c r="P75" s="110">
        <v>0</v>
      </c>
      <c r="Q75" s="110">
        <v>0</v>
      </c>
      <c r="R75" s="110">
        <v>0</v>
      </c>
      <c r="S75" s="110">
        <v>0</v>
      </c>
      <c r="T75" s="110">
        <v>33076.589999999997</v>
      </c>
      <c r="U75" s="110">
        <v>0</v>
      </c>
      <c r="V75" s="110">
        <v>2663.46</v>
      </c>
      <c r="W75" s="110">
        <v>2663.46</v>
      </c>
      <c r="X75" s="111">
        <v>30413.129999999997</v>
      </c>
      <c r="Y75" s="72" t="str">
        <f>VLOOKUP(D75,'TKP 终端汇总'!A:A,1,0)</f>
        <v>FITBIT</v>
      </c>
    </row>
    <row r="76" spans="1:25" x14ac:dyDescent="0.2">
      <c r="A76" s="107" t="s">
        <v>333</v>
      </c>
      <c r="B76" s="107" t="s">
        <v>334</v>
      </c>
      <c r="C76" s="108" t="s">
        <v>62</v>
      </c>
      <c r="D76" s="107" t="s">
        <v>1152</v>
      </c>
      <c r="E76" s="109">
        <v>44588</v>
      </c>
      <c r="F76" s="109">
        <v>44791</v>
      </c>
      <c r="G76" s="110">
        <v>32574420</v>
      </c>
      <c r="H76" s="110">
        <v>47905.55</v>
      </c>
      <c r="I76" s="110">
        <v>0</v>
      </c>
      <c r="J76" s="110">
        <v>0</v>
      </c>
      <c r="K76" s="110">
        <v>0</v>
      </c>
      <c r="L76" s="110">
        <v>0</v>
      </c>
      <c r="M76" s="110">
        <v>47905.55</v>
      </c>
      <c r="N76" s="110">
        <v>2230150.98</v>
      </c>
      <c r="O76" s="110">
        <v>0</v>
      </c>
      <c r="P76" s="110">
        <v>117430.35999999999</v>
      </c>
      <c r="Q76" s="110">
        <v>0</v>
      </c>
      <c r="R76" s="110">
        <v>0</v>
      </c>
      <c r="S76" s="110">
        <v>2347581.34</v>
      </c>
      <c r="T76" s="110">
        <v>-2299675.79</v>
      </c>
      <c r="U76" s="110">
        <v>0</v>
      </c>
      <c r="V76" s="110">
        <v>0</v>
      </c>
      <c r="W76" s="110">
        <v>0</v>
      </c>
      <c r="X76" s="111">
        <v>-2299675.79</v>
      </c>
      <c r="Y76" s="72" t="str">
        <f>VLOOKUP(D76,'TKP 终端汇总'!A:A,1,0)</f>
        <v>BAT</v>
      </c>
    </row>
    <row r="77" spans="1:25" x14ac:dyDescent="0.2">
      <c r="A77" s="107" t="s">
        <v>337</v>
      </c>
      <c r="B77" s="107" t="s">
        <v>338</v>
      </c>
      <c r="C77" s="108" t="s">
        <v>39</v>
      </c>
      <c r="D77" s="107" t="s">
        <v>1174</v>
      </c>
      <c r="E77" s="109">
        <v>44226</v>
      </c>
      <c r="F77" s="109">
        <v>44362</v>
      </c>
      <c r="G77" s="110">
        <v>0</v>
      </c>
      <c r="H77" s="110">
        <v>82005</v>
      </c>
      <c r="I77" s="110">
        <v>0</v>
      </c>
      <c r="J77" s="110">
        <v>0</v>
      </c>
      <c r="K77" s="110">
        <v>0</v>
      </c>
      <c r="L77" s="110">
        <v>0</v>
      </c>
      <c r="M77" s="110">
        <v>82005</v>
      </c>
      <c r="N77" s="110">
        <v>50929.01</v>
      </c>
      <c r="O77" s="110">
        <v>0</v>
      </c>
      <c r="P77" s="110">
        <v>13594.86</v>
      </c>
      <c r="Q77" s="110">
        <v>0</v>
      </c>
      <c r="R77" s="110">
        <v>0</v>
      </c>
      <c r="S77" s="110">
        <v>64523.87000000001</v>
      </c>
      <c r="T77" s="110">
        <v>17481.129999999994</v>
      </c>
      <c r="U77" s="110">
        <v>0</v>
      </c>
      <c r="V77" s="110">
        <v>17586.16</v>
      </c>
      <c r="W77" s="110">
        <v>17586.16</v>
      </c>
      <c r="X77" s="111">
        <v>-105.03000000000611</v>
      </c>
      <c r="Y77" s="72" t="str">
        <f>VLOOKUP(D77,'TKP 终端汇总'!A:A,1,0)</f>
        <v>Lifescan</v>
      </c>
    </row>
    <row r="78" spans="1:25" x14ac:dyDescent="0.2">
      <c r="A78" s="107" t="s">
        <v>339</v>
      </c>
      <c r="B78" s="107" t="s">
        <v>340</v>
      </c>
      <c r="C78" s="108" t="s">
        <v>341</v>
      </c>
      <c r="D78" s="107" t="s">
        <v>1196</v>
      </c>
      <c r="E78" s="109">
        <v>44226</v>
      </c>
      <c r="F78" s="109">
        <v>43950</v>
      </c>
      <c r="G78" s="110">
        <v>0</v>
      </c>
      <c r="H78" s="110">
        <v>0</v>
      </c>
      <c r="I78" s="110">
        <v>0</v>
      </c>
      <c r="J78" s="110">
        <v>0</v>
      </c>
      <c r="K78" s="110">
        <v>0</v>
      </c>
      <c r="L78" s="110">
        <v>0</v>
      </c>
      <c r="M78" s="110">
        <v>0</v>
      </c>
      <c r="N78" s="110">
        <v>53159.13</v>
      </c>
      <c r="O78" s="110">
        <v>0</v>
      </c>
      <c r="P78" s="110">
        <v>0</v>
      </c>
      <c r="Q78" s="110">
        <v>0</v>
      </c>
      <c r="R78" s="110">
        <v>0</v>
      </c>
      <c r="S78" s="110">
        <v>53159.13</v>
      </c>
      <c r="T78" s="110">
        <v>-53159.13</v>
      </c>
      <c r="U78" s="110">
        <v>0</v>
      </c>
      <c r="V78" s="110">
        <v>0</v>
      </c>
      <c r="W78" s="110">
        <v>0</v>
      </c>
      <c r="X78" s="111">
        <v>-53159.13</v>
      </c>
      <c r="Y78" s="72" t="str">
        <f>VLOOKUP(D78,'TKP 终端汇总'!A:A,1,0)</f>
        <v>喜利得</v>
      </c>
    </row>
    <row r="79" spans="1:25" x14ac:dyDescent="0.2">
      <c r="A79" s="107" t="s">
        <v>345</v>
      </c>
      <c r="B79" s="107" t="s">
        <v>346</v>
      </c>
      <c r="C79" s="108" t="s">
        <v>56</v>
      </c>
      <c r="D79" s="107" t="s">
        <v>1151</v>
      </c>
      <c r="E79" s="109">
        <v>44226</v>
      </c>
      <c r="F79" s="109">
        <v>44208</v>
      </c>
      <c r="G79" s="110">
        <v>0</v>
      </c>
      <c r="H79" s="110">
        <v>0</v>
      </c>
      <c r="I79" s="110">
        <v>0</v>
      </c>
      <c r="J79" s="110">
        <v>0</v>
      </c>
      <c r="K79" s="110">
        <v>0</v>
      </c>
      <c r="L79" s="110">
        <v>0</v>
      </c>
      <c r="M79" s="110">
        <v>0</v>
      </c>
      <c r="N79" s="110">
        <v>90423.05</v>
      </c>
      <c r="O79" s="110">
        <v>0</v>
      </c>
      <c r="P79" s="110">
        <v>55725.33</v>
      </c>
      <c r="Q79" s="110">
        <v>0</v>
      </c>
      <c r="R79" s="110">
        <v>0</v>
      </c>
      <c r="S79" s="110">
        <v>146148.38</v>
      </c>
      <c r="T79" s="110">
        <v>-146148.38</v>
      </c>
      <c r="U79" s="110">
        <v>0</v>
      </c>
      <c r="V79" s="110">
        <v>0</v>
      </c>
      <c r="W79" s="110">
        <v>0</v>
      </c>
      <c r="X79" s="111">
        <v>-146148.38</v>
      </c>
      <c r="Y79" s="72" t="str">
        <f>VLOOKUP(D79,'TKP 终端汇总'!A:A,1,0)</f>
        <v>合元</v>
      </c>
    </row>
    <row r="80" spans="1:25" x14ac:dyDescent="0.2">
      <c r="A80" s="107" t="s">
        <v>349</v>
      </c>
      <c r="B80" s="107" t="s">
        <v>298</v>
      </c>
      <c r="C80" s="108" t="s">
        <v>56</v>
      </c>
      <c r="D80" s="107" t="s">
        <v>1151</v>
      </c>
      <c r="E80" s="109">
        <v>44226</v>
      </c>
      <c r="F80" s="109">
        <v>44006</v>
      </c>
      <c r="G80" s="110">
        <v>0</v>
      </c>
      <c r="H80" s="110">
        <v>0</v>
      </c>
      <c r="I80" s="110">
        <v>0</v>
      </c>
      <c r="J80" s="110">
        <v>0</v>
      </c>
      <c r="K80" s="110">
        <v>0</v>
      </c>
      <c r="L80" s="110">
        <v>0</v>
      </c>
      <c r="M80" s="110">
        <v>0</v>
      </c>
      <c r="N80" s="110">
        <v>0</v>
      </c>
      <c r="O80" s="110">
        <v>0</v>
      </c>
      <c r="P80" s="110">
        <v>5798.75</v>
      </c>
      <c r="Q80" s="110">
        <v>0</v>
      </c>
      <c r="R80" s="110">
        <v>0</v>
      </c>
      <c r="S80" s="110">
        <v>5798.75</v>
      </c>
      <c r="T80" s="110">
        <v>-5798.75</v>
      </c>
      <c r="U80" s="110">
        <v>0</v>
      </c>
      <c r="V80" s="110">
        <v>0</v>
      </c>
      <c r="W80" s="110">
        <v>0</v>
      </c>
      <c r="X80" s="111">
        <v>-5798.75</v>
      </c>
      <c r="Y80" s="72" t="str">
        <f>VLOOKUP(D80,'TKP 终端汇总'!A:A,1,0)</f>
        <v>合元</v>
      </c>
    </row>
    <row r="81" spans="1:25" x14ac:dyDescent="0.2">
      <c r="A81" s="107" t="s">
        <v>350</v>
      </c>
      <c r="B81" s="107" t="s">
        <v>351</v>
      </c>
      <c r="C81" s="108">
        <v>802</v>
      </c>
      <c r="D81" s="107" t="s">
        <v>1181</v>
      </c>
      <c r="E81" s="109">
        <v>44226</v>
      </c>
      <c r="F81" s="109">
        <v>43959</v>
      </c>
      <c r="G81" s="110">
        <v>0</v>
      </c>
      <c r="H81" s="110">
        <v>0</v>
      </c>
      <c r="I81" s="110">
        <v>0</v>
      </c>
      <c r="J81" s="110">
        <v>0</v>
      </c>
      <c r="K81" s="110">
        <v>0</v>
      </c>
      <c r="L81" s="110">
        <v>0</v>
      </c>
      <c r="M81" s="110">
        <v>0</v>
      </c>
      <c r="N81" s="110">
        <v>0</v>
      </c>
      <c r="O81" s="110">
        <v>0</v>
      </c>
      <c r="P81" s="110">
        <v>0</v>
      </c>
      <c r="Q81" s="110">
        <v>0</v>
      </c>
      <c r="R81" s="110">
        <v>0</v>
      </c>
      <c r="S81" s="110">
        <v>0</v>
      </c>
      <c r="T81" s="110">
        <v>0</v>
      </c>
      <c r="U81" s="110">
        <v>0</v>
      </c>
      <c r="V81" s="110">
        <v>0</v>
      </c>
      <c r="W81" s="110">
        <v>0</v>
      </c>
      <c r="X81" s="111">
        <v>0</v>
      </c>
      <c r="Y81" s="72" t="str">
        <f>VLOOKUP(D81,'TKP 终端汇总'!A:A,1,0)</f>
        <v>Verifone</v>
      </c>
    </row>
    <row r="82" spans="1:25" x14ac:dyDescent="0.2">
      <c r="A82" s="107" t="s">
        <v>355</v>
      </c>
      <c r="B82" s="107" t="s">
        <v>356</v>
      </c>
      <c r="C82" s="108">
        <v>781</v>
      </c>
      <c r="D82" s="107" t="s">
        <v>1170</v>
      </c>
      <c r="E82" s="109">
        <v>44226</v>
      </c>
      <c r="F82" s="109">
        <v>43696</v>
      </c>
      <c r="G82" s="110">
        <v>0</v>
      </c>
      <c r="H82" s="110">
        <v>0</v>
      </c>
      <c r="I82" s="110">
        <v>0</v>
      </c>
      <c r="J82" s="110">
        <v>0</v>
      </c>
      <c r="K82" s="110">
        <v>0</v>
      </c>
      <c r="L82" s="110">
        <v>0</v>
      </c>
      <c r="M82" s="110">
        <v>0</v>
      </c>
      <c r="N82" s="110">
        <v>0</v>
      </c>
      <c r="O82" s="110">
        <v>0</v>
      </c>
      <c r="P82" s="110">
        <v>0</v>
      </c>
      <c r="Q82" s="110">
        <v>0</v>
      </c>
      <c r="R82" s="110">
        <v>0</v>
      </c>
      <c r="S82" s="110">
        <v>0</v>
      </c>
      <c r="T82" s="110">
        <v>0</v>
      </c>
      <c r="U82" s="110">
        <v>3886.75</v>
      </c>
      <c r="V82" s="110">
        <v>2045.97</v>
      </c>
      <c r="W82" s="110">
        <v>5932.72</v>
      </c>
      <c r="X82" s="111">
        <v>-5932.72</v>
      </c>
      <c r="Y82" s="72" t="str">
        <f>VLOOKUP(D82,'TKP 终端汇总'!A:A,1,0)</f>
        <v>ECOBEE</v>
      </c>
    </row>
    <row r="83" spans="1:25" x14ac:dyDescent="0.2">
      <c r="A83" s="107" t="s">
        <v>360</v>
      </c>
      <c r="B83" s="107" t="s">
        <v>361</v>
      </c>
      <c r="C83" s="108">
        <v>460</v>
      </c>
      <c r="D83" s="107" t="s">
        <v>1171</v>
      </c>
      <c r="E83" s="109">
        <v>44226</v>
      </c>
      <c r="F83" s="109">
        <v>44382</v>
      </c>
      <c r="G83" s="110">
        <v>26098355.579999998</v>
      </c>
      <c r="H83" s="110">
        <v>0</v>
      </c>
      <c r="I83" s="110">
        <v>0</v>
      </c>
      <c r="J83" s="110">
        <v>0</v>
      </c>
      <c r="K83" s="110">
        <v>0</v>
      </c>
      <c r="L83" s="110">
        <v>0</v>
      </c>
      <c r="M83" s="110">
        <v>0</v>
      </c>
      <c r="N83" s="110">
        <v>0</v>
      </c>
      <c r="O83" s="110">
        <v>0</v>
      </c>
      <c r="P83" s="110">
        <v>30702.01</v>
      </c>
      <c r="Q83" s="110">
        <v>8087.4400000000005</v>
      </c>
      <c r="R83" s="110">
        <v>0</v>
      </c>
      <c r="S83" s="110">
        <v>38789.449999999997</v>
      </c>
      <c r="T83" s="110">
        <v>-38789.449999999997</v>
      </c>
      <c r="U83" s="110">
        <v>0</v>
      </c>
      <c r="V83" s="110">
        <v>-2747.83</v>
      </c>
      <c r="W83" s="110">
        <v>-2747.83</v>
      </c>
      <c r="X83" s="111">
        <v>-36041.619999999995</v>
      </c>
      <c r="Y83" s="72" t="str">
        <f>VLOOKUP(D83,'TKP 终端汇总'!A:A,1,0)</f>
        <v>AMAZON</v>
      </c>
    </row>
    <row r="84" spans="1:25" x14ac:dyDescent="0.2">
      <c r="A84" s="107" t="s">
        <v>362</v>
      </c>
      <c r="B84" s="107" t="s">
        <v>363</v>
      </c>
      <c r="C84" s="108">
        <v>460</v>
      </c>
      <c r="D84" s="107" t="s">
        <v>1171</v>
      </c>
      <c r="E84" s="109">
        <v>44226</v>
      </c>
      <c r="F84" s="109">
        <v>44127</v>
      </c>
      <c r="G84" s="110">
        <v>0</v>
      </c>
      <c r="H84" s="110">
        <v>0</v>
      </c>
      <c r="I84" s="110">
        <v>0</v>
      </c>
      <c r="J84" s="110">
        <v>0</v>
      </c>
      <c r="K84" s="110">
        <v>0</v>
      </c>
      <c r="L84" s="110">
        <v>0</v>
      </c>
      <c r="M84" s="110">
        <v>0</v>
      </c>
      <c r="N84" s="110">
        <v>0</v>
      </c>
      <c r="O84" s="110">
        <v>0</v>
      </c>
      <c r="P84" s="110">
        <v>8541.8700000000008</v>
      </c>
      <c r="Q84" s="110">
        <v>463.91</v>
      </c>
      <c r="R84" s="110">
        <v>0</v>
      </c>
      <c r="S84" s="110">
        <v>9005.7800000000007</v>
      </c>
      <c r="T84" s="110">
        <v>-9005.7800000000007</v>
      </c>
      <c r="U84" s="110">
        <v>1092.1199999999999</v>
      </c>
      <c r="V84" s="110">
        <v>6587.9500000000007</v>
      </c>
      <c r="W84" s="110">
        <v>7680.07</v>
      </c>
      <c r="X84" s="111">
        <v>-16685.849999999999</v>
      </c>
      <c r="Y84" s="72" t="str">
        <f>VLOOKUP(D84,'TKP 终端汇总'!A:A,1,0)</f>
        <v>AMAZON</v>
      </c>
    </row>
    <row r="85" spans="1:25" x14ac:dyDescent="0.2">
      <c r="A85" s="107" t="s">
        <v>366</v>
      </c>
      <c r="B85" s="107" t="s">
        <v>367</v>
      </c>
      <c r="C85" s="108">
        <v>440</v>
      </c>
      <c r="D85" s="107" t="s">
        <v>1161</v>
      </c>
      <c r="E85" s="109">
        <v>44226</v>
      </c>
      <c r="F85" s="109">
        <v>44336</v>
      </c>
      <c r="G85" s="110">
        <v>0</v>
      </c>
      <c r="H85" s="110">
        <v>0</v>
      </c>
      <c r="I85" s="110">
        <v>0</v>
      </c>
      <c r="J85" s="110">
        <v>0</v>
      </c>
      <c r="K85" s="110">
        <v>0</v>
      </c>
      <c r="L85" s="110">
        <v>0</v>
      </c>
      <c r="M85" s="110">
        <v>0</v>
      </c>
      <c r="N85" s="110">
        <v>0</v>
      </c>
      <c r="O85" s="110">
        <v>0</v>
      </c>
      <c r="P85" s="110">
        <v>0</v>
      </c>
      <c r="Q85" s="110">
        <v>0</v>
      </c>
      <c r="R85" s="110">
        <v>0</v>
      </c>
      <c r="S85" s="110">
        <v>0</v>
      </c>
      <c r="T85" s="110">
        <v>0</v>
      </c>
      <c r="U85" s="110">
        <v>100423.38</v>
      </c>
      <c r="V85" s="110">
        <v>0</v>
      </c>
      <c r="W85" s="110">
        <v>100423.38</v>
      </c>
      <c r="X85" s="111">
        <v>-100423.38</v>
      </c>
      <c r="Y85" s="72" t="str">
        <f>VLOOKUP(D85,'TKP 终端汇总'!A:A,1,0)</f>
        <v>OTTERBOX</v>
      </c>
    </row>
    <row r="86" spans="1:25" x14ac:dyDescent="0.2">
      <c r="A86" s="107" t="s">
        <v>374</v>
      </c>
      <c r="B86" s="107" t="s">
        <v>375</v>
      </c>
      <c r="C86" s="108">
        <v>438</v>
      </c>
      <c r="D86" s="107" t="s">
        <v>1157</v>
      </c>
      <c r="E86" s="109">
        <v>44226</v>
      </c>
      <c r="F86" s="109">
        <v>44005</v>
      </c>
      <c r="G86" s="110">
        <v>0</v>
      </c>
      <c r="H86" s="110">
        <v>0</v>
      </c>
      <c r="I86" s="110">
        <v>0</v>
      </c>
      <c r="J86" s="110">
        <v>0</v>
      </c>
      <c r="K86" s="110">
        <v>0</v>
      </c>
      <c r="L86" s="110">
        <v>0</v>
      </c>
      <c r="M86" s="110">
        <v>0</v>
      </c>
      <c r="N86" s="110">
        <v>8010.38</v>
      </c>
      <c r="O86" s="110">
        <v>0</v>
      </c>
      <c r="P86" s="110">
        <v>3514.8100000000004</v>
      </c>
      <c r="Q86" s="110">
        <v>0</v>
      </c>
      <c r="R86" s="110">
        <v>0</v>
      </c>
      <c r="S86" s="110">
        <v>11525.190000000002</v>
      </c>
      <c r="T86" s="110">
        <v>-11525.190000000002</v>
      </c>
      <c r="U86" s="110">
        <v>0</v>
      </c>
      <c r="V86" s="110">
        <v>10650.4</v>
      </c>
      <c r="W86" s="110">
        <v>10650.4</v>
      </c>
      <c r="X86" s="111">
        <v>-22175.590000000004</v>
      </c>
      <c r="Y86" s="72" t="str">
        <f>VLOOKUP(D86,'TKP 终端汇总'!A:A,1,0)</f>
        <v>PHILIPS</v>
      </c>
    </row>
    <row r="87" spans="1:25" x14ac:dyDescent="0.2">
      <c r="A87" s="107" t="s">
        <v>376</v>
      </c>
      <c r="B87" s="107" t="s">
        <v>377</v>
      </c>
      <c r="C87" s="108">
        <v>438</v>
      </c>
      <c r="D87" s="107" t="s">
        <v>1157</v>
      </c>
      <c r="E87" s="109">
        <v>44226</v>
      </c>
      <c r="F87" s="109">
        <v>44054</v>
      </c>
      <c r="G87" s="110">
        <v>0</v>
      </c>
      <c r="H87" s="110">
        <v>0</v>
      </c>
      <c r="I87" s="110">
        <v>0</v>
      </c>
      <c r="J87" s="110">
        <v>0</v>
      </c>
      <c r="K87" s="110">
        <v>0</v>
      </c>
      <c r="L87" s="110">
        <v>0</v>
      </c>
      <c r="M87" s="110">
        <v>0</v>
      </c>
      <c r="N87" s="110">
        <v>0</v>
      </c>
      <c r="O87" s="110">
        <v>0</v>
      </c>
      <c r="P87" s="110">
        <v>18447.75</v>
      </c>
      <c r="Q87" s="110">
        <v>0</v>
      </c>
      <c r="R87" s="110">
        <v>4282.82</v>
      </c>
      <c r="S87" s="110">
        <v>22730.57</v>
      </c>
      <c r="T87" s="110">
        <v>-22730.57</v>
      </c>
      <c r="U87" s="110">
        <v>0</v>
      </c>
      <c r="V87" s="110">
        <v>782.37</v>
      </c>
      <c r="W87" s="110">
        <v>782.37</v>
      </c>
      <c r="X87" s="111">
        <v>-23512.94</v>
      </c>
      <c r="Y87" s="72" t="str">
        <f>VLOOKUP(D87,'TKP 终端汇总'!A:A,1,0)</f>
        <v>PHILIPS</v>
      </c>
    </row>
    <row r="88" spans="1:25" x14ac:dyDescent="0.2">
      <c r="A88" s="107" t="s">
        <v>380</v>
      </c>
      <c r="B88" s="107" t="s">
        <v>381</v>
      </c>
      <c r="C88" s="108">
        <v>438</v>
      </c>
      <c r="D88" s="107" t="s">
        <v>1157</v>
      </c>
      <c r="E88" s="109">
        <v>44226</v>
      </c>
      <c r="F88" s="109">
        <v>43420</v>
      </c>
      <c r="G88" s="110">
        <v>0</v>
      </c>
      <c r="H88" s="110">
        <v>0</v>
      </c>
      <c r="I88" s="110">
        <v>0</v>
      </c>
      <c r="J88" s="110">
        <v>0</v>
      </c>
      <c r="K88" s="110">
        <v>0</v>
      </c>
      <c r="L88" s="110">
        <v>0</v>
      </c>
      <c r="M88" s="110">
        <v>0</v>
      </c>
      <c r="N88" s="110">
        <v>0</v>
      </c>
      <c r="O88" s="110">
        <v>0</v>
      </c>
      <c r="P88" s="110">
        <v>26399.090000000004</v>
      </c>
      <c r="Q88" s="110">
        <v>0</v>
      </c>
      <c r="R88" s="110">
        <v>0</v>
      </c>
      <c r="S88" s="110">
        <v>26399.090000000004</v>
      </c>
      <c r="T88" s="110">
        <v>-26399.090000000004</v>
      </c>
      <c r="U88" s="110">
        <v>0</v>
      </c>
      <c r="V88" s="110">
        <v>0</v>
      </c>
      <c r="W88" s="110">
        <v>0</v>
      </c>
      <c r="X88" s="111">
        <v>-26399.090000000004</v>
      </c>
      <c r="Y88" s="72" t="str">
        <f>VLOOKUP(D88,'TKP 终端汇总'!A:A,1,0)</f>
        <v>PHILIPS</v>
      </c>
    </row>
    <row r="89" spans="1:25" x14ac:dyDescent="0.2">
      <c r="A89" s="107" t="s">
        <v>384</v>
      </c>
      <c r="B89" s="107" t="s">
        <v>385</v>
      </c>
      <c r="C89" s="108">
        <v>438</v>
      </c>
      <c r="D89" s="107" t="s">
        <v>1157</v>
      </c>
      <c r="E89" s="109">
        <v>44226</v>
      </c>
      <c r="F89" s="109">
        <v>43124</v>
      </c>
      <c r="G89" s="110">
        <v>120006.6</v>
      </c>
      <c r="H89" s="110">
        <v>0</v>
      </c>
      <c r="I89" s="110">
        <v>0</v>
      </c>
      <c r="J89" s="110">
        <v>0</v>
      </c>
      <c r="K89" s="110">
        <v>0</v>
      </c>
      <c r="L89" s="110">
        <v>0</v>
      </c>
      <c r="M89" s="110">
        <v>0</v>
      </c>
      <c r="N89" s="110">
        <v>9208.8799999999992</v>
      </c>
      <c r="O89" s="110">
        <v>0</v>
      </c>
      <c r="P89" s="110">
        <v>22590.2</v>
      </c>
      <c r="Q89" s="110">
        <v>0</v>
      </c>
      <c r="R89" s="110">
        <v>0</v>
      </c>
      <c r="S89" s="110">
        <v>31799.079999999998</v>
      </c>
      <c r="T89" s="110">
        <v>-31799.079999999998</v>
      </c>
      <c r="U89" s="110">
        <v>0</v>
      </c>
      <c r="V89" s="110">
        <v>0</v>
      </c>
      <c r="W89" s="110">
        <v>0</v>
      </c>
      <c r="X89" s="111">
        <v>-31799.079999999998</v>
      </c>
      <c r="Y89" s="72" t="str">
        <f>VLOOKUP(D89,'TKP 终端汇总'!A:A,1,0)</f>
        <v>PHILIPS</v>
      </c>
    </row>
    <row r="90" spans="1:25" x14ac:dyDescent="0.2">
      <c r="A90" s="107" t="s">
        <v>386</v>
      </c>
      <c r="B90" s="107" t="s">
        <v>387</v>
      </c>
      <c r="C90" s="108">
        <v>438</v>
      </c>
      <c r="D90" s="107" t="s">
        <v>1157</v>
      </c>
      <c r="E90" s="109">
        <v>44226</v>
      </c>
      <c r="F90" s="109">
        <v>43118</v>
      </c>
      <c r="G90" s="110">
        <v>0</v>
      </c>
      <c r="H90" s="110">
        <v>0</v>
      </c>
      <c r="I90" s="110">
        <v>0</v>
      </c>
      <c r="J90" s="110">
        <v>0</v>
      </c>
      <c r="K90" s="110">
        <v>0</v>
      </c>
      <c r="L90" s="110">
        <v>0</v>
      </c>
      <c r="M90" s="110">
        <v>0</v>
      </c>
      <c r="N90" s="110">
        <v>0</v>
      </c>
      <c r="O90" s="110">
        <v>0</v>
      </c>
      <c r="P90" s="110">
        <v>70867.8</v>
      </c>
      <c r="Q90" s="110">
        <v>0</v>
      </c>
      <c r="R90" s="110">
        <v>0</v>
      </c>
      <c r="S90" s="110">
        <v>70867.8</v>
      </c>
      <c r="T90" s="110">
        <v>-70867.8</v>
      </c>
      <c r="U90" s="110">
        <v>0</v>
      </c>
      <c r="V90" s="110">
        <v>31438.71</v>
      </c>
      <c r="W90" s="110">
        <v>31438.71</v>
      </c>
      <c r="X90" s="111">
        <v>-102306.51000000001</v>
      </c>
      <c r="Y90" s="72" t="str">
        <f>VLOOKUP(D90,'TKP 终端汇总'!A:A,1,0)</f>
        <v>PHILIPS</v>
      </c>
    </row>
    <row r="91" spans="1:25" x14ac:dyDescent="0.2">
      <c r="A91" s="107" t="s">
        <v>388</v>
      </c>
      <c r="B91" s="107" t="s">
        <v>389</v>
      </c>
      <c r="C91" s="108">
        <v>438</v>
      </c>
      <c r="D91" s="107" t="s">
        <v>1157</v>
      </c>
      <c r="E91" s="109">
        <v>44226</v>
      </c>
      <c r="F91" s="109">
        <v>42909</v>
      </c>
      <c r="G91" s="110">
        <v>7442400</v>
      </c>
      <c r="H91" s="110">
        <v>0</v>
      </c>
      <c r="I91" s="110">
        <v>0</v>
      </c>
      <c r="J91" s="110">
        <v>0</v>
      </c>
      <c r="K91" s="110">
        <v>0</v>
      </c>
      <c r="L91" s="110">
        <v>0</v>
      </c>
      <c r="M91" s="110">
        <v>0</v>
      </c>
      <c r="N91" s="110">
        <v>3270.48</v>
      </c>
      <c r="O91" s="110">
        <v>0</v>
      </c>
      <c r="P91" s="110">
        <v>3857.89</v>
      </c>
      <c r="Q91" s="110">
        <v>0</v>
      </c>
      <c r="R91" s="110">
        <v>0</v>
      </c>
      <c r="S91" s="110">
        <v>7128.37</v>
      </c>
      <c r="T91" s="110">
        <v>-7128.37</v>
      </c>
      <c r="U91" s="110">
        <v>86338.09</v>
      </c>
      <c r="V91" s="110">
        <v>878.64</v>
      </c>
      <c r="W91" s="110">
        <v>87216.73000000001</v>
      </c>
      <c r="X91" s="111">
        <v>-94345.1</v>
      </c>
      <c r="Y91" s="72" t="str">
        <f>VLOOKUP(D91,'TKP 终端汇总'!A:A,1,0)</f>
        <v>PHILIPS</v>
      </c>
    </row>
    <row r="92" spans="1:25" x14ac:dyDescent="0.2">
      <c r="A92" s="107" t="s">
        <v>390</v>
      </c>
      <c r="B92" s="107" t="s">
        <v>391</v>
      </c>
      <c r="C92" s="108">
        <v>438</v>
      </c>
      <c r="D92" s="107" t="s">
        <v>1157</v>
      </c>
      <c r="E92" s="109">
        <v>44226</v>
      </c>
      <c r="F92" s="109">
        <v>42936</v>
      </c>
      <c r="G92" s="110">
        <v>0</v>
      </c>
      <c r="H92" s="110">
        <v>0</v>
      </c>
      <c r="I92" s="110">
        <v>0</v>
      </c>
      <c r="J92" s="110">
        <v>0</v>
      </c>
      <c r="K92" s="110">
        <v>0</v>
      </c>
      <c r="L92" s="110">
        <v>0</v>
      </c>
      <c r="M92" s="110">
        <v>0</v>
      </c>
      <c r="N92" s="110">
        <v>0</v>
      </c>
      <c r="O92" s="110">
        <v>0</v>
      </c>
      <c r="P92" s="110">
        <v>0</v>
      </c>
      <c r="Q92" s="110">
        <v>0</v>
      </c>
      <c r="R92" s="110">
        <v>0</v>
      </c>
      <c r="S92" s="110">
        <v>0</v>
      </c>
      <c r="T92" s="110">
        <v>0</v>
      </c>
      <c r="U92" s="110">
        <v>0</v>
      </c>
      <c r="V92" s="110">
        <v>0</v>
      </c>
      <c r="W92" s="110">
        <v>0</v>
      </c>
      <c r="X92" s="111">
        <v>0</v>
      </c>
      <c r="Y92" s="72" t="str">
        <f>VLOOKUP(D92,'TKP 终端汇总'!A:A,1,0)</f>
        <v>PHILIPS</v>
      </c>
    </row>
    <row r="93" spans="1:25" x14ac:dyDescent="0.2">
      <c r="A93" s="107" t="s">
        <v>392</v>
      </c>
      <c r="B93" s="107" t="s">
        <v>393</v>
      </c>
      <c r="C93" s="108">
        <v>437</v>
      </c>
      <c r="D93" s="107" t="s">
        <v>1150</v>
      </c>
      <c r="E93" s="109">
        <v>44226</v>
      </c>
      <c r="F93" s="109">
        <v>44364</v>
      </c>
      <c r="G93" s="110">
        <v>0</v>
      </c>
      <c r="H93" s="110">
        <v>0</v>
      </c>
      <c r="I93" s="110">
        <v>0</v>
      </c>
      <c r="J93" s="110">
        <v>0</v>
      </c>
      <c r="K93" s="110">
        <v>0</v>
      </c>
      <c r="L93" s="110">
        <v>0</v>
      </c>
      <c r="M93" s="110">
        <v>0</v>
      </c>
      <c r="N93" s="110">
        <v>0</v>
      </c>
      <c r="O93" s="110">
        <v>0</v>
      </c>
      <c r="P93" s="110">
        <v>0</v>
      </c>
      <c r="Q93" s="110">
        <v>0</v>
      </c>
      <c r="R93" s="110">
        <v>0</v>
      </c>
      <c r="S93" s="110">
        <v>0</v>
      </c>
      <c r="T93" s="110">
        <v>0</v>
      </c>
      <c r="U93" s="110">
        <v>2887.48</v>
      </c>
      <c r="V93" s="110">
        <v>0</v>
      </c>
      <c r="W93" s="110">
        <v>2887.48</v>
      </c>
      <c r="X93" s="111">
        <v>-2887.48</v>
      </c>
      <c r="Y93" s="72" t="str">
        <f>VLOOKUP(D93,'TKP 终端汇总'!A:A,1,0)</f>
        <v>FITBIT</v>
      </c>
    </row>
    <row r="94" spans="1:25" x14ac:dyDescent="0.2">
      <c r="A94" s="107" t="s">
        <v>396</v>
      </c>
      <c r="B94" s="107" t="s">
        <v>397</v>
      </c>
      <c r="C94" s="108">
        <v>437</v>
      </c>
      <c r="D94" s="107" t="s">
        <v>1150</v>
      </c>
      <c r="E94" s="109">
        <v>44226</v>
      </c>
      <c r="F94" s="109">
        <v>44042</v>
      </c>
      <c r="G94" s="110">
        <v>0</v>
      </c>
      <c r="H94" s="110">
        <v>0</v>
      </c>
      <c r="I94" s="110">
        <v>0</v>
      </c>
      <c r="J94" s="110">
        <v>0</v>
      </c>
      <c r="K94" s="110">
        <v>0</v>
      </c>
      <c r="L94" s="110">
        <v>0</v>
      </c>
      <c r="M94" s="110">
        <v>0</v>
      </c>
      <c r="N94" s="110">
        <v>0</v>
      </c>
      <c r="O94" s="110">
        <v>0</v>
      </c>
      <c r="P94" s="110">
        <v>0</v>
      </c>
      <c r="Q94" s="110">
        <v>0</v>
      </c>
      <c r="R94" s="110">
        <v>0</v>
      </c>
      <c r="S94" s="110">
        <v>0</v>
      </c>
      <c r="T94" s="110">
        <v>0</v>
      </c>
      <c r="U94" s="110">
        <v>0</v>
      </c>
      <c r="V94" s="110">
        <v>0</v>
      </c>
      <c r="W94" s="110">
        <v>0</v>
      </c>
      <c r="X94" s="111">
        <v>0</v>
      </c>
      <c r="Y94" s="72" t="str">
        <f>VLOOKUP(D94,'TKP 终端汇总'!A:A,1,0)</f>
        <v>FITBIT</v>
      </c>
    </row>
    <row r="95" spans="1:25" x14ac:dyDescent="0.2">
      <c r="A95" s="107" t="s">
        <v>398</v>
      </c>
      <c r="B95" s="107" t="s">
        <v>399</v>
      </c>
      <c r="C95" s="108">
        <v>437</v>
      </c>
      <c r="D95" s="107" t="s">
        <v>1150</v>
      </c>
      <c r="E95" s="109">
        <v>44226</v>
      </c>
      <c r="F95" s="109">
        <v>43993</v>
      </c>
      <c r="G95" s="110">
        <v>0</v>
      </c>
      <c r="H95" s="110">
        <v>0</v>
      </c>
      <c r="I95" s="110">
        <v>0</v>
      </c>
      <c r="J95" s="110">
        <v>0</v>
      </c>
      <c r="K95" s="110">
        <v>0</v>
      </c>
      <c r="L95" s="110">
        <v>0</v>
      </c>
      <c r="M95" s="110">
        <v>0</v>
      </c>
      <c r="N95" s="110">
        <v>0</v>
      </c>
      <c r="O95" s="110">
        <v>0</v>
      </c>
      <c r="P95" s="110">
        <v>0</v>
      </c>
      <c r="Q95" s="110">
        <v>0</v>
      </c>
      <c r="R95" s="110">
        <v>0</v>
      </c>
      <c r="S95" s="110">
        <v>0</v>
      </c>
      <c r="T95" s="110">
        <v>0</v>
      </c>
      <c r="U95" s="110">
        <v>0</v>
      </c>
      <c r="V95" s="110">
        <v>0</v>
      </c>
      <c r="W95" s="110">
        <v>0</v>
      </c>
      <c r="X95" s="111">
        <v>0</v>
      </c>
      <c r="Y95" s="72" t="str">
        <f>VLOOKUP(D95,'TKP 终端汇总'!A:A,1,0)</f>
        <v>FITBIT</v>
      </c>
    </row>
    <row r="96" spans="1:25" x14ac:dyDescent="0.2">
      <c r="A96" s="107" t="s">
        <v>400</v>
      </c>
      <c r="B96" s="107" t="s">
        <v>401</v>
      </c>
      <c r="C96" s="108">
        <v>330</v>
      </c>
      <c r="D96" s="107" t="s">
        <v>1148</v>
      </c>
      <c r="E96" s="109">
        <v>44226</v>
      </c>
      <c r="F96" s="109">
        <v>43328</v>
      </c>
      <c r="G96" s="110">
        <v>1491440</v>
      </c>
      <c r="H96" s="110">
        <v>51892.6</v>
      </c>
      <c r="I96" s="110">
        <v>0</v>
      </c>
      <c r="J96" s="110">
        <v>0</v>
      </c>
      <c r="K96" s="110">
        <v>0</v>
      </c>
      <c r="L96" s="110">
        <v>0</v>
      </c>
      <c r="M96" s="110">
        <v>51892.6</v>
      </c>
      <c r="N96" s="110">
        <v>38122</v>
      </c>
      <c r="O96" s="110">
        <v>0</v>
      </c>
      <c r="P96" s="110">
        <v>0</v>
      </c>
      <c r="Q96" s="110">
        <v>0</v>
      </c>
      <c r="R96" s="110">
        <v>0</v>
      </c>
      <c r="S96" s="110">
        <v>38122</v>
      </c>
      <c r="T96" s="110">
        <v>13770.599999999999</v>
      </c>
      <c r="U96" s="110">
        <v>0</v>
      </c>
      <c r="V96" s="110">
        <v>0</v>
      </c>
      <c r="W96" s="110">
        <v>0</v>
      </c>
      <c r="X96" s="111">
        <v>13770.599999999999</v>
      </c>
      <c r="Y96" s="72" t="str">
        <f>VLOOKUP(D96,'TKP 终端汇总'!A:A,1,0)</f>
        <v>GN</v>
      </c>
    </row>
    <row r="97" spans="1:25" x14ac:dyDescent="0.2">
      <c r="A97" s="107" t="s">
        <v>404</v>
      </c>
      <c r="B97" s="107" t="s">
        <v>405</v>
      </c>
      <c r="C97" s="108">
        <v>404</v>
      </c>
      <c r="D97" s="107" t="s">
        <v>1153</v>
      </c>
      <c r="E97" s="109">
        <v>44226</v>
      </c>
      <c r="F97" s="109">
        <v>44034</v>
      </c>
      <c r="G97" s="110">
        <v>0</v>
      </c>
      <c r="H97" s="110">
        <v>0</v>
      </c>
      <c r="I97" s="110">
        <v>0</v>
      </c>
      <c r="J97" s="110">
        <v>0</v>
      </c>
      <c r="K97" s="110">
        <v>0</v>
      </c>
      <c r="L97" s="110">
        <v>0</v>
      </c>
      <c r="M97" s="110">
        <v>0</v>
      </c>
      <c r="N97" s="110">
        <v>0</v>
      </c>
      <c r="O97" s="110">
        <v>0</v>
      </c>
      <c r="P97" s="110">
        <v>1356.55</v>
      </c>
      <c r="Q97" s="110">
        <v>0</v>
      </c>
      <c r="R97" s="110">
        <v>0</v>
      </c>
      <c r="S97" s="110">
        <v>1356.55</v>
      </c>
      <c r="T97" s="110">
        <v>-1356.55</v>
      </c>
      <c r="U97" s="110">
        <v>125.67</v>
      </c>
      <c r="V97" s="110">
        <v>0</v>
      </c>
      <c r="W97" s="110">
        <v>125.67</v>
      </c>
      <c r="X97" s="111">
        <v>-1482.22</v>
      </c>
      <c r="Y97" s="72" t="str">
        <f>VLOOKUP(D97,'TKP 终端汇总'!A:A,1,0)</f>
        <v>Google</v>
      </c>
    </row>
    <row r="98" spans="1:25" x14ac:dyDescent="0.2">
      <c r="A98" s="107" t="s">
        <v>406</v>
      </c>
      <c r="B98" s="107" t="s">
        <v>407</v>
      </c>
      <c r="C98" s="108">
        <v>391</v>
      </c>
      <c r="D98" s="107" t="s">
        <v>1173</v>
      </c>
      <c r="E98" s="109">
        <v>44226</v>
      </c>
      <c r="F98" s="109">
        <v>44301</v>
      </c>
      <c r="G98" s="110">
        <v>0</v>
      </c>
      <c r="H98" s="110">
        <v>0</v>
      </c>
      <c r="I98" s="110">
        <v>0</v>
      </c>
      <c r="J98" s="110">
        <v>0</v>
      </c>
      <c r="K98" s="110">
        <v>0</v>
      </c>
      <c r="L98" s="110">
        <v>0</v>
      </c>
      <c r="M98" s="110">
        <v>0</v>
      </c>
      <c r="N98" s="110">
        <v>0</v>
      </c>
      <c r="O98" s="110">
        <v>0</v>
      </c>
      <c r="P98" s="110">
        <v>6077.4000000000005</v>
      </c>
      <c r="Q98" s="110">
        <v>0</v>
      </c>
      <c r="R98" s="110">
        <v>0</v>
      </c>
      <c r="S98" s="110">
        <v>6077.4000000000005</v>
      </c>
      <c r="T98" s="110">
        <v>-6077.4000000000005</v>
      </c>
      <c r="U98" s="110">
        <v>0</v>
      </c>
      <c r="V98" s="110">
        <v>0</v>
      </c>
      <c r="W98" s="110">
        <v>0</v>
      </c>
      <c r="X98" s="111">
        <v>-6077.4000000000005</v>
      </c>
      <c r="Y98" s="72" t="str">
        <f>VLOOKUP(D98,'TKP 终端汇总'!A:A,1,0)</f>
        <v>Latch</v>
      </c>
    </row>
    <row r="99" spans="1:25" x14ac:dyDescent="0.2">
      <c r="A99" s="107" t="s">
        <v>415</v>
      </c>
      <c r="B99" s="107" t="s">
        <v>416</v>
      </c>
      <c r="C99" s="108">
        <v>360</v>
      </c>
      <c r="D99" s="107" t="s">
        <v>1153</v>
      </c>
      <c r="E99" s="109">
        <v>44226</v>
      </c>
      <c r="F99" s="109">
        <v>44237</v>
      </c>
      <c r="G99" s="110">
        <v>0</v>
      </c>
      <c r="H99" s="110">
        <v>0</v>
      </c>
      <c r="I99" s="110">
        <v>0</v>
      </c>
      <c r="J99" s="110">
        <v>0</v>
      </c>
      <c r="K99" s="110">
        <v>0</v>
      </c>
      <c r="L99" s="110">
        <v>0</v>
      </c>
      <c r="M99" s="110">
        <v>0</v>
      </c>
      <c r="N99" s="110">
        <v>0</v>
      </c>
      <c r="O99" s="110">
        <v>0</v>
      </c>
      <c r="P99" s="110">
        <v>0</v>
      </c>
      <c r="Q99" s="110">
        <v>0</v>
      </c>
      <c r="R99" s="110">
        <v>0</v>
      </c>
      <c r="S99" s="110">
        <v>0</v>
      </c>
      <c r="T99" s="110">
        <v>0</v>
      </c>
      <c r="U99" s="110">
        <v>0</v>
      </c>
      <c r="V99" s="110">
        <v>0</v>
      </c>
      <c r="W99" s="110">
        <v>0</v>
      </c>
      <c r="X99" s="111">
        <v>0</v>
      </c>
      <c r="Y99" s="72" t="str">
        <f>VLOOKUP(D99,'TKP 终端汇总'!A:A,1,0)</f>
        <v>Google</v>
      </c>
    </row>
    <row r="100" spans="1:25" x14ac:dyDescent="0.2">
      <c r="A100" s="107" t="s">
        <v>423</v>
      </c>
      <c r="B100" s="107" t="s">
        <v>424</v>
      </c>
      <c r="C100" s="108">
        <v>330</v>
      </c>
      <c r="D100" s="107" t="s">
        <v>1148</v>
      </c>
      <c r="E100" s="109">
        <v>44226</v>
      </c>
      <c r="F100" s="109">
        <v>43969</v>
      </c>
      <c r="G100" s="110">
        <v>0</v>
      </c>
      <c r="H100" s="110">
        <v>0</v>
      </c>
      <c r="I100" s="110">
        <v>0</v>
      </c>
      <c r="J100" s="110">
        <v>0</v>
      </c>
      <c r="K100" s="110">
        <v>0</v>
      </c>
      <c r="L100" s="110">
        <v>0</v>
      </c>
      <c r="M100" s="110">
        <v>0</v>
      </c>
      <c r="N100" s="110">
        <v>0</v>
      </c>
      <c r="O100" s="110">
        <v>0</v>
      </c>
      <c r="P100" s="110">
        <v>0</v>
      </c>
      <c r="Q100" s="110">
        <v>0</v>
      </c>
      <c r="R100" s="110">
        <v>0</v>
      </c>
      <c r="S100" s="110">
        <v>0</v>
      </c>
      <c r="T100" s="110">
        <v>0</v>
      </c>
      <c r="U100" s="110">
        <v>0</v>
      </c>
      <c r="V100" s="110">
        <v>0</v>
      </c>
      <c r="W100" s="110">
        <v>0</v>
      </c>
      <c r="X100" s="111">
        <v>0</v>
      </c>
      <c r="Y100" s="72" t="str">
        <f>VLOOKUP(D100,'TKP 终端汇总'!A:A,1,0)</f>
        <v>GN</v>
      </c>
    </row>
    <row r="101" spans="1:25" x14ac:dyDescent="0.2">
      <c r="A101" s="107" t="s">
        <v>444</v>
      </c>
      <c r="B101" s="107" t="s">
        <v>445</v>
      </c>
      <c r="C101" s="108" t="s">
        <v>204</v>
      </c>
      <c r="D101" s="107" t="s">
        <v>1163</v>
      </c>
      <c r="E101" s="109">
        <v>44226</v>
      </c>
      <c r="F101" s="109">
        <v>42718</v>
      </c>
      <c r="G101" s="110">
        <v>1705000</v>
      </c>
      <c r="H101" s="110">
        <v>143648.33000000002</v>
      </c>
      <c r="I101" s="110">
        <v>0</v>
      </c>
      <c r="J101" s="110">
        <v>106.64</v>
      </c>
      <c r="K101" s="110">
        <v>0</v>
      </c>
      <c r="L101" s="110">
        <v>0</v>
      </c>
      <c r="M101" s="110">
        <v>143754.97</v>
      </c>
      <c r="N101" s="110">
        <v>15308.37</v>
      </c>
      <c r="O101" s="110">
        <v>0</v>
      </c>
      <c r="P101" s="110">
        <v>0</v>
      </c>
      <c r="Q101" s="110">
        <v>0</v>
      </c>
      <c r="R101" s="110">
        <v>0</v>
      </c>
      <c r="S101" s="110">
        <v>15308.37</v>
      </c>
      <c r="T101" s="110">
        <v>128446.6</v>
      </c>
      <c r="U101" s="110">
        <v>229.12</v>
      </c>
      <c r="V101" s="110">
        <v>0</v>
      </c>
      <c r="W101" s="110">
        <v>229.12</v>
      </c>
      <c r="X101" s="111">
        <v>128217.48000000001</v>
      </c>
      <c r="Y101" s="72" t="str">
        <f>VLOOKUP(D101,'TKP 终端汇总'!A:A,1,0)</f>
        <v>Sensirion</v>
      </c>
    </row>
    <row r="102" spans="1:25" x14ac:dyDescent="0.2">
      <c r="A102" s="107" t="s">
        <v>452</v>
      </c>
      <c r="B102" s="107" t="s">
        <v>453</v>
      </c>
      <c r="C102" s="108" t="s">
        <v>208</v>
      </c>
      <c r="D102" s="107" t="s">
        <v>1177</v>
      </c>
      <c r="E102" s="109">
        <v>44226</v>
      </c>
      <c r="F102" s="109">
        <v>43259</v>
      </c>
      <c r="G102" s="110">
        <v>4700000</v>
      </c>
      <c r="H102" s="110">
        <v>0</v>
      </c>
      <c r="I102" s="110">
        <v>0</v>
      </c>
      <c r="J102" s="110">
        <v>0</v>
      </c>
      <c r="K102" s="110">
        <v>0</v>
      </c>
      <c r="L102" s="110">
        <v>0</v>
      </c>
      <c r="M102" s="110">
        <v>0</v>
      </c>
      <c r="N102" s="110">
        <v>9651.119999999999</v>
      </c>
      <c r="O102" s="110">
        <v>0</v>
      </c>
      <c r="P102" s="110">
        <v>0</v>
      </c>
      <c r="Q102" s="110">
        <v>0</v>
      </c>
      <c r="R102" s="110">
        <v>0</v>
      </c>
      <c r="S102" s="110">
        <v>9651.119999999999</v>
      </c>
      <c r="T102" s="110">
        <v>-9651.119999999999</v>
      </c>
      <c r="U102" s="110">
        <v>0</v>
      </c>
      <c r="V102" s="110">
        <v>6094.9299999999994</v>
      </c>
      <c r="W102" s="110">
        <v>6094.9299999999994</v>
      </c>
      <c r="X102" s="111">
        <v>-15746.05</v>
      </c>
      <c r="Y102" s="72" t="str">
        <f>VLOOKUP(D102,'TKP 终端汇总'!A:A,1,0)</f>
        <v>POLYCOM</v>
      </c>
    </row>
    <row r="103" spans="1:25" x14ac:dyDescent="0.2">
      <c r="A103" s="107" t="s">
        <v>462</v>
      </c>
      <c r="B103" s="107" t="s">
        <v>463</v>
      </c>
      <c r="C103" s="108" t="s">
        <v>208</v>
      </c>
      <c r="D103" s="107" t="s">
        <v>1177</v>
      </c>
      <c r="E103" s="109">
        <v>44226</v>
      </c>
      <c r="F103" s="109">
        <v>43922</v>
      </c>
      <c r="G103" s="110">
        <v>1156250</v>
      </c>
      <c r="H103" s="110">
        <v>0</v>
      </c>
      <c r="I103" s="110">
        <v>0</v>
      </c>
      <c r="J103" s="110">
        <v>0</v>
      </c>
      <c r="K103" s="110">
        <v>0</v>
      </c>
      <c r="L103" s="110">
        <v>0</v>
      </c>
      <c r="M103" s="110">
        <v>0</v>
      </c>
      <c r="N103" s="110">
        <v>27151.34</v>
      </c>
      <c r="O103" s="110">
        <v>0</v>
      </c>
      <c r="P103" s="110">
        <v>5402.56</v>
      </c>
      <c r="Q103" s="110">
        <v>0</v>
      </c>
      <c r="R103" s="110">
        <v>0</v>
      </c>
      <c r="S103" s="110">
        <v>32553.9</v>
      </c>
      <c r="T103" s="110">
        <v>-32553.9</v>
      </c>
      <c r="U103" s="110">
        <v>0</v>
      </c>
      <c r="V103" s="110">
        <v>0</v>
      </c>
      <c r="W103" s="110">
        <v>0</v>
      </c>
      <c r="X103" s="111">
        <v>-32553.9</v>
      </c>
      <c r="Y103" s="72" t="str">
        <f>VLOOKUP(D103,'TKP 终端汇总'!A:A,1,0)</f>
        <v>POLYCOM</v>
      </c>
    </row>
    <row r="104" spans="1:25" x14ac:dyDescent="0.2">
      <c r="A104" s="107" t="s">
        <v>464</v>
      </c>
      <c r="B104" s="107" t="s">
        <v>465</v>
      </c>
      <c r="C104" s="108" t="s">
        <v>208</v>
      </c>
      <c r="D104" s="107" t="s">
        <v>1177</v>
      </c>
      <c r="E104" s="109">
        <v>44226</v>
      </c>
      <c r="F104" s="109">
        <v>44375</v>
      </c>
      <c r="G104" s="110">
        <v>0</v>
      </c>
      <c r="H104" s="110">
        <v>0</v>
      </c>
      <c r="I104" s="110">
        <v>0</v>
      </c>
      <c r="J104" s="110">
        <v>374400</v>
      </c>
      <c r="K104" s="110">
        <v>0</v>
      </c>
      <c r="L104" s="110">
        <v>0</v>
      </c>
      <c r="M104" s="110">
        <v>374400</v>
      </c>
      <c r="N104" s="110">
        <v>189194.25999999998</v>
      </c>
      <c r="O104" s="110">
        <v>0</v>
      </c>
      <c r="P104" s="110">
        <v>2984.41</v>
      </c>
      <c r="Q104" s="110">
        <v>0</v>
      </c>
      <c r="R104" s="110">
        <v>0</v>
      </c>
      <c r="S104" s="110">
        <v>192178.67</v>
      </c>
      <c r="T104" s="110">
        <v>182221.33000000002</v>
      </c>
      <c r="U104" s="110">
        <v>0</v>
      </c>
      <c r="V104" s="110">
        <v>62932.71</v>
      </c>
      <c r="W104" s="110">
        <v>62932.71</v>
      </c>
      <c r="X104" s="111">
        <v>119288.62000000002</v>
      </c>
      <c r="Y104" s="72" t="str">
        <f>VLOOKUP(D104,'TKP 终端汇总'!A:A,1,0)</f>
        <v>POLYCOM</v>
      </c>
    </row>
    <row r="105" spans="1:25" x14ac:dyDescent="0.2">
      <c r="A105" s="107" t="s">
        <v>466</v>
      </c>
      <c r="B105" s="107" t="s">
        <v>467</v>
      </c>
      <c r="C105" s="108" t="s">
        <v>208</v>
      </c>
      <c r="D105" s="107" t="s">
        <v>1177</v>
      </c>
      <c r="E105" s="109">
        <v>44226</v>
      </c>
      <c r="F105" s="109">
        <v>44452</v>
      </c>
      <c r="G105" s="110">
        <v>9765075</v>
      </c>
      <c r="H105" s="110">
        <v>0</v>
      </c>
      <c r="I105" s="110">
        <v>0</v>
      </c>
      <c r="J105" s="110">
        <v>0</v>
      </c>
      <c r="K105" s="110">
        <v>0</v>
      </c>
      <c r="L105" s="110">
        <v>0</v>
      </c>
      <c r="M105" s="110">
        <v>0</v>
      </c>
      <c r="N105" s="110">
        <v>309.92</v>
      </c>
      <c r="O105" s="110">
        <v>0</v>
      </c>
      <c r="P105" s="110">
        <v>0</v>
      </c>
      <c r="Q105" s="110">
        <v>0</v>
      </c>
      <c r="R105" s="110">
        <v>851.3</v>
      </c>
      <c r="S105" s="110">
        <v>1161.22</v>
      </c>
      <c r="T105" s="110">
        <v>-1161.22</v>
      </c>
      <c r="U105" s="110">
        <v>4104.7700000000004</v>
      </c>
      <c r="V105" s="110">
        <v>15.22</v>
      </c>
      <c r="W105" s="110">
        <v>4119.99</v>
      </c>
      <c r="X105" s="111">
        <v>-5281.21</v>
      </c>
      <c r="Y105" s="72" t="str">
        <f>VLOOKUP(D105,'TKP 终端汇总'!A:A,1,0)</f>
        <v>POLYCOM</v>
      </c>
    </row>
    <row r="106" spans="1:25" x14ac:dyDescent="0.2">
      <c r="A106" s="107" t="s">
        <v>468</v>
      </c>
      <c r="B106" s="107" t="s">
        <v>469</v>
      </c>
      <c r="C106" s="108" t="s">
        <v>208</v>
      </c>
      <c r="D106" s="107" t="s">
        <v>1177</v>
      </c>
      <c r="E106" s="109">
        <v>44226</v>
      </c>
      <c r="F106" s="109">
        <v>44209</v>
      </c>
      <c r="G106" s="110">
        <v>0</v>
      </c>
      <c r="H106" s="110">
        <v>0</v>
      </c>
      <c r="I106" s="110">
        <v>0</v>
      </c>
      <c r="J106" s="110">
        <v>0</v>
      </c>
      <c r="K106" s="110">
        <v>0</v>
      </c>
      <c r="L106" s="110">
        <v>0</v>
      </c>
      <c r="M106" s="110">
        <v>0</v>
      </c>
      <c r="N106" s="110">
        <v>0</v>
      </c>
      <c r="O106" s="110">
        <v>0</v>
      </c>
      <c r="P106" s="110">
        <v>0</v>
      </c>
      <c r="Q106" s="110">
        <v>0</v>
      </c>
      <c r="R106" s="110">
        <v>0</v>
      </c>
      <c r="S106" s="110">
        <v>0</v>
      </c>
      <c r="T106" s="110">
        <v>0</v>
      </c>
      <c r="U106" s="110">
        <v>0</v>
      </c>
      <c r="V106" s="110">
        <v>0</v>
      </c>
      <c r="W106" s="110">
        <v>0</v>
      </c>
      <c r="X106" s="111">
        <v>0</v>
      </c>
      <c r="Y106" s="72" t="str">
        <f>VLOOKUP(D106,'TKP 终端汇总'!A:A,1,0)</f>
        <v>POLYCOM</v>
      </c>
    </row>
    <row r="107" spans="1:25" x14ac:dyDescent="0.2">
      <c r="A107" s="107" t="s">
        <v>470</v>
      </c>
      <c r="B107" s="107" t="s">
        <v>471</v>
      </c>
      <c r="C107" s="108" t="s">
        <v>208</v>
      </c>
      <c r="D107" s="107" t="s">
        <v>1177</v>
      </c>
      <c r="E107" s="109">
        <v>44226</v>
      </c>
      <c r="F107" s="109">
        <v>44442</v>
      </c>
      <c r="G107" s="110">
        <v>7459500</v>
      </c>
      <c r="H107" s="110">
        <v>0</v>
      </c>
      <c r="I107" s="110">
        <v>0</v>
      </c>
      <c r="J107" s="110">
        <v>0</v>
      </c>
      <c r="K107" s="110">
        <v>0</v>
      </c>
      <c r="L107" s="110">
        <v>0</v>
      </c>
      <c r="M107" s="110">
        <v>0</v>
      </c>
      <c r="N107" s="110">
        <v>2276.8000000000002</v>
      </c>
      <c r="O107" s="110">
        <v>0</v>
      </c>
      <c r="P107" s="110">
        <v>0</v>
      </c>
      <c r="Q107" s="110">
        <v>0</v>
      </c>
      <c r="R107" s="110">
        <v>1805.68</v>
      </c>
      <c r="S107" s="110">
        <v>4082.48</v>
      </c>
      <c r="T107" s="110">
        <v>-4082.48</v>
      </c>
      <c r="U107" s="110">
        <v>12075.369999999999</v>
      </c>
      <c r="V107" s="110">
        <v>1551.74</v>
      </c>
      <c r="W107" s="110">
        <v>13627.11</v>
      </c>
      <c r="X107" s="111">
        <v>-17709.59</v>
      </c>
      <c r="Y107" s="72" t="str">
        <f>VLOOKUP(D107,'TKP 终端汇总'!A:A,1,0)</f>
        <v>POLYCOM</v>
      </c>
    </row>
    <row r="108" spans="1:25" x14ac:dyDescent="0.2">
      <c r="A108" s="107" t="s">
        <v>474</v>
      </c>
      <c r="B108" s="107" t="s">
        <v>475</v>
      </c>
      <c r="C108" s="108" t="s">
        <v>166</v>
      </c>
      <c r="D108" s="107" t="s">
        <v>475</v>
      </c>
      <c r="E108" s="109">
        <v>44226</v>
      </c>
      <c r="F108" s="109">
        <v>44004</v>
      </c>
      <c r="G108" s="110">
        <v>0</v>
      </c>
      <c r="H108" s="110">
        <v>0</v>
      </c>
      <c r="I108" s="110">
        <v>0</v>
      </c>
      <c r="J108" s="110">
        <v>36330.730000000003</v>
      </c>
      <c r="K108" s="110">
        <v>0</v>
      </c>
      <c r="L108" s="110">
        <v>0</v>
      </c>
      <c r="M108" s="110">
        <v>36330.730000000003</v>
      </c>
      <c r="N108" s="110">
        <v>0</v>
      </c>
      <c r="O108" s="110">
        <v>0</v>
      </c>
      <c r="P108" s="110">
        <v>2984.41</v>
      </c>
      <c r="Q108" s="110">
        <v>0</v>
      </c>
      <c r="R108" s="110">
        <v>0</v>
      </c>
      <c r="S108" s="110">
        <v>2984.41</v>
      </c>
      <c r="T108" s="110">
        <v>33346.320000000007</v>
      </c>
      <c r="U108" s="110">
        <v>0</v>
      </c>
      <c r="V108" s="110">
        <v>0</v>
      </c>
      <c r="W108" s="110">
        <v>0</v>
      </c>
      <c r="X108" s="111">
        <v>33346.320000000007</v>
      </c>
      <c r="Y108" s="72" t="str">
        <f>VLOOKUP(D108,'TKP 终端汇总'!A:A,1,0)</f>
        <v>韶音</v>
      </c>
    </row>
    <row r="109" spans="1:25" x14ac:dyDescent="0.2">
      <c r="A109" s="107" t="s">
        <v>476</v>
      </c>
      <c r="B109" s="107" t="s">
        <v>477</v>
      </c>
      <c r="C109" s="108" t="s">
        <v>166</v>
      </c>
      <c r="D109" s="107" t="s">
        <v>475</v>
      </c>
      <c r="E109" s="109">
        <v>44226</v>
      </c>
      <c r="F109" s="109">
        <v>43888</v>
      </c>
      <c r="G109" s="110">
        <v>2664684</v>
      </c>
      <c r="H109" s="110">
        <v>9708.74</v>
      </c>
      <c r="I109" s="110">
        <v>0</v>
      </c>
      <c r="J109" s="110">
        <v>0</v>
      </c>
      <c r="K109" s="110">
        <v>0</v>
      </c>
      <c r="L109" s="110">
        <v>0</v>
      </c>
      <c r="M109" s="110">
        <v>9708.74</v>
      </c>
      <c r="N109" s="110">
        <v>0</v>
      </c>
      <c r="O109" s="110">
        <v>0</v>
      </c>
      <c r="P109" s="110">
        <v>2355.0100000000002</v>
      </c>
      <c r="Q109" s="110">
        <v>0</v>
      </c>
      <c r="R109" s="110">
        <v>0</v>
      </c>
      <c r="S109" s="110">
        <v>2355.0100000000002</v>
      </c>
      <c r="T109" s="110">
        <v>7353.7300000000014</v>
      </c>
      <c r="U109" s="110">
        <v>0</v>
      </c>
      <c r="V109" s="110">
        <v>68.2</v>
      </c>
      <c r="W109" s="110">
        <v>68.2</v>
      </c>
      <c r="X109" s="111">
        <v>7285.5300000000016</v>
      </c>
      <c r="Y109" s="72" t="str">
        <f>VLOOKUP(D109,'TKP 终端汇总'!A:A,1,0)</f>
        <v>韶音</v>
      </c>
    </row>
    <row r="110" spans="1:25" x14ac:dyDescent="0.2">
      <c r="A110" s="107" t="s">
        <v>481</v>
      </c>
      <c r="B110" s="107" t="s">
        <v>482</v>
      </c>
      <c r="C110" s="108" t="s">
        <v>208</v>
      </c>
      <c r="D110" s="107" t="s">
        <v>1177</v>
      </c>
      <c r="E110" s="109">
        <v>44226</v>
      </c>
      <c r="F110" s="109">
        <v>44102</v>
      </c>
      <c r="G110" s="110">
        <v>0</v>
      </c>
      <c r="H110" s="110">
        <v>0</v>
      </c>
      <c r="I110" s="110">
        <v>0</v>
      </c>
      <c r="J110" s="110">
        <v>0</v>
      </c>
      <c r="K110" s="110">
        <v>0</v>
      </c>
      <c r="L110" s="110">
        <v>0</v>
      </c>
      <c r="M110" s="110">
        <v>0</v>
      </c>
      <c r="N110" s="110">
        <v>0</v>
      </c>
      <c r="O110" s="110">
        <v>0</v>
      </c>
      <c r="P110" s="110">
        <v>0</v>
      </c>
      <c r="Q110" s="110">
        <v>0</v>
      </c>
      <c r="R110" s="110">
        <v>0</v>
      </c>
      <c r="S110" s="110">
        <v>0</v>
      </c>
      <c r="T110" s="110">
        <v>0</v>
      </c>
      <c r="U110" s="110">
        <v>0</v>
      </c>
      <c r="V110" s="110">
        <v>0</v>
      </c>
      <c r="W110" s="110">
        <v>0</v>
      </c>
      <c r="X110" s="111">
        <v>0</v>
      </c>
      <c r="Y110" s="72" t="str">
        <f>VLOOKUP(D110,'TKP 终端汇总'!A:A,1,0)</f>
        <v>POLYCOM</v>
      </c>
    </row>
    <row r="111" spans="1:25" x14ac:dyDescent="0.2">
      <c r="A111" s="107" t="s">
        <v>483</v>
      </c>
      <c r="B111" s="107" t="s">
        <v>484</v>
      </c>
      <c r="C111" s="108">
        <v>330</v>
      </c>
      <c r="D111" s="107" t="s">
        <v>1148</v>
      </c>
      <c r="E111" s="109">
        <v>44226</v>
      </c>
      <c r="F111" s="109">
        <v>44180</v>
      </c>
      <c r="G111" s="110">
        <v>94000</v>
      </c>
      <c r="H111" s="110">
        <v>0</v>
      </c>
      <c r="I111" s="110">
        <v>0</v>
      </c>
      <c r="J111" s="110">
        <v>0</v>
      </c>
      <c r="K111" s="110">
        <v>0</v>
      </c>
      <c r="L111" s="110">
        <v>0</v>
      </c>
      <c r="M111" s="110">
        <v>0</v>
      </c>
      <c r="N111" s="110">
        <v>0</v>
      </c>
      <c r="O111" s="110">
        <v>0</v>
      </c>
      <c r="P111" s="110">
        <v>1267.94</v>
      </c>
      <c r="Q111" s="110">
        <v>0</v>
      </c>
      <c r="R111" s="110">
        <v>0</v>
      </c>
      <c r="S111" s="110">
        <v>1267.94</v>
      </c>
      <c r="T111" s="110">
        <v>-1267.94</v>
      </c>
      <c r="U111" s="110">
        <v>0</v>
      </c>
      <c r="V111" s="110">
        <v>0</v>
      </c>
      <c r="W111" s="110">
        <v>0</v>
      </c>
      <c r="X111" s="111">
        <v>-1267.94</v>
      </c>
      <c r="Y111" s="72" t="str">
        <f>VLOOKUP(D111,'TKP 终端汇总'!A:A,1,0)</f>
        <v>GN</v>
      </c>
    </row>
    <row r="112" spans="1:25" x14ac:dyDescent="0.2">
      <c r="A112" s="107" t="s">
        <v>485</v>
      </c>
      <c r="B112" s="107" t="s">
        <v>486</v>
      </c>
      <c r="C112" s="108">
        <v>207</v>
      </c>
      <c r="D112" s="107" t="s">
        <v>1169</v>
      </c>
      <c r="E112" s="109">
        <v>44226</v>
      </c>
      <c r="F112" s="109">
        <v>41820</v>
      </c>
      <c r="G112" s="110">
        <v>0</v>
      </c>
      <c r="H112" s="110">
        <v>0</v>
      </c>
      <c r="I112" s="110">
        <v>0</v>
      </c>
      <c r="J112" s="110">
        <v>227.19</v>
      </c>
      <c r="K112" s="110">
        <v>0</v>
      </c>
      <c r="L112" s="110">
        <v>0</v>
      </c>
      <c r="M112" s="110">
        <v>227.19</v>
      </c>
      <c r="N112" s="110">
        <v>1162.47</v>
      </c>
      <c r="O112" s="110">
        <v>0</v>
      </c>
      <c r="P112" s="110">
        <v>0</v>
      </c>
      <c r="Q112" s="110">
        <v>2696.28</v>
      </c>
      <c r="R112" s="110">
        <v>0</v>
      </c>
      <c r="S112" s="110">
        <v>3858.75</v>
      </c>
      <c r="T112" s="110">
        <v>-3631.56</v>
      </c>
      <c r="U112" s="110">
        <v>40808.76</v>
      </c>
      <c r="V112" s="110">
        <v>1364.02</v>
      </c>
      <c r="W112" s="110">
        <v>42172.78</v>
      </c>
      <c r="X112" s="111">
        <v>-45804.34</v>
      </c>
      <c r="Y112" s="72" t="str">
        <f>VLOOKUP(D112,'TKP 终端汇总'!A:A,1,0)</f>
        <v>骏丰</v>
      </c>
    </row>
    <row r="113" spans="1:25" x14ac:dyDescent="0.2">
      <c r="A113" s="107" t="s">
        <v>491</v>
      </c>
      <c r="B113" s="107" t="s">
        <v>492</v>
      </c>
      <c r="C113" s="108">
        <v>330</v>
      </c>
      <c r="D113" s="107" t="s">
        <v>1148</v>
      </c>
      <c r="E113" s="109">
        <v>44226</v>
      </c>
      <c r="F113" s="109">
        <v>42198</v>
      </c>
      <c r="G113" s="110">
        <v>5478000</v>
      </c>
      <c r="H113" s="110">
        <v>391861.44</v>
      </c>
      <c r="I113" s="110">
        <v>0</v>
      </c>
      <c r="J113" s="110">
        <v>14898</v>
      </c>
      <c r="K113" s="110">
        <v>0</v>
      </c>
      <c r="L113" s="110">
        <v>0</v>
      </c>
      <c r="M113" s="110">
        <v>406759.44</v>
      </c>
      <c r="N113" s="110">
        <v>298990.02</v>
      </c>
      <c r="O113" s="110">
        <v>0</v>
      </c>
      <c r="P113" s="110">
        <v>13361.66</v>
      </c>
      <c r="Q113" s="110">
        <v>0</v>
      </c>
      <c r="R113" s="110">
        <v>0</v>
      </c>
      <c r="S113" s="110">
        <v>312351.68</v>
      </c>
      <c r="T113" s="110">
        <v>94407.760000000009</v>
      </c>
      <c r="U113" s="110">
        <v>5727.88</v>
      </c>
      <c r="V113" s="110">
        <v>3450.2499999999995</v>
      </c>
      <c r="W113" s="110">
        <v>9178.130000000001</v>
      </c>
      <c r="X113" s="111">
        <v>85229.63</v>
      </c>
      <c r="Y113" s="72" t="str">
        <f>VLOOKUP(D113,'TKP 终端汇总'!A:A,1,0)</f>
        <v>GN</v>
      </c>
    </row>
    <row r="114" spans="1:25" x14ac:dyDescent="0.2">
      <c r="A114" s="107" t="s">
        <v>493</v>
      </c>
      <c r="B114" s="107" t="s">
        <v>494</v>
      </c>
      <c r="C114" s="108">
        <v>330</v>
      </c>
      <c r="D114" s="107" t="s">
        <v>1148</v>
      </c>
      <c r="E114" s="109">
        <v>44226</v>
      </c>
      <c r="F114" s="109">
        <v>42328</v>
      </c>
      <c r="G114" s="110">
        <v>80819400</v>
      </c>
      <c r="H114" s="110">
        <v>0</v>
      </c>
      <c r="I114" s="110">
        <v>0</v>
      </c>
      <c r="J114" s="110">
        <v>0</v>
      </c>
      <c r="K114" s="110">
        <v>0</v>
      </c>
      <c r="L114" s="110">
        <v>0</v>
      </c>
      <c r="M114" s="110">
        <v>0</v>
      </c>
      <c r="N114" s="110">
        <v>0</v>
      </c>
      <c r="O114" s="110">
        <v>0</v>
      </c>
      <c r="P114" s="110">
        <v>2344.7000000000003</v>
      </c>
      <c r="Q114" s="110">
        <v>27211.280000000002</v>
      </c>
      <c r="R114" s="110">
        <v>0</v>
      </c>
      <c r="S114" s="110">
        <v>29555.98</v>
      </c>
      <c r="T114" s="110">
        <v>-29555.98</v>
      </c>
      <c r="U114" s="110">
        <v>0</v>
      </c>
      <c r="V114" s="110">
        <v>0</v>
      </c>
      <c r="W114" s="110">
        <v>0</v>
      </c>
      <c r="X114" s="111">
        <v>-29555.98</v>
      </c>
      <c r="Y114" s="72" t="str">
        <f>VLOOKUP(D114,'TKP 终端汇总'!A:A,1,0)</f>
        <v>GN</v>
      </c>
    </row>
    <row r="115" spans="1:25" x14ac:dyDescent="0.2">
      <c r="A115" s="107" t="s">
        <v>497</v>
      </c>
      <c r="B115" s="107" t="s">
        <v>498</v>
      </c>
      <c r="C115" s="108">
        <v>330</v>
      </c>
      <c r="D115" s="107" t="s">
        <v>1148</v>
      </c>
      <c r="E115" s="109">
        <v>44271</v>
      </c>
      <c r="F115" s="109">
        <v>42431</v>
      </c>
      <c r="G115" s="110">
        <v>0</v>
      </c>
      <c r="H115" s="110">
        <v>0</v>
      </c>
      <c r="I115" s="110">
        <v>0</v>
      </c>
      <c r="J115" s="110">
        <v>0</v>
      </c>
      <c r="K115" s="110">
        <v>0</v>
      </c>
      <c r="L115" s="110">
        <v>0</v>
      </c>
      <c r="M115" s="110">
        <v>0</v>
      </c>
      <c r="N115" s="110">
        <v>0</v>
      </c>
      <c r="O115" s="110">
        <v>0</v>
      </c>
      <c r="P115" s="110">
        <v>0</v>
      </c>
      <c r="Q115" s="110">
        <v>0</v>
      </c>
      <c r="R115" s="110">
        <v>0</v>
      </c>
      <c r="S115" s="110">
        <v>0</v>
      </c>
      <c r="T115" s="110">
        <v>0</v>
      </c>
      <c r="U115" s="110">
        <v>0</v>
      </c>
      <c r="V115" s="110">
        <v>0</v>
      </c>
      <c r="W115" s="110">
        <v>0</v>
      </c>
      <c r="X115" s="111">
        <v>0</v>
      </c>
      <c r="Y115" s="72" t="str">
        <f>VLOOKUP(D115,'TKP 终端汇总'!A:A,1,0)</f>
        <v>GN</v>
      </c>
    </row>
    <row r="116" spans="1:25" x14ac:dyDescent="0.2">
      <c r="A116" s="107" t="s">
        <v>501</v>
      </c>
      <c r="B116" s="107" t="s">
        <v>320</v>
      </c>
      <c r="C116" s="108">
        <v>330</v>
      </c>
      <c r="D116" s="107" t="s">
        <v>1148</v>
      </c>
      <c r="E116" s="109">
        <v>44307</v>
      </c>
      <c r="F116" s="109">
        <v>42198</v>
      </c>
      <c r="G116" s="110">
        <v>5610000</v>
      </c>
      <c r="H116" s="110">
        <v>0</v>
      </c>
      <c r="I116" s="110">
        <v>0</v>
      </c>
      <c r="J116" s="110">
        <v>0</v>
      </c>
      <c r="K116" s="110">
        <v>0</v>
      </c>
      <c r="L116" s="110">
        <v>0</v>
      </c>
      <c r="M116" s="110">
        <v>0</v>
      </c>
      <c r="N116" s="110">
        <v>0</v>
      </c>
      <c r="O116" s="110">
        <v>0</v>
      </c>
      <c r="P116" s="110">
        <v>0</v>
      </c>
      <c r="Q116" s="110">
        <v>0</v>
      </c>
      <c r="R116" s="110">
        <v>0</v>
      </c>
      <c r="S116" s="110">
        <v>0</v>
      </c>
      <c r="T116" s="110">
        <v>0</v>
      </c>
      <c r="U116" s="110">
        <v>0</v>
      </c>
      <c r="V116" s="110">
        <v>3391.4100000000003</v>
      </c>
      <c r="W116" s="110">
        <v>3391.4100000000003</v>
      </c>
      <c r="X116" s="111">
        <v>-3391.4100000000003</v>
      </c>
      <c r="Y116" s="72" t="str">
        <f>VLOOKUP(D116,'TKP 终端汇总'!A:A,1,0)</f>
        <v>GN</v>
      </c>
    </row>
    <row r="117" spans="1:25" x14ac:dyDescent="0.2">
      <c r="A117" s="107" t="s">
        <v>504</v>
      </c>
      <c r="B117" s="107" t="s">
        <v>505</v>
      </c>
      <c r="C117" s="108">
        <v>360</v>
      </c>
      <c r="D117" s="107" t="s">
        <v>1153</v>
      </c>
      <c r="E117" s="109">
        <v>44226</v>
      </c>
      <c r="F117" s="109">
        <v>42420</v>
      </c>
      <c r="G117" s="110">
        <v>0</v>
      </c>
      <c r="H117" s="110">
        <v>0</v>
      </c>
      <c r="I117" s="110">
        <v>0</v>
      </c>
      <c r="J117" s="110">
        <v>0</v>
      </c>
      <c r="K117" s="110">
        <v>0</v>
      </c>
      <c r="L117" s="110">
        <v>0</v>
      </c>
      <c r="M117" s="110">
        <v>0</v>
      </c>
      <c r="N117" s="110">
        <v>0</v>
      </c>
      <c r="O117" s="110">
        <v>0</v>
      </c>
      <c r="P117" s="110">
        <v>0</v>
      </c>
      <c r="Q117" s="110">
        <v>0</v>
      </c>
      <c r="R117" s="110">
        <v>0</v>
      </c>
      <c r="S117" s="110">
        <v>0</v>
      </c>
      <c r="T117" s="110">
        <v>0</v>
      </c>
      <c r="U117" s="110">
        <v>0</v>
      </c>
      <c r="V117" s="110">
        <v>0</v>
      </c>
      <c r="W117" s="110">
        <v>0</v>
      </c>
      <c r="X117" s="111">
        <v>0</v>
      </c>
      <c r="Y117" s="72" t="str">
        <f>VLOOKUP(D117,'TKP 终端汇总'!A:A,1,0)</f>
        <v>Google</v>
      </c>
    </row>
    <row r="118" spans="1:25" x14ac:dyDescent="0.2">
      <c r="A118" s="107" t="s">
        <v>506</v>
      </c>
      <c r="B118" s="107" t="s">
        <v>507</v>
      </c>
      <c r="C118" s="108">
        <v>360</v>
      </c>
      <c r="D118" s="107" t="s">
        <v>1153</v>
      </c>
      <c r="E118" s="109">
        <v>44226</v>
      </c>
      <c r="F118" s="109">
        <v>42373</v>
      </c>
      <c r="G118" s="110">
        <v>0</v>
      </c>
      <c r="H118" s="110">
        <v>0</v>
      </c>
      <c r="I118" s="110">
        <v>0</v>
      </c>
      <c r="J118" s="110">
        <v>0</v>
      </c>
      <c r="K118" s="110">
        <v>0</v>
      </c>
      <c r="L118" s="110">
        <v>0</v>
      </c>
      <c r="M118" s="110">
        <v>0</v>
      </c>
      <c r="N118" s="110">
        <v>0</v>
      </c>
      <c r="O118" s="110">
        <v>0</v>
      </c>
      <c r="P118" s="110">
        <v>0</v>
      </c>
      <c r="Q118" s="110">
        <v>0</v>
      </c>
      <c r="R118" s="110">
        <v>0</v>
      </c>
      <c r="S118" s="110">
        <v>0</v>
      </c>
      <c r="T118" s="110">
        <v>0</v>
      </c>
      <c r="U118" s="110">
        <v>0</v>
      </c>
      <c r="V118" s="110">
        <v>0</v>
      </c>
      <c r="W118" s="110">
        <v>0</v>
      </c>
      <c r="X118" s="111">
        <v>0</v>
      </c>
      <c r="Y118" s="72" t="str">
        <f>VLOOKUP(D118,'TKP 终端汇总'!A:A,1,0)</f>
        <v>Google</v>
      </c>
    </row>
    <row r="119" spans="1:25" x14ac:dyDescent="0.2">
      <c r="A119" s="107" t="s">
        <v>508</v>
      </c>
      <c r="B119" s="107" t="s">
        <v>509</v>
      </c>
      <c r="C119" s="108">
        <v>360</v>
      </c>
      <c r="D119" s="107" t="s">
        <v>1153</v>
      </c>
      <c r="E119" s="109">
        <v>44226</v>
      </c>
      <c r="F119" s="109">
        <v>42620</v>
      </c>
      <c r="G119" s="110">
        <v>0</v>
      </c>
      <c r="H119" s="110">
        <v>0</v>
      </c>
      <c r="I119" s="110">
        <v>0</v>
      </c>
      <c r="J119" s="110">
        <v>0</v>
      </c>
      <c r="K119" s="110">
        <v>0</v>
      </c>
      <c r="L119" s="110">
        <v>0</v>
      </c>
      <c r="M119" s="110">
        <v>0</v>
      </c>
      <c r="N119" s="110">
        <v>0</v>
      </c>
      <c r="O119" s="110">
        <v>0</v>
      </c>
      <c r="P119" s="110">
        <v>0</v>
      </c>
      <c r="Q119" s="110">
        <v>0</v>
      </c>
      <c r="R119" s="110">
        <v>0</v>
      </c>
      <c r="S119" s="110">
        <v>0</v>
      </c>
      <c r="T119" s="110">
        <v>0</v>
      </c>
      <c r="U119" s="110">
        <v>0</v>
      </c>
      <c r="V119" s="110">
        <v>0</v>
      </c>
      <c r="W119" s="110">
        <v>0</v>
      </c>
      <c r="X119" s="111">
        <v>0</v>
      </c>
      <c r="Y119" s="72" t="str">
        <f>VLOOKUP(D119,'TKP 终端汇总'!A:A,1,0)</f>
        <v>Google</v>
      </c>
    </row>
    <row r="120" spans="1:25" x14ac:dyDescent="0.2">
      <c r="A120" s="107" t="s">
        <v>510</v>
      </c>
      <c r="B120" s="107" t="s">
        <v>511</v>
      </c>
      <c r="C120" s="108">
        <v>360</v>
      </c>
      <c r="D120" s="107" t="s">
        <v>1153</v>
      </c>
      <c r="E120" s="109">
        <v>44357</v>
      </c>
      <c r="F120" s="109">
        <v>42198</v>
      </c>
      <c r="G120" s="110">
        <v>0</v>
      </c>
      <c r="H120" s="110">
        <v>0</v>
      </c>
      <c r="I120" s="110">
        <v>0</v>
      </c>
      <c r="J120" s="110">
        <v>0</v>
      </c>
      <c r="K120" s="110">
        <v>0</v>
      </c>
      <c r="L120" s="110">
        <v>0</v>
      </c>
      <c r="M120" s="110">
        <v>0</v>
      </c>
      <c r="N120" s="110">
        <v>0</v>
      </c>
      <c r="O120" s="110">
        <v>0</v>
      </c>
      <c r="P120" s="110">
        <v>0</v>
      </c>
      <c r="Q120" s="110">
        <v>0</v>
      </c>
      <c r="R120" s="110">
        <v>0</v>
      </c>
      <c r="S120" s="110">
        <v>0</v>
      </c>
      <c r="T120" s="110">
        <v>0</v>
      </c>
      <c r="U120" s="110">
        <v>0</v>
      </c>
      <c r="V120" s="110">
        <v>0</v>
      </c>
      <c r="W120" s="110">
        <v>0</v>
      </c>
      <c r="X120" s="111">
        <v>0</v>
      </c>
      <c r="Y120" s="72" t="str">
        <f>VLOOKUP(D120,'TKP 终端汇总'!A:A,1,0)</f>
        <v>Google</v>
      </c>
    </row>
    <row r="121" spans="1:25" x14ac:dyDescent="0.2">
      <c r="A121" s="107" t="s">
        <v>516</v>
      </c>
      <c r="B121" s="107" t="s">
        <v>517</v>
      </c>
      <c r="C121" s="108">
        <v>437</v>
      </c>
      <c r="D121" s="107" t="s">
        <v>1150</v>
      </c>
      <c r="E121" s="109">
        <v>44226</v>
      </c>
      <c r="F121" s="109">
        <v>44407</v>
      </c>
      <c r="G121" s="110">
        <v>1702800</v>
      </c>
      <c r="H121" s="110">
        <v>0</v>
      </c>
      <c r="I121" s="110">
        <v>0</v>
      </c>
      <c r="J121" s="110">
        <v>0</v>
      </c>
      <c r="K121" s="110">
        <v>0</v>
      </c>
      <c r="L121" s="110">
        <v>0</v>
      </c>
      <c r="M121" s="110">
        <v>0</v>
      </c>
      <c r="N121" s="110">
        <v>0</v>
      </c>
      <c r="O121" s="110">
        <v>0</v>
      </c>
      <c r="P121" s="110">
        <v>71702.319999999992</v>
      </c>
      <c r="Q121" s="110">
        <v>0</v>
      </c>
      <c r="R121" s="110">
        <v>0</v>
      </c>
      <c r="S121" s="110">
        <v>71702.319999999992</v>
      </c>
      <c r="T121" s="110">
        <v>-71702.319999999992</v>
      </c>
      <c r="U121" s="110">
        <v>0</v>
      </c>
      <c r="V121" s="110">
        <v>0</v>
      </c>
      <c r="W121" s="110">
        <v>0</v>
      </c>
      <c r="X121" s="111">
        <v>-71702.319999999992</v>
      </c>
      <c r="Y121" s="72" t="str">
        <f>VLOOKUP(D121,'TKP 终端汇总'!A:A,1,0)</f>
        <v>FITBIT</v>
      </c>
    </row>
    <row r="122" spans="1:25" x14ac:dyDescent="0.2">
      <c r="A122" s="107" t="s">
        <v>524</v>
      </c>
      <c r="B122" s="107" t="s">
        <v>525</v>
      </c>
      <c r="C122" s="108">
        <v>440</v>
      </c>
      <c r="D122" s="107" t="s">
        <v>1161</v>
      </c>
      <c r="E122" s="109">
        <v>44329</v>
      </c>
      <c r="F122" s="109">
        <v>44431</v>
      </c>
      <c r="G122" s="110">
        <v>0</v>
      </c>
      <c r="H122" s="110">
        <v>0</v>
      </c>
      <c r="I122" s="110">
        <v>0</v>
      </c>
      <c r="J122" s="110">
        <v>0</v>
      </c>
      <c r="K122" s="110">
        <v>0</v>
      </c>
      <c r="L122" s="110">
        <v>0</v>
      </c>
      <c r="M122" s="110">
        <v>0</v>
      </c>
      <c r="N122" s="110">
        <v>0</v>
      </c>
      <c r="O122" s="110">
        <v>0</v>
      </c>
      <c r="P122" s="110">
        <v>0</v>
      </c>
      <c r="Q122" s="110">
        <v>0</v>
      </c>
      <c r="R122" s="110">
        <v>0</v>
      </c>
      <c r="S122" s="110">
        <v>0</v>
      </c>
      <c r="T122" s="110">
        <v>0</v>
      </c>
      <c r="U122" s="110">
        <v>0</v>
      </c>
      <c r="V122" s="110">
        <v>0</v>
      </c>
      <c r="W122" s="110">
        <v>0</v>
      </c>
      <c r="X122" s="111">
        <v>0</v>
      </c>
      <c r="Y122" s="72" t="str">
        <f>VLOOKUP(D122,'TKP 终端汇总'!A:A,1,0)</f>
        <v>OTTERBOX</v>
      </c>
    </row>
    <row r="123" spans="1:25" x14ac:dyDescent="0.2">
      <c r="A123" s="107" t="s">
        <v>530</v>
      </c>
      <c r="B123" s="107" t="s">
        <v>531</v>
      </c>
      <c r="C123" s="108" t="s">
        <v>56</v>
      </c>
      <c r="D123" s="107" t="s">
        <v>1151</v>
      </c>
      <c r="E123" s="109">
        <v>44226</v>
      </c>
      <c r="F123" s="109">
        <v>44165</v>
      </c>
      <c r="G123" s="110">
        <v>0</v>
      </c>
      <c r="H123" s="110">
        <v>300951.75</v>
      </c>
      <c r="I123" s="110">
        <v>0</v>
      </c>
      <c r="J123" s="110">
        <v>0</v>
      </c>
      <c r="K123" s="110">
        <v>0</v>
      </c>
      <c r="L123" s="110">
        <v>0</v>
      </c>
      <c r="M123" s="110">
        <v>300951.75</v>
      </c>
      <c r="N123" s="110">
        <v>0</v>
      </c>
      <c r="O123" s="110">
        <v>0</v>
      </c>
      <c r="P123" s="110">
        <v>23951.32</v>
      </c>
      <c r="Q123" s="110">
        <v>0</v>
      </c>
      <c r="R123" s="110">
        <v>0</v>
      </c>
      <c r="S123" s="110">
        <v>23951.32</v>
      </c>
      <c r="T123" s="110">
        <v>277000.43</v>
      </c>
      <c r="U123" s="110">
        <v>0</v>
      </c>
      <c r="V123" s="110">
        <v>0</v>
      </c>
      <c r="W123" s="110">
        <v>0</v>
      </c>
      <c r="X123" s="111">
        <v>277000.43</v>
      </c>
      <c r="Y123" s="72" t="str">
        <f>VLOOKUP(D123,'TKP 终端汇总'!A:A,1,0)</f>
        <v>合元</v>
      </c>
    </row>
    <row r="124" spans="1:25" x14ac:dyDescent="0.2">
      <c r="A124" s="107" t="s">
        <v>534</v>
      </c>
      <c r="B124" s="107" t="s">
        <v>535</v>
      </c>
      <c r="C124" s="108" t="s">
        <v>158</v>
      </c>
      <c r="D124" s="107" t="s">
        <v>1195</v>
      </c>
      <c r="E124" s="109">
        <v>44226</v>
      </c>
      <c r="F124" s="109">
        <v>44103</v>
      </c>
      <c r="G124" s="110">
        <v>0</v>
      </c>
      <c r="H124" s="110">
        <v>0</v>
      </c>
      <c r="I124" s="110">
        <v>0</v>
      </c>
      <c r="J124" s="110">
        <v>0</v>
      </c>
      <c r="K124" s="110">
        <v>0</v>
      </c>
      <c r="L124" s="110">
        <v>0</v>
      </c>
      <c r="M124" s="110">
        <v>0</v>
      </c>
      <c r="N124" s="110">
        <v>916.46</v>
      </c>
      <c r="O124" s="110">
        <v>0</v>
      </c>
      <c r="P124" s="110">
        <v>0</v>
      </c>
      <c r="Q124" s="110">
        <v>0</v>
      </c>
      <c r="R124" s="110">
        <v>0</v>
      </c>
      <c r="S124" s="110">
        <v>916.46</v>
      </c>
      <c r="T124" s="110">
        <v>-916.46</v>
      </c>
      <c r="U124" s="110">
        <v>0</v>
      </c>
      <c r="V124" s="110">
        <v>672.93000000000006</v>
      </c>
      <c r="W124" s="110">
        <v>672.93000000000006</v>
      </c>
      <c r="X124" s="111">
        <v>-1589.39</v>
      </c>
      <c r="Y124" s="72" t="str">
        <f>VLOOKUP(D124,'TKP 终端汇总'!A:A,1,0)</f>
        <v>问问</v>
      </c>
    </row>
    <row r="125" spans="1:25" x14ac:dyDescent="0.2">
      <c r="A125" s="107" t="s">
        <v>542</v>
      </c>
      <c r="B125" s="107" t="s">
        <v>543</v>
      </c>
      <c r="C125" s="108" t="s">
        <v>208</v>
      </c>
      <c r="D125" s="107" t="s">
        <v>1177</v>
      </c>
      <c r="E125" s="109">
        <v>44226</v>
      </c>
      <c r="F125" s="109">
        <v>43281</v>
      </c>
      <c r="G125" s="110">
        <v>905600</v>
      </c>
      <c r="H125" s="110">
        <v>0</v>
      </c>
      <c r="I125" s="110">
        <v>0</v>
      </c>
      <c r="J125" s="110">
        <v>21216</v>
      </c>
      <c r="K125" s="110">
        <v>0</v>
      </c>
      <c r="L125" s="110">
        <v>0</v>
      </c>
      <c r="M125" s="110">
        <v>21216</v>
      </c>
      <c r="N125" s="110">
        <v>0</v>
      </c>
      <c r="O125" s="110">
        <v>0</v>
      </c>
      <c r="P125" s="110">
        <v>0</v>
      </c>
      <c r="Q125" s="110">
        <v>0</v>
      </c>
      <c r="R125" s="110">
        <v>0</v>
      </c>
      <c r="S125" s="110">
        <v>0</v>
      </c>
      <c r="T125" s="110">
        <v>21216</v>
      </c>
      <c r="U125" s="110">
        <v>0</v>
      </c>
      <c r="V125" s="110">
        <v>0</v>
      </c>
      <c r="W125" s="110">
        <v>0</v>
      </c>
      <c r="X125" s="111">
        <v>21216</v>
      </c>
      <c r="Y125" s="72" t="str">
        <f>VLOOKUP(D125,'TKP 终端汇总'!A:A,1,0)</f>
        <v>POLYCOM</v>
      </c>
    </row>
    <row r="126" spans="1:25" x14ac:dyDescent="0.2">
      <c r="A126" s="107" t="s">
        <v>544</v>
      </c>
      <c r="B126" s="107" t="s">
        <v>545</v>
      </c>
      <c r="C126" s="108" t="s">
        <v>208</v>
      </c>
      <c r="D126" s="107" t="s">
        <v>1177</v>
      </c>
      <c r="E126" s="109">
        <v>44226</v>
      </c>
      <c r="F126" s="109">
        <v>44629</v>
      </c>
      <c r="G126" s="110">
        <v>9671800</v>
      </c>
      <c r="H126" s="110">
        <v>553020</v>
      </c>
      <c r="I126" s="110">
        <v>0</v>
      </c>
      <c r="J126" s="110">
        <v>0</v>
      </c>
      <c r="K126" s="110">
        <v>0</v>
      </c>
      <c r="L126" s="110">
        <v>0</v>
      </c>
      <c r="M126" s="110">
        <v>553020</v>
      </c>
      <c r="N126" s="110">
        <v>504168.39</v>
      </c>
      <c r="O126" s="110">
        <v>0</v>
      </c>
      <c r="P126" s="110">
        <v>0</v>
      </c>
      <c r="Q126" s="110">
        <v>3131.25</v>
      </c>
      <c r="R126" s="110">
        <v>1383.34</v>
      </c>
      <c r="S126" s="110">
        <v>508682.98000000004</v>
      </c>
      <c r="T126" s="110">
        <v>44337.019999999982</v>
      </c>
      <c r="U126" s="110">
        <v>13350.63</v>
      </c>
      <c r="V126" s="110">
        <v>7421.6399999999994</v>
      </c>
      <c r="W126" s="110">
        <v>20772.269999999997</v>
      </c>
      <c r="X126" s="111">
        <v>23564.749999999985</v>
      </c>
      <c r="Y126" s="72" t="str">
        <f>VLOOKUP(D126,'TKP 终端汇总'!A:A,1,0)</f>
        <v>POLYCOM</v>
      </c>
    </row>
    <row r="127" spans="1:25" x14ac:dyDescent="0.2">
      <c r="A127" s="107" t="s">
        <v>550</v>
      </c>
      <c r="B127" s="107" t="s">
        <v>551</v>
      </c>
      <c r="C127" s="108" t="s">
        <v>208</v>
      </c>
      <c r="D127" s="107" t="s">
        <v>1177</v>
      </c>
      <c r="E127" s="109">
        <v>44226</v>
      </c>
      <c r="F127" s="109">
        <v>44293</v>
      </c>
      <c r="G127" s="110">
        <v>0</v>
      </c>
      <c r="H127" s="110">
        <v>0</v>
      </c>
      <c r="I127" s="110">
        <v>0</v>
      </c>
      <c r="J127" s="110">
        <v>0</v>
      </c>
      <c r="K127" s="110">
        <v>0</v>
      </c>
      <c r="L127" s="110">
        <v>0</v>
      </c>
      <c r="M127" s="110">
        <v>0</v>
      </c>
      <c r="N127" s="110">
        <v>0</v>
      </c>
      <c r="O127" s="110">
        <v>0</v>
      </c>
      <c r="P127" s="110">
        <v>0</v>
      </c>
      <c r="Q127" s="110">
        <v>0</v>
      </c>
      <c r="R127" s="110">
        <v>0</v>
      </c>
      <c r="S127" s="110">
        <v>0</v>
      </c>
      <c r="T127" s="110">
        <v>0</v>
      </c>
      <c r="U127" s="110">
        <v>0</v>
      </c>
      <c r="V127" s="110">
        <v>0</v>
      </c>
      <c r="W127" s="110">
        <v>0</v>
      </c>
      <c r="X127" s="111">
        <v>0</v>
      </c>
      <c r="Y127" s="72" t="str">
        <f>VLOOKUP(D127,'TKP 终端汇总'!A:A,1,0)</f>
        <v>POLYCOM</v>
      </c>
    </row>
    <row r="128" spans="1:25" x14ac:dyDescent="0.2">
      <c r="A128" s="107" t="s">
        <v>554</v>
      </c>
      <c r="B128" s="107" t="s">
        <v>555</v>
      </c>
      <c r="C128" s="108">
        <v>460</v>
      </c>
      <c r="D128" s="107" t="s">
        <v>1171</v>
      </c>
      <c r="E128" s="109">
        <v>44226</v>
      </c>
      <c r="F128" s="109">
        <v>44407</v>
      </c>
      <c r="G128" s="110">
        <v>0</v>
      </c>
      <c r="H128" s="110">
        <v>0</v>
      </c>
      <c r="I128" s="110">
        <v>0</v>
      </c>
      <c r="J128" s="110">
        <v>0</v>
      </c>
      <c r="K128" s="110">
        <v>0</v>
      </c>
      <c r="L128" s="110">
        <v>0</v>
      </c>
      <c r="M128" s="110">
        <v>0</v>
      </c>
      <c r="N128" s="110">
        <v>0</v>
      </c>
      <c r="O128" s="110">
        <v>0</v>
      </c>
      <c r="P128" s="110">
        <v>2170.4799999999996</v>
      </c>
      <c r="Q128" s="110">
        <v>0</v>
      </c>
      <c r="R128" s="110">
        <v>0</v>
      </c>
      <c r="S128" s="110">
        <v>2170.4799999999996</v>
      </c>
      <c r="T128" s="110">
        <v>-2170.4799999999996</v>
      </c>
      <c r="U128" s="110">
        <v>0</v>
      </c>
      <c r="V128" s="110">
        <v>0</v>
      </c>
      <c r="W128" s="110">
        <v>0</v>
      </c>
      <c r="X128" s="111">
        <v>-2170.4799999999996</v>
      </c>
      <c r="Y128" s="72" t="str">
        <f>VLOOKUP(D128,'TKP 终端汇总'!A:A,1,0)</f>
        <v>AMAZON</v>
      </c>
    </row>
    <row r="129" spans="1:25" x14ac:dyDescent="0.2">
      <c r="A129" s="107" t="s">
        <v>558</v>
      </c>
      <c r="B129" s="107" t="s">
        <v>559</v>
      </c>
      <c r="C129" s="108">
        <v>460</v>
      </c>
      <c r="D129" s="107" t="s">
        <v>1171</v>
      </c>
      <c r="E129" s="109">
        <v>44350</v>
      </c>
      <c r="F129" s="109">
        <v>44369</v>
      </c>
      <c r="G129" s="110">
        <v>20762412</v>
      </c>
      <c r="H129" s="110">
        <v>0</v>
      </c>
      <c r="I129" s="110">
        <v>0</v>
      </c>
      <c r="J129" s="110">
        <v>0</v>
      </c>
      <c r="K129" s="110">
        <v>0</v>
      </c>
      <c r="L129" s="110">
        <v>0</v>
      </c>
      <c r="M129" s="110">
        <v>0</v>
      </c>
      <c r="N129" s="110">
        <v>0</v>
      </c>
      <c r="O129" s="110">
        <v>0</v>
      </c>
      <c r="P129" s="110">
        <v>6390.2799999999988</v>
      </c>
      <c r="Q129" s="110">
        <v>0</v>
      </c>
      <c r="R129" s="110">
        <v>0</v>
      </c>
      <c r="S129" s="110">
        <v>6390.2799999999988</v>
      </c>
      <c r="T129" s="110">
        <v>-6390.2799999999988</v>
      </c>
      <c r="U129" s="110">
        <v>0</v>
      </c>
      <c r="V129" s="110">
        <v>0</v>
      </c>
      <c r="W129" s="110">
        <v>0</v>
      </c>
      <c r="X129" s="111">
        <v>-6390.2799999999988</v>
      </c>
      <c r="Y129" s="72" t="str">
        <f>VLOOKUP(D129,'TKP 终端汇总'!A:A,1,0)</f>
        <v>AMAZON</v>
      </c>
    </row>
    <row r="130" spans="1:25" x14ac:dyDescent="0.2">
      <c r="A130" s="107" t="s">
        <v>560</v>
      </c>
      <c r="B130" s="107" t="s">
        <v>561</v>
      </c>
      <c r="C130" s="108">
        <v>460</v>
      </c>
      <c r="D130" s="107" t="s">
        <v>1171</v>
      </c>
      <c r="E130" s="109">
        <v>44431</v>
      </c>
      <c r="F130" s="109">
        <v>44770</v>
      </c>
      <c r="G130" s="110">
        <v>25982505.199999999</v>
      </c>
      <c r="H130" s="110">
        <v>0</v>
      </c>
      <c r="I130" s="110">
        <v>0</v>
      </c>
      <c r="J130" s="110">
        <v>0</v>
      </c>
      <c r="K130" s="110">
        <v>0</v>
      </c>
      <c r="L130" s="110">
        <v>0</v>
      </c>
      <c r="M130" s="110">
        <v>0</v>
      </c>
      <c r="N130" s="110">
        <v>26833.040000000001</v>
      </c>
      <c r="O130" s="110">
        <v>0</v>
      </c>
      <c r="P130" s="110">
        <v>30241.870000000003</v>
      </c>
      <c r="Q130" s="110">
        <v>0</v>
      </c>
      <c r="R130" s="110">
        <v>0</v>
      </c>
      <c r="S130" s="110">
        <v>57074.91</v>
      </c>
      <c r="T130" s="110">
        <v>-57074.91</v>
      </c>
      <c r="U130" s="110">
        <v>0</v>
      </c>
      <c r="V130" s="110">
        <v>29294.089999999997</v>
      </c>
      <c r="W130" s="110">
        <v>29294.089999999997</v>
      </c>
      <c r="X130" s="111">
        <v>-86369</v>
      </c>
      <c r="Y130" s="72" t="str">
        <f>VLOOKUP(D130,'TKP 终端汇总'!A:A,1,0)</f>
        <v>AMAZON</v>
      </c>
    </row>
    <row r="131" spans="1:25" x14ac:dyDescent="0.2">
      <c r="A131" s="107" t="s">
        <v>562</v>
      </c>
      <c r="B131" s="107" t="s">
        <v>563</v>
      </c>
      <c r="C131" s="108" t="s">
        <v>52</v>
      </c>
      <c r="D131" s="107" t="s">
        <v>1175</v>
      </c>
      <c r="E131" s="109">
        <v>44226</v>
      </c>
      <c r="F131" s="109">
        <v>44424</v>
      </c>
      <c r="G131" s="110">
        <v>0</v>
      </c>
      <c r="H131" s="110">
        <v>0</v>
      </c>
      <c r="I131" s="110">
        <v>0</v>
      </c>
      <c r="J131" s="110">
        <v>0</v>
      </c>
      <c r="K131" s="110">
        <v>0</v>
      </c>
      <c r="L131" s="110">
        <v>0</v>
      </c>
      <c r="M131" s="110">
        <v>0</v>
      </c>
      <c r="N131" s="110">
        <v>0</v>
      </c>
      <c r="O131" s="110">
        <v>0</v>
      </c>
      <c r="P131" s="110">
        <v>0</v>
      </c>
      <c r="Q131" s="110">
        <v>0</v>
      </c>
      <c r="R131" s="110">
        <v>0</v>
      </c>
      <c r="S131" s="110">
        <v>0</v>
      </c>
      <c r="T131" s="110">
        <v>0</v>
      </c>
      <c r="U131" s="110">
        <v>0</v>
      </c>
      <c r="V131" s="110">
        <v>1373.71</v>
      </c>
      <c r="W131" s="110">
        <v>1373.71</v>
      </c>
      <c r="X131" s="111">
        <v>-1373.71</v>
      </c>
      <c r="Y131" s="72" t="str">
        <f>VLOOKUP(D131,'TKP 终端汇总'!A:A,1,0)</f>
        <v>NJOY</v>
      </c>
    </row>
    <row r="132" spans="1:25" x14ac:dyDescent="0.2">
      <c r="A132" s="107" t="s">
        <v>564</v>
      </c>
      <c r="B132" s="107" t="s">
        <v>565</v>
      </c>
      <c r="C132" s="108" t="s">
        <v>136</v>
      </c>
      <c r="D132" s="107" t="s">
        <v>1178</v>
      </c>
      <c r="E132" s="109">
        <v>44226</v>
      </c>
      <c r="F132" s="109">
        <v>44133</v>
      </c>
      <c r="G132" s="110">
        <v>0</v>
      </c>
      <c r="H132" s="110">
        <v>0</v>
      </c>
      <c r="I132" s="110">
        <v>0</v>
      </c>
      <c r="J132" s="110">
        <v>0</v>
      </c>
      <c r="K132" s="110">
        <v>0</v>
      </c>
      <c r="L132" s="110">
        <v>0</v>
      </c>
      <c r="M132" s="110">
        <v>0</v>
      </c>
      <c r="N132" s="110">
        <v>0</v>
      </c>
      <c r="O132" s="110">
        <v>0</v>
      </c>
      <c r="P132" s="110">
        <v>17857.79</v>
      </c>
      <c r="Q132" s="110">
        <v>0</v>
      </c>
      <c r="R132" s="110">
        <v>0</v>
      </c>
      <c r="S132" s="110">
        <v>17857.79</v>
      </c>
      <c r="T132" s="110">
        <v>-17857.79</v>
      </c>
      <c r="U132" s="110">
        <v>1002.37</v>
      </c>
      <c r="V132" s="110">
        <v>117.61</v>
      </c>
      <c r="W132" s="110">
        <v>1119.98</v>
      </c>
      <c r="X132" s="111">
        <v>-18977.77</v>
      </c>
      <c r="Y132" s="72" t="str">
        <f>VLOOKUP(D132,'TKP 终端汇总'!A:A,1,0)</f>
        <v>Square</v>
      </c>
    </row>
    <row r="133" spans="1:25" x14ac:dyDescent="0.2">
      <c r="A133" s="107" t="s">
        <v>566</v>
      </c>
      <c r="B133" s="107" t="s">
        <v>567</v>
      </c>
      <c r="C133" s="108" t="s">
        <v>568</v>
      </c>
      <c r="D133" s="107" t="s">
        <v>1227</v>
      </c>
      <c r="E133" s="109">
        <v>44226</v>
      </c>
      <c r="F133" s="109">
        <v>44088</v>
      </c>
      <c r="G133" s="110">
        <v>0</v>
      </c>
      <c r="H133" s="110">
        <v>0</v>
      </c>
      <c r="I133" s="110">
        <v>0</v>
      </c>
      <c r="J133" s="110">
        <v>0</v>
      </c>
      <c r="K133" s="110">
        <v>0</v>
      </c>
      <c r="L133" s="110">
        <v>26520</v>
      </c>
      <c r="M133" s="110">
        <v>26520</v>
      </c>
      <c r="N133" s="110">
        <v>0</v>
      </c>
      <c r="O133" s="110">
        <v>0</v>
      </c>
      <c r="P133" s="110">
        <v>0</v>
      </c>
      <c r="Q133" s="110">
        <v>0</v>
      </c>
      <c r="R133" s="110">
        <v>0</v>
      </c>
      <c r="S133" s="110">
        <v>0</v>
      </c>
      <c r="T133" s="110">
        <v>26520</v>
      </c>
      <c r="U133" s="110">
        <v>0</v>
      </c>
      <c r="V133" s="110">
        <v>0</v>
      </c>
      <c r="W133" s="110">
        <v>0</v>
      </c>
      <c r="X133" s="111">
        <v>26520</v>
      </c>
      <c r="Y133" s="72" t="str">
        <f>VLOOKUP(D133,'TKP 终端汇总'!A:A,1,0)</f>
        <v>Cepheid</v>
      </c>
    </row>
    <row r="134" spans="1:25" x14ac:dyDescent="0.2">
      <c r="A134" s="107" t="s">
        <v>570</v>
      </c>
      <c r="B134" s="107" t="s">
        <v>571</v>
      </c>
      <c r="C134" s="108" t="s">
        <v>62</v>
      </c>
      <c r="D134" s="107" t="s">
        <v>1152</v>
      </c>
      <c r="E134" s="109">
        <v>44226</v>
      </c>
      <c r="F134" s="109">
        <v>44446</v>
      </c>
      <c r="G134" s="110">
        <v>0</v>
      </c>
      <c r="H134" s="110">
        <v>0</v>
      </c>
      <c r="I134" s="110">
        <v>0</v>
      </c>
      <c r="J134" s="110">
        <v>2354.73</v>
      </c>
      <c r="K134" s="110">
        <v>0</v>
      </c>
      <c r="L134" s="110">
        <v>0</v>
      </c>
      <c r="M134" s="110">
        <v>2354.73</v>
      </c>
      <c r="N134" s="110">
        <v>288674.43</v>
      </c>
      <c r="O134" s="110">
        <v>0</v>
      </c>
      <c r="P134" s="110">
        <v>15306.18</v>
      </c>
      <c r="Q134" s="110">
        <v>0</v>
      </c>
      <c r="R134" s="110">
        <v>0</v>
      </c>
      <c r="S134" s="110">
        <v>303980.61</v>
      </c>
      <c r="T134" s="110">
        <v>-301625.88</v>
      </c>
      <c r="U134" s="110">
        <v>0</v>
      </c>
      <c r="V134" s="110">
        <v>0</v>
      </c>
      <c r="W134" s="110">
        <v>0</v>
      </c>
      <c r="X134" s="111">
        <v>-301625.88</v>
      </c>
      <c r="Y134" s="72" t="str">
        <f>VLOOKUP(D134,'TKP 终端汇总'!A:A,1,0)</f>
        <v>BAT</v>
      </c>
    </row>
    <row r="135" spans="1:25" x14ac:dyDescent="0.2">
      <c r="A135" s="107" t="s">
        <v>572</v>
      </c>
      <c r="B135" s="107" t="s">
        <v>573</v>
      </c>
      <c r="C135" s="108" t="s">
        <v>574</v>
      </c>
      <c r="D135" s="107" t="s">
        <v>1188</v>
      </c>
      <c r="E135" s="109">
        <v>44664</v>
      </c>
      <c r="F135" s="109"/>
      <c r="G135" s="110">
        <v>13443540</v>
      </c>
      <c r="H135" s="110">
        <v>482435</v>
      </c>
      <c r="I135" s="110">
        <v>0</v>
      </c>
      <c r="J135" s="110">
        <v>33826.5</v>
      </c>
      <c r="K135" s="110">
        <v>0</v>
      </c>
      <c r="L135" s="110">
        <v>0</v>
      </c>
      <c r="M135" s="110">
        <v>516261.5</v>
      </c>
      <c r="N135" s="110">
        <v>395308.17999999993</v>
      </c>
      <c r="O135" s="110">
        <v>0</v>
      </c>
      <c r="P135" s="110">
        <v>11395.12</v>
      </c>
      <c r="Q135" s="110">
        <v>7607.56</v>
      </c>
      <c r="R135" s="110">
        <v>2940.23</v>
      </c>
      <c r="S135" s="110">
        <v>417251.08999999991</v>
      </c>
      <c r="T135" s="110">
        <v>99010.410000000033</v>
      </c>
      <c r="U135" s="110">
        <v>953.62</v>
      </c>
      <c r="V135" s="110">
        <v>-27440.53</v>
      </c>
      <c r="W135" s="110">
        <v>-26486.91</v>
      </c>
      <c r="X135" s="111">
        <v>125497.32000000004</v>
      </c>
      <c r="Y135" s="72" t="str">
        <f>VLOOKUP(D135,'TKP 终端汇总'!A:A,1,0)</f>
        <v>和硕</v>
      </c>
    </row>
    <row r="136" spans="1:25" x14ac:dyDescent="0.2">
      <c r="A136" s="107" t="s">
        <v>707</v>
      </c>
      <c r="B136" s="107" t="s">
        <v>708</v>
      </c>
      <c r="C136" s="108" t="s">
        <v>166</v>
      </c>
      <c r="D136" s="107" t="s">
        <v>475</v>
      </c>
      <c r="E136" s="109">
        <v>44799</v>
      </c>
      <c r="F136" s="109"/>
      <c r="G136" s="110">
        <v>2874000</v>
      </c>
      <c r="H136" s="110">
        <v>4314.99</v>
      </c>
      <c r="I136" s="110">
        <v>0</v>
      </c>
      <c r="J136" s="110">
        <v>-1441.24</v>
      </c>
      <c r="K136" s="110">
        <v>0</v>
      </c>
      <c r="L136" s="110">
        <v>0</v>
      </c>
      <c r="M136" s="110">
        <v>2873.75</v>
      </c>
      <c r="N136" s="110">
        <v>7796.97</v>
      </c>
      <c r="O136" s="110">
        <v>0</v>
      </c>
      <c r="P136" s="110">
        <v>7318.74</v>
      </c>
      <c r="Q136" s="110">
        <v>2714.95</v>
      </c>
      <c r="R136" s="110">
        <v>0</v>
      </c>
      <c r="S136" s="110">
        <v>17830.66</v>
      </c>
      <c r="T136" s="110">
        <v>-14956.91</v>
      </c>
      <c r="U136" s="110">
        <v>584.77</v>
      </c>
      <c r="V136" s="110">
        <v>16988.399999999998</v>
      </c>
      <c r="W136" s="110">
        <v>17573.169999999998</v>
      </c>
      <c r="X136" s="111">
        <v>-32530.079999999998</v>
      </c>
      <c r="Y136" s="72" t="str">
        <f>VLOOKUP(D136,'TKP 终端汇总'!A:A,1,0)</f>
        <v>韶音</v>
      </c>
    </row>
    <row r="137" spans="1:25" x14ac:dyDescent="0.2">
      <c r="A137" s="107" t="s">
        <v>709</v>
      </c>
      <c r="B137" s="107" t="s">
        <v>710</v>
      </c>
      <c r="C137" s="108" t="s">
        <v>114</v>
      </c>
      <c r="D137" s="107" t="s">
        <v>1165</v>
      </c>
      <c r="E137" s="109">
        <v>44776</v>
      </c>
      <c r="F137" s="109"/>
      <c r="G137" s="110">
        <v>7687368</v>
      </c>
      <c r="H137" s="110">
        <v>1116823.67</v>
      </c>
      <c r="I137" s="110">
        <v>0</v>
      </c>
      <c r="J137" s="110">
        <v>77842.760000000009</v>
      </c>
      <c r="K137" s="110">
        <v>0</v>
      </c>
      <c r="L137" s="110">
        <v>0</v>
      </c>
      <c r="M137" s="110">
        <v>1194666.4300000002</v>
      </c>
      <c r="N137" s="110">
        <v>1302266.92</v>
      </c>
      <c r="O137" s="110">
        <v>0</v>
      </c>
      <c r="P137" s="110">
        <v>14562.59</v>
      </c>
      <c r="Q137" s="110">
        <v>6822.35</v>
      </c>
      <c r="R137" s="110">
        <v>549.65</v>
      </c>
      <c r="S137" s="110">
        <v>1324201.51</v>
      </c>
      <c r="T137" s="110">
        <v>-129535.08000000007</v>
      </c>
      <c r="U137" s="110">
        <v>1154.29</v>
      </c>
      <c r="V137" s="110">
        <v>50337.759999999995</v>
      </c>
      <c r="W137" s="110">
        <v>51492.05</v>
      </c>
      <c r="X137" s="111">
        <v>-181027.13000000006</v>
      </c>
      <c r="Y137" s="72" t="str">
        <f>VLOOKUP(D137,'TKP 终端汇总'!A:A,1,0)</f>
        <v>影石</v>
      </c>
    </row>
    <row r="138" spans="1:25" x14ac:dyDescent="0.2">
      <c r="A138" s="107" t="s">
        <v>715</v>
      </c>
      <c r="B138" s="107" t="s">
        <v>716</v>
      </c>
      <c r="C138" s="108" t="s">
        <v>96</v>
      </c>
      <c r="D138" s="107" t="s">
        <v>1194</v>
      </c>
      <c r="E138" s="109">
        <v>44784</v>
      </c>
      <c r="F138" s="109"/>
      <c r="G138" s="110">
        <v>1110000</v>
      </c>
      <c r="H138" s="110">
        <v>0</v>
      </c>
      <c r="I138" s="110">
        <v>0</v>
      </c>
      <c r="J138" s="110">
        <v>0</v>
      </c>
      <c r="K138" s="110">
        <v>0</v>
      </c>
      <c r="L138" s="110">
        <v>0</v>
      </c>
      <c r="M138" s="110">
        <v>0</v>
      </c>
      <c r="N138" s="110">
        <v>0</v>
      </c>
      <c r="O138" s="110">
        <v>0</v>
      </c>
      <c r="P138" s="110">
        <v>2938.59</v>
      </c>
      <c r="Q138" s="110">
        <v>0</v>
      </c>
      <c r="R138" s="110">
        <v>-369854.47</v>
      </c>
      <c r="S138" s="110">
        <v>-366915.88</v>
      </c>
      <c r="T138" s="110">
        <v>366915.88</v>
      </c>
      <c r="U138" s="110">
        <v>0</v>
      </c>
      <c r="V138" s="110">
        <v>0</v>
      </c>
      <c r="W138" s="110">
        <v>0</v>
      </c>
      <c r="X138" s="111">
        <v>366915.88</v>
      </c>
      <c r="Y138" s="72" t="str">
        <f>VLOOKUP(D138,'TKP 终端汇总'!A:A,1,0)</f>
        <v>通力</v>
      </c>
    </row>
    <row r="139" spans="1:25" x14ac:dyDescent="0.2">
      <c r="A139" s="107" t="s">
        <v>717</v>
      </c>
      <c r="B139" s="107" t="s">
        <v>300</v>
      </c>
      <c r="C139" s="108" t="s">
        <v>5</v>
      </c>
      <c r="D139" s="107" t="s">
        <v>1162</v>
      </c>
      <c r="E139" s="109">
        <v>44770</v>
      </c>
      <c r="F139" s="109"/>
      <c r="G139" s="110">
        <v>9055200</v>
      </c>
      <c r="H139" s="110">
        <v>0</v>
      </c>
      <c r="I139" s="110">
        <v>0</v>
      </c>
      <c r="J139" s="110">
        <v>0</v>
      </c>
      <c r="K139" s="110">
        <v>0</v>
      </c>
      <c r="L139" s="110">
        <v>0</v>
      </c>
      <c r="M139" s="110">
        <v>0</v>
      </c>
      <c r="N139" s="110">
        <v>3269.7</v>
      </c>
      <c r="O139" s="110">
        <v>0</v>
      </c>
      <c r="P139" s="110">
        <v>1122.05</v>
      </c>
      <c r="Q139" s="110">
        <v>0</v>
      </c>
      <c r="R139" s="110">
        <v>2436.34</v>
      </c>
      <c r="S139" s="110">
        <v>6828.09</v>
      </c>
      <c r="T139" s="110">
        <v>-6828.09</v>
      </c>
      <c r="U139" s="110">
        <v>0</v>
      </c>
      <c r="V139" s="110">
        <v>9120.74</v>
      </c>
      <c r="W139" s="110">
        <v>9120.74</v>
      </c>
      <c r="X139" s="111">
        <v>-15948.83</v>
      </c>
      <c r="Y139" s="72" t="str">
        <f>VLOOKUP(D139,'TKP 终端汇总'!A:A,1,0)</f>
        <v xml:space="preserve">August </v>
      </c>
    </row>
    <row r="140" spans="1:25" x14ac:dyDescent="0.2">
      <c r="A140" s="107" t="s">
        <v>718</v>
      </c>
      <c r="B140" s="107" t="s">
        <v>719</v>
      </c>
      <c r="C140" s="108" t="s">
        <v>62</v>
      </c>
      <c r="D140" s="107" t="s">
        <v>1152</v>
      </c>
      <c r="E140" s="109">
        <v>44788</v>
      </c>
      <c r="F140" s="109"/>
      <c r="G140" s="110">
        <v>19153200</v>
      </c>
      <c r="H140" s="110">
        <v>150997.31</v>
      </c>
      <c r="I140" s="110">
        <v>0</v>
      </c>
      <c r="J140" s="110">
        <v>0</v>
      </c>
      <c r="K140" s="110">
        <v>0</v>
      </c>
      <c r="L140" s="110">
        <v>0</v>
      </c>
      <c r="M140" s="110">
        <v>150997.31</v>
      </c>
      <c r="N140" s="110">
        <v>13201582.51</v>
      </c>
      <c r="O140" s="110">
        <v>0</v>
      </c>
      <c r="P140" s="110">
        <v>857544.48</v>
      </c>
      <c r="Q140" s="110">
        <v>0</v>
      </c>
      <c r="R140" s="110">
        <v>0</v>
      </c>
      <c r="S140" s="110">
        <v>14059126.989999998</v>
      </c>
      <c r="T140" s="110">
        <v>-13908129.68</v>
      </c>
      <c r="U140" s="110">
        <v>0</v>
      </c>
      <c r="V140" s="110">
        <v>12025.06</v>
      </c>
      <c r="W140" s="110">
        <v>12025.06</v>
      </c>
      <c r="X140" s="111">
        <v>-13920154.74</v>
      </c>
      <c r="Y140" s="72" t="str">
        <f>VLOOKUP(D140,'TKP 终端汇总'!A:A,1,0)</f>
        <v>BAT</v>
      </c>
    </row>
    <row r="141" spans="1:25" x14ac:dyDescent="0.2">
      <c r="A141" s="107" t="s">
        <v>720</v>
      </c>
      <c r="B141" s="107" t="s">
        <v>266</v>
      </c>
      <c r="C141" s="108" t="s">
        <v>56</v>
      </c>
      <c r="D141" s="107" t="s">
        <v>1151</v>
      </c>
      <c r="E141" s="109">
        <v>44788</v>
      </c>
      <c r="F141" s="109"/>
      <c r="G141" s="110">
        <v>54455280</v>
      </c>
      <c r="H141" s="110">
        <v>1558663.92</v>
      </c>
      <c r="I141" s="110">
        <v>0</v>
      </c>
      <c r="J141" s="110">
        <v>0</v>
      </c>
      <c r="K141" s="110">
        <v>0</v>
      </c>
      <c r="L141" s="110">
        <v>0</v>
      </c>
      <c r="M141" s="110">
        <v>1558663.92</v>
      </c>
      <c r="N141" s="110">
        <v>1270122.46</v>
      </c>
      <c r="O141" s="110">
        <v>85766.64</v>
      </c>
      <c r="P141" s="110">
        <v>356969.75</v>
      </c>
      <c r="Q141" s="110">
        <v>0</v>
      </c>
      <c r="R141" s="110">
        <v>0</v>
      </c>
      <c r="S141" s="110">
        <v>1712858.85</v>
      </c>
      <c r="T141" s="110">
        <v>-154194.93000000011</v>
      </c>
      <c r="U141" s="110">
        <v>0</v>
      </c>
      <c r="V141" s="110">
        <v>0</v>
      </c>
      <c r="W141" s="110">
        <v>0</v>
      </c>
      <c r="X141" s="111">
        <v>-154194.93000000011</v>
      </c>
      <c r="Y141" s="72" t="str">
        <f>VLOOKUP(D141,'TKP 终端汇总'!A:A,1,0)</f>
        <v>合元</v>
      </c>
    </row>
    <row r="142" spans="1:25" x14ac:dyDescent="0.2">
      <c r="A142" s="107" t="s">
        <v>721</v>
      </c>
      <c r="B142" s="107" t="s">
        <v>722</v>
      </c>
      <c r="C142" s="108" t="s">
        <v>56</v>
      </c>
      <c r="D142" s="107" t="s">
        <v>1151</v>
      </c>
      <c r="E142" s="109">
        <v>44226</v>
      </c>
      <c r="F142" s="109">
        <v>44076</v>
      </c>
      <c r="G142" s="110">
        <v>0</v>
      </c>
      <c r="H142" s="110">
        <v>0</v>
      </c>
      <c r="I142" s="110">
        <v>0</v>
      </c>
      <c r="J142" s="110">
        <v>0</v>
      </c>
      <c r="K142" s="110">
        <v>0</v>
      </c>
      <c r="L142" s="110">
        <v>0</v>
      </c>
      <c r="M142" s="110">
        <v>0</v>
      </c>
      <c r="N142" s="110">
        <v>0</v>
      </c>
      <c r="O142" s="110">
        <v>0</v>
      </c>
      <c r="P142" s="110">
        <v>0</v>
      </c>
      <c r="Q142" s="110">
        <v>0</v>
      </c>
      <c r="R142" s="110">
        <v>0</v>
      </c>
      <c r="S142" s="110">
        <v>0</v>
      </c>
      <c r="T142" s="110">
        <v>0</v>
      </c>
      <c r="U142" s="110">
        <v>0</v>
      </c>
      <c r="V142" s="110">
        <v>0</v>
      </c>
      <c r="W142" s="110">
        <v>0</v>
      </c>
      <c r="X142" s="111">
        <v>0</v>
      </c>
      <c r="Y142" s="72" t="str">
        <f>VLOOKUP(D142,'TKP 终端汇总'!A:A,1,0)</f>
        <v>合元</v>
      </c>
    </row>
    <row r="143" spans="1:25" x14ac:dyDescent="0.2">
      <c r="A143" s="107" t="s">
        <v>723</v>
      </c>
      <c r="B143" s="107" t="s">
        <v>724</v>
      </c>
      <c r="C143" s="108">
        <v>437</v>
      </c>
      <c r="D143" s="107" t="s">
        <v>1150</v>
      </c>
      <c r="E143" s="109">
        <v>44628</v>
      </c>
      <c r="F143" s="109"/>
      <c r="G143" s="110">
        <v>14160121.6</v>
      </c>
      <c r="H143" s="110">
        <v>0</v>
      </c>
      <c r="I143" s="110">
        <v>0</v>
      </c>
      <c r="J143" s="110">
        <v>9920.35</v>
      </c>
      <c r="K143" s="110">
        <v>25222.76</v>
      </c>
      <c r="L143" s="110">
        <v>21680.559999999998</v>
      </c>
      <c r="M143" s="110">
        <v>56823.67</v>
      </c>
      <c r="N143" s="110">
        <v>0</v>
      </c>
      <c r="O143" s="110">
        <v>17543.169999999998</v>
      </c>
      <c r="P143" s="110">
        <v>88407.340000000011</v>
      </c>
      <c r="Q143" s="110">
        <v>0</v>
      </c>
      <c r="R143" s="110">
        <v>54587.070000000007</v>
      </c>
      <c r="S143" s="110">
        <v>160537.57999999999</v>
      </c>
      <c r="T143" s="110">
        <v>-103713.90999999999</v>
      </c>
      <c r="U143" s="110">
        <v>42823.069999999992</v>
      </c>
      <c r="V143" s="110">
        <v>110494.54999999999</v>
      </c>
      <c r="W143" s="110">
        <v>153317.62</v>
      </c>
      <c r="X143" s="111">
        <v>-257031.52999999997</v>
      </c>
      <c r="Y143" s="72" t="str">
        <f>VLOOKUP(D143,'TKP 终端汇总'!A:A,1,0)</f>
        <v>FITBIT</v>
      </c>
    </row>
    <row r="144" spans="1:25" x14ac:dyDescent="0.2">
      <c r="A144" s="107" t="s">
        <v>725</v>
      </c>
      <c r="B144" s="107" t="s">
        <v>726</v>
      </c>
      <c r="C144" s="108">
        <v>437</v>
      </c>
      <c r="D144" s="107" t="s">
        <v>1150</v>
      </c>
      <c r="E144" s="109">
        <v>44805</v>
      </c>
      <c r="F144" s="109"/>
      <c r="G144" s="110">
        <v>8042400</v>
      </c>
      <c r="H144" s="110">
        <v>0</v>
      </c>
      <c r="I144" s="110">
        <v>0</v>
      </c>
      <c r="J144" s="110">
        <v>0</v>
      </c>
      <c r="K144" s="110">
        <v>0</v>
      </c>
      <c r="L144" s="110">
        <v>0</v>
      </c>
      <c r="M144" s="110">
        <v>0</v>
      </c>
      <c r="N144" s="110">
        <v>0</v>
      </c>
      <c r="O144" s="110">
        <v>0</v>
      </c>
      <c r="P144" s="110">
        <v>136804.84</v>
      </c>
      <c r="Q144" s="110">
        <v>0</v>
      </c>
      <c r="R144" s="110">
        <v>0</v>
      </c>
      <c r="S144" s="110">
        <v>136804.84</v>
      </c>
      <c r="T144" s="110">
        <v>-136804.84</v>
      </c>
      <c r="U144" s="110">
        <v>3976.45</v>
      </c>
      <c r="V144" s="110">
        <v>0</v>
      </c>
      <c r="W144" s="110">
        <v>3976.45</v>
      </c>
      <c r="X144" s="111">
        <v>-140781.29</v>
      </c>
      <c r="Y144" s="72" t="str">
        <f>VLOOKUP(D144,'TKP 终端汇总'!A:A,1,0)</f>
        <v>FITBIT</v>
      </c>
    </row>
    <row r="145" spans="1:25" x14ac:dyDescent="0.2">
      <c r="A145" s="107" t="s">
        <v>711</v>
      </c>
      <c r="B145" s="107" t="s">
        <v>712</v>
      </c>
      <c r="C145" s="108" t="s">
        <v>713</v>
      </c>
      <c r="D145" s="107" t="s">
        <v>1155</v>
      </c>
      <c r="E145" s="109">
        <v>44767</v>
      </c>
      <c r="F145" s="109"/>
      <c r="G145" s="110">
        <v>18316620</v>
      </c>
      <c r="H145" s="110">
        <v>352319.3</v>
      </c>
      <c r="I145" s="110">
        <v>0</v>
      </c>
      <c r="J145" s="110">
        <v>6442.55</v>
      </c>
      <c r="K145" s="110">
        <v>94172.98</v>
      </c>
      <c r="L145" s="110">
        <v>0</v>
      </c>
      <c r="M145" s="110">
        <v>452934.82999999996</v>
      </c>
      <c r="N145" s="110">
        <v>0</v>
      </c>
      <c r="O145" s="110">
        <v>0</v>
      </c>
      <c r="P145" s="110">
        <v>23228.68</v>
      </c>
      <c r="Q145" s="110">
        <v>1238.24</v>
      </c>
      <c r="R145" s="110">
        <v>30576.62</v>
      </c>
      <c r="S145" s="110">
        <v>55043.54</v>
      </c>
      <c r="T145" s="110">
        <v>397891.29000000004</v>
      </c>
      <c r="U145" s="110">
        <v>0</v>
      </c>
      <c r="V145" s="110">
        <v>0</v>
      </c>
      <c r="W145" s="110">
        <v>0</v>
      </c>
      <c r="X145" s="111">
        <v>397891.29000000004</v>
      </c>
      <c r="Y145" s="72" t="str">
        <f>VLOOKUP(D145,'TKP 终端汇总'!A:A,1,0)</f>
        <v>微软</v>
      </c>
    </row>
    <row r="146" spans="1:25" x14ac:dyDescent="0.2">
      <c r="A146" s="107" t="s">
        <v>727</v>
      </c>
      <c r="B146" s="107" t="s">
        <v>728</v>
      </c>
      <c r="C146" s="108" t="s">
        <v>729</v>
      </c>
      <c r="D146" s="107" t="s">
        <v>1187</v>
      </c>
      <c r="E146" s="109">
        <v>44799</v>
      </c>
      <c r="F146" s="109"/>
      <c r="G146" s="110">
        <v>8004000</v>
      </c>
      <c r="H146" s="110">
        <v>0</v>
      </c>
      <c r="I146" s="110">
        <v>0</v>
      </c>
      <c r="J146" s="110">
        <v>0</v>
      </c>
      <c r="K146" s="110">
        <v>0</v>
      </c>
      <c r="L146" s="110">
        <v>0</v>
      </c>
      <c r="M146" s="110">
        <v>0</v>
      </c>
      <c r="N146" s="110">
        <v>9461.2799999999988</v>
      </c>
      <c r="O146" s="110">
        <v>0</v>
      </c>
      <c r="P146" s="110">
        <v>7104.4400000000005</v>
      </c>
      <c r="Q146" s="110">
        <v>779.69</v>
      </c>
      <c r="R146" s="110">
        <v>3328.1000000000004</v>
      </c>
      <c r="S146" s="110">
        <v>20673.510000000002</v>
      </c>
      <c r="T146" s="110">
        <v>-20673.510000000002</v>
      </c>
      <c r="U146" s="110">
        <v>3177.75</v>
      </c>
      <c r="V146" s="110">
        <v>18513.339999999997</v>
      </c>
      <c r="W146" s="110">
        <v>21691.089999999997</v>
      </c>
      <c r="X146" s="111">
        <v>-42364.6</v>
      </c>
      <c r="Y146" s="72" t="str">
        <f>VLOOKUP(D146,'TKP 终端汇总'!A:A,1,0)</f>
        <v>行者无疆</v>
      </c>
    </row>
    <row r="147" spans="1:25" x14ac:dyDescent="0.2">
      <c r="A147" s="107" t="s">
        <v>731</v>
      </c>
      <c r="B147" s="107" t="s">
        <v>732</v>
      </c>
      <c r="C147" s="108" t="s">
        <v>122</v>
      </c>
      <c r="D147" s="107" t="s">
        <v>1370</v>
      </c>
      <c r="E147" s="109">
        <v>44756</v>
      </c>
      <c r="F147" s="109"/>
      <c r="G147" s="110">
        <v>0</v>
      </c>
      <c r="H147" s="110">
        <v>0</v>
      </c>
      <c r="I147" s="110">
        <v>0</v>
      </c>
      <c r="J147" s="110">
        <v>0</v>
      </c>
      <c r="K147" s="110">
        <v>0</v>
      </c>
      <c r="L147" s="110">
        <v>0</v>
      </c>
      <c r="M147" s="110">
        <v>0</v>
      </c>
      <c r="N147" s="110">
        <v>0</v>
      </c>
      <c r="O147" s="110">
        <v>0</v>
      </c>
      <c r="P147" s="110">
        <v>0</v>
      </c>
      <c r="Q147" s="110">
        <v>0</v>
      </c>
      <c r="R147" s="110">
        <v>0</v>
      </c>
      <c r="S147" s="110">
        <v>0</v>
      </c>
      <c r="T147" s="110">
        <v>0</v>
      </c>
      <c r="U147" s="110">
        <v>0</v>
      </c>
      <c r="V147" s="110">
        <v>0</v>
      </c>
      <c r="W147" s="110">
        <v>0</v>
      </c>
      <c r="X147" s="111">
        <v>0</v>
      </c>
      <c r="Y147" s="72" t="str">
        <f>VLOOKUP(D147,'TKP 终端汇总'!A:A,1,0)</f>
        <v>Meta</v>
      </c>
    </row>
    <row r="148" spans="1:25" x14ac:dyDescent="0.2">
      <c r="A148" s="107" t="s">
        <v>733</v>
      </c>
      <c r="B148" s="107" t="s">
        <v>734</v>
      </c>
      <c r="C148" s="108" t="s">
        <v>303</v>
      </c>
      <c r="D148" s="107" t="s">
        <v>1159</v>
      </c>
      <c r="E148" s="109">
        <v>44756</v>
      </c>
      <c r="F148" s="109"/>
      <c r="G148" s="110">
        <v>1983600</v>
      </c>
      <c r="H148" s="110">
        <v>0</v>
      </c>
      <c r="I148" s="110">
        <v>0</v>
      </c>
      <c r="J148" s="110">
        <v>0</v>
      </c>
      <c r="K148" s="110">
        <v>0</v>
      </c>
      <c r="L148" s="110">
        <v>0</v>
      </c>
      <c r="M148" s="110">
        <v>0</v>
      </c>
      <c r="N148" s="110">
        <v>0</v>
      </c>
      <c r="O148" s="110">
        <v>0</v>
      </c>
      <c r="P148" s="110">
        <v>8139.380000000001</v>
      </c>
      <c r="Q148" s="110">
        <v>0</v>
      </c>
      <c r="R148" s="110">
        <v>0</v>
      </c>
      <c r="S148" s="110">
        <v>8139.380000000001</v>
      </c>
      <c r="T148" s="110">
        <v>-8139.380000000001</v>
      </c>
      <c r="U148" s="110">
        <v>0</v>
      </c>
      <c r="V148" s="110">
        <v>0</v>
      </c>
      <c r="W148" s="110">
        <v>0</v>
      </c>
      <c r="X148" s="111">
        <v>-8139.380000000001</v>
      </c>
      <c r="Y148" s="72" t="str">
        <f>VLOOKUP(D148,'TKP 终端汇总'!A:A,1,0)</f>
        <v>炜盛</v>
      </c>
    </row>
    <row r="149" spans="1:25" x14ac:dyDescent="0.2">
      <c r="A149" s="107" t="s">
        <v>735</v>
      </c>
      <c r="B149" s="107" t="s">
        <v>736</v>
      </c>
      <c r="C149" s="108" t="s">
        <v>303</v>
      </c>
      <c r="D149" s="107" t="s">
        <v>1159</v>
      </c>
      <c r="E149" s="109">
        <v>44809</v>
      </c>
      <c r="F149" s="109"/>
      <c r="G149" s="110">
        <v>921800</v>
      </c>
      <c r="H149" s="110">
        <v>23678.41</v>
      </c>
      <c r="I149" s="110">
        <v>0</v>
      </c>
      <c r="J149" s="110">
        <v>21512.93</v>
      </c>
      <c r="K149" s="110">
        <v>0</v>
      </c>
      <c r="L149" s="110">
        <v>0</v>
      </c>
      <c r="M149" s="110">
        <v>45191.340000000004</v>
      </c>
      <c r="N149" s="110">
        <v>0</v>
      </c>
      <c r="O149" s="110">
        <v>0</v>
      </c>
      <c r="P149" s="110">
        <v>0</v>
      </c>
      <c r="Q149" s="110">
        <v>0</v>
      </c>
      <c r="R149" s="110">
        <v>8066.24</v>
      </c>
      <c r="S149" s="110">
        <v>8066.24</v>
      </c>
      <c r="T149" s="110">
        <v>37125.1</v>
      </c>
      <c r="U149" s="110">
        <v>1718.36</v>
      </c>
      <c r="V149" s="110">
        <v>0</v>
      </c>
      <c r="W149" s="110">
        <v>1718.36</v>
      </c>
      <c r="X149" s="111">
        <v>35406.74</v>
      </c>
      <c r="Y149" s="72" t="str">
        <f>VLOOKUP(D149,'TKP 终端汇总'!A:A,1,0)</f>
        <v>炜盛</v>
      </c>
    </row>
    <row r="150" spans="1:25" x14ac:dyDescent="0.2">
      <c r="A150" s="107" t="s">
        <v>742</v>
      </c>
      <c r="B150" s="107" t="s">
        <v>743</v>
      </c>
      <c r="C150" s="108" t="s">
        <v>744</v>
      </c>
      <c r="D150" s="107" t="s">
        <v>1158</v>
      </c>
      <c r="E150" s="109">
        <v>44830</v>
      </c>
      <c r="F150" s="109"/>
      <c r="G150" s="110">
        <v>130488000</v>
      </c>
      <c r="H150" s="110">
        <v>10260459.830000004</v>
      </c>
      <c r="I150" s="110">
        <v>0</v>
      </c>
      <c r="J150" s="110">
        <v>400127.16</v>
      </c>
      <c r="K150" s="110">
        <v>362453.03</v>
      </c>
      <c r="L150" s="110">
        <v>0</v>
      </c>
      <c r="M150" s="110">
        <v>11023040.020000005</v>
      </c>
      <c r="N150" s="110">
        <v>11307721.75</v>
      </c>
      <c r="O150" s="110">
        <v>0</v>
      </c>
      <c r="P150" s="110">
        <v>97195.74</v>
      </c>
      <c r="Q150" s="110">
        <v>643326.92000000004</v>
      </c>
      <c r="R150" s="110">
        <v>315473.53000000003</v>
      </c>
      <c r="S150" s="110">
        <v>12363717.940000001</v>
      </c>
      <c r="T150" s="110">
        <v>-1340677.919999996</v>
      </c>
      <c r="U150" s="110">
        <v>636172.49</v>
      </c>
      <c r="V150" s="110">
        <v>487622.28</v>
      </c>
      <c r="W150" s="110">
        <v>1123794.77</v>
      </c>
      <c r="X150" s="111">
        <v>-2464472.6899999958</v>
      </c>
      <c r="Y150" s="72" t="str">
        <f>VLOOKUP(D150,'TKP 终端汇总'!A:A,1,0)</f>
        <v>Sonos</v>
      </c>
    </row>
    <row r="151" spans="1:25" x14ac:dyDescent="0.2">
      <c r="A151" s="107" t="s">
        <v>746</v>
      </c>
      <c r="B151" s="107" t="s">
        <v>747</v>
      </c>
      <c r="C151" s="108" t="s">
        <v>748</v>
      </c>
      <c r="D151" s="107" t="s">
        <v>1160</v>
      </c>
      <c r="E151" s="109">
        <v>44806</v>
      </c>
      <c r="F151" s="109"/>
      <c r="G151" s="110">
        <v>0</v>
      </c>
      <c r="H151" s="110">
        <v>0</v>
      </c>
      <c r="I151" s="110">
        <v>0</v>
      </c>
      <c r="J151" s="110">
        <v>0</v>
      </c>
      <c r="K151" s="110">
        <v>0</v>
      </c>
      <c r="L151" s="110">
        <v>0</v>
      </c>
      <c r="M151" s="110">
        <v>0</v>
      </c>
      <c r="N151" s="110">
        <v>0</v>
      </c>
      <c r="O151" s="110">
        <v>0</v>
      </c>
      <c r="P151" s="110">
        <v>0</v>
      </c>
      <c r="Q151" s="110">
        <v>0</v>
      </c>
      <c r="R151" s="110">
        <v>0</v>
      </c>
      <c r="S151" s="110">
        <v>0</v>
      </c>
      <c r="T151" s="110">
        <v>0</v>
      </c>
      <c r="U151" s="110">
        <v>0</v>
      </c>
      <c r="V151" s="110">
        <v>0</v>
      </c>
      <c r="W151" s="110">
        <v>0</v>
      </c>
      <c r="X151" s="111">
        <v>0</v>
      </c>
      <c r="Y151" s="72" t="str">
        <f>VLOOKUP(D151,'TKP 终端汇总'!A:A,1,0)</f>
        <v>TCL</v>
      </c>
    </row>
    <row r="152" spans="1:25" x14ac:dyDescent="0.2">
      <c r="A152" s="107" t="s">
        <v>749</v>
      </c>
      <c r="B152" s="107" t="s">
        <v>750</v>
      </c>
      <c r="C152" s="108" t="s">
        <v>96</v>
      </c>
      <c r="D152" s="107" t="s">
        <v>1194</v>
      </c>
      <c r="E152" s="109">
        <v>44767</v>
      </c>
      <c r="F152" s="109"/>
      <c r="G152" s="110">
        <v>14100000</v>
      </c>
      <c r="H152" s="110">
        <v>64724.91</v>
      </c>
      <c r="I152" s="110">
        <v>0</v>
      </c>
      <c r="J152" s="110">
        <v>0</v>
      </c>
      <c r="K152" s="110">
        <v>0</v>
      </c>
      <c r="L152" s="110">
        <v>0</v>
      </c>
      <c r="M152" s="110">
        <v>64724.91</v>
      </c>
      <c r="N152" s="110">
        <v>46957.58</v>
      </c>
      <c r="O152" s="110">
        <v>0</v>
      </c>
      <c r="P152" s="110">
        <v>33602.720000000001</v>
      </c>
      <c r="Q152" s="110">
        <v>0</v>
      </c>
      <c r="R152" s="110">
        <v>132559.25</v>
      </c>
      <c r="S152" s="110">
        <v>213119.55</v>
      </c>
      <c r="T152" s="110">
        <v>-148394.63999999998</v>
      </c>
      <c r="U152" s="110">
        <v>19088.310000000001</v>
      </c>
      <c r="V152" s="110">
        <v>20124.919999999998</v>
      </c>
      <c r="W152" s="110">
        <v>39213.230000000003</v>
      </c>
      <c r="X152" s="111">
        <v>-187607.87</v>
      </c>
      <c r="Y152" s="72" t="str">
        <f>VLOOKUP(D152,'TKP 终端汇总'!A:A,1,0)</f>
        <v>通力</v>
      </c>
    </row>
    <row r="153" spans="1:25" x14ac:dyDescent="0.2">
      <c r="A153" s="107" t="s">
        <v>751</v>
      </c>
      <c r="B153" s="107" t="s">
        <v>752</v>
      </c>
      <c r="C153" s="108">
        <v>28</v>
      </c>
      <c r="D153" s="107" t="s">
        <v>1149</v>
      </c>
      <c r="E153" s="109">
        <v>44817</v>
      </c>
      <c r="F153" s="109"/>
      <c r="G153" s="110">
        <v>7833000</v>
      </c>
      <c r="H153" s="110">
        <v>886099.17</v>
      </c>
      <c r="I153" s="110">
        <v>0</v>
      </c>
      <c r="J153" s="110">
        <v>6538.04</v>
      </c>
      <c r="K153" s="110">
        <v>0</v>
      </c>
      <c r="L153" s="110">
        <v>0</v>
      </c>
      <c r="M153" s="110">
        <v>892637.21000000008</v>
      </c>
      <c r="N153" s="110">
        <v>755601.88</v>
      </c>
      <c r="O153" s="110">
        <v>0</v>
      </c>
      <c r="P153" s="110">
        <v>0</v>
      </c>
      <c r="Q153" s="110">
        <v>9449.5400000000009</v>
      </c>
      <c r="R153" s="110">
        <v>90873.55</v>
      </c>
      <c r="S153" s="110">
        <v>855924.97</v>
      </c>
      <c r="T153" s="110">
        <v>36712.240000000063</v>
      </c>
      <c r="U153" s="110">
        <v>4974.4799999999996</v>
      </c>
      <c r="V153" s="110">
        <v>142836.96</v>
      </c>
      <c r="W153" s="110">
        <v>147811.43999999997</v>
      </c>
      <c r="X153" s="111">
        <v>-111099.19999999991</v>
      </c>
      <c r="Y153" s="72" t="str">
        <f>VLOOKUP(D153,'TKP 终端汇总'!A:A,1,0)</f>
        <v>Bose</v>
      </c>
    </row>
    <row r="154" spans="1:25" x14ac:dyDescent="0.2">
      <c r="A154" s="107" t="s">
        <v>754</v>
      </c>
      <c r="B154" s="107" t="s">
        <v>755</v>
      </c>
      <c r="C154" s="108" t="s">
        <v>80</v>
      </c>
      <c r="D154" s="107" t="s">
        <v>1151</v>
      </c>
      <c r="E154" s="109">
        <v>44811</v>
      </c>
      <c r="F154" s="109"/>
      <c r="G154" s="110">
        <v>1792500</v>
      </c>
      <c r="H154" s="110">
        <v>224153.76</v>
      </c>
      <c r="I154" s="110">
        <v>0</v>
      </c>
      <c r="J154" s="110">
        <v>0</v>
      </c>
      <c r="K154" s="110">
        <v>0</v>
      </c>
      <c r="L154" s="110">
        <v>0</v>
      </c>
      <c r="M154" s="110">
        <v>224153.76</v>
      </c>
      <c r="N154" s="110">
        <v>288183.65999999997</v>
      </c>
      <c r="O154" s="110">
        <v>0</v>
      </c>
      <c r="P154" s="110">
        <v>17181.050000000003</v>
      </c>
      <c r="Q154" s="110">
        <v>0</v>
      </c>
      <c r="R154" s="110">
        <v>0</v>
      </c>
      <c r="S154" s="110">
        <v>305364.71000000002</v>
      </c>
      <c r="T154" s="110">
        <v>-81210.949999999983</v>
      </c>
      <c r="U154" s="110">
        <v>0</v>
      </c>
      <c r="V154" s="110">
        <v>1800.29</v>
      </c>
      <c r="W154" s="110">
        <v>1800.29</v>
      </c>
      <c r="X154" s="111">
        <v>-83011.239999999976</v>
      </c>
      <c r="Y154" s="72" t="str">
        <f>VLOOKUP(D154,'TKP 终端汇总'!A:A,1,0)</f>
        <v>合元</v>
      </c>
    </row>
    <row r="155" spans="1:25" x14ac:dyDescent="0.2">
      <c r="A155" s="107" t="s">
        <v>756</v>
      </c>
      <c r="B155" s="107" t="s">
        <v>757</v>
      </c>
      <c r="C155" s="108" t="s">
        <v>96</v>
      </c>
      <c r="D155" s="107" t="s">
        <v>1194</v>
      </c>
      <c r="E155" s="109">
        <v>44818</v>
      </c>
      <c r="F155" s="109"/>
      <c r="G155" s="110">
        <v>6430600</v>
      </c>
      <c r="H155" s="110">
        <v>32327.59</v>
      </c>
      <c r="I155" s="110">
        <v>0</v>
      </c>
      <c r="J155" s="110">
        <v>0</v>
      </c>
      <c r="K155" s="110">
        <v>0</v>
      </c>
      <c r="L155" s="110">
        <v>0</v>
      </c>
      <c r="M155" s="110">
        <v>32327.59</v>
      </c>
      <c r="N155" s="110">
        <v>60665.25</v>
      </c>
      <c r="O155" s="110">
        <v>0</v>
      </c>
      <c r="P155" s="110">
        <v>35172.61</v>
      </c>
      <c r="Q155" s="110">
        <v>4773.22</v>
      </c>
      <c r="R155" s="110">
        <v>31671.480000000003</v>
      </c>
      <c r="S155" s="110">
        <v>132282.56</v>
      </c>
      <c r="T155" s="110">
        <v>-99954.97</v>
      </c>
      <c r="U155" s="110">
        <v>0</v>
      </c>
      <c r="V155" s="110">
        <v>3581.82</v>
      </c>
      <c r="W155" s="110">
        <v>3581.82</v>
      </c>
      <c r="X155" s="111">
        <v>-103536.79000000001</v>
      </c>
      <c r="Y155" s="72" t="str">
        <f>VLOOKUP(D155,'TKP 终端汇总'!A:A,1,0)</f>
        <v>通力</v>
      </c>
    </row>
    <row r="156" spans="1:25" x14ac:dyDescent="0.2">
      <c r="A156" s="107" t="s">
        <v>760</v>
      </c>
      <c r="B156" s="107" t="s">
        <v>761</v>
      </c>
      <c r="C156" s="108" t="s">
        <v>762</v>
      </c>
      <c r="D156" s="107" t="s">
        <v>1230</v>
      </c>
      <c r="E156" s="109">
        <v>44226</v>
      </c>
      <c r="F156" s="109">
        <v>42688</v>
      </c>
      <c r="G156" s="110">
        <v>0</v>
      </c>
      <c r="H156" s="110">
        <v>0</v>
      </c>
      <c r="I156" s="110">
        <v>0</v>
      </c>
      <c r="J156" s="110">
        <v>0</v>
      </c>
      <c r="K156" s="110">
        <v>0</v>
      </c>
      <c r="L156" s="110">
        <v>0</v>
      </c>
      <c r="M156" s="110">
        <v>0</v>
      </c>
      <c r="N156" s="110">
        <v>0</v>
      </c>
      <c r="O156" s="110">
        <v>0</v>
      </c>
      <c r="P156" s="110">
        <v>0</v>
      </c>
      <c r="Q156" s="110">
        <v>0</v>
      </c>
      <c r="R156" s="110">
        <v>0</v>
      </c>
      <c r="S156" s="110">
        <v>0</v>
      </c>
      <c r="T156" s="110">
        <v>0</v>
      </c>
      <c r="U156" s="110">
        <v>0</v>
      </c>
      <c r="V156" s="110">
        <v>0</v>
      </c>
      <c r="W156" s="110">
        <v>0</v>
      </c>
      <c r="X156" s="111">
        <v>0</v>
      </c>
      <c r="Y156" s="72" t="str">
        <f>VLOOKUP(D156,'TKP 终端汇总'!A:A,1,0)</f>
        <v>康乐保</v>
      </c>
    </row>
    <row r="157" spans="1:25" x14ac:dyDescent="0.2">
      <c r="A157" s="107" t="s">
        <v>764</v>
      </c>
      <c r="B157" s="107" t="s">
        <v>765</v>
      </c>
      <c r="C157" s="108" t="s">
        <v>208</v>
      </c>
      <c r="D157" s="107" t="s">
        <v>1177</v>
      </c>
      <c r="E157" s="109">
        <v>44226</v>
      </c>
      <c r="F157" s="109">
        <v>44320</v>
      </c>
      <c r="G157" s="110">
        <v>0</v>
      </c>
      <c r="H157" s="110">
        <v>0</v>
      </c>
      <c r="I157" s="110">
        <v>0</v>
      </c>
      <c r="J157" s="110">
        <v>0</v>
      </c>
      <c r="K157" s="110">
        <v>0</v>
      </c>
      <c r="L157" s="110">
        <v>0</v>
      </c>
      <c r="M157" s="110">
        <v>0</v>
      </c>
      <c r="N157" s="110">
        <v>0</v>
      </c>
      <c r="O157" s="110">
        <v>0</v>
      </c>
      <c r="P157" s="110">
        <v>0</v>
      </c>
      <c r="Q157" s="110">
        <v>0</v>
      </c>
      <c r="R157" s="110">
        <v>0</v>
      </c>
      <c r="S157" s="110">
        <v>0</v>
      </c>
      <c r="T157" s="110">
        <v>0</v>
      </c>
      <c r="U157" s="110">
        <v>0</v>
      </c>
      <c r="V157" s="110">
        <v>0</v>
      </c>
      <c r="W157" s="110">
        <v>0</v>
      </c>
      <c r="X157" s="111">
        <v>0</v>
      </c>
      <c r="Y157" s="72" t="str">
        <f>VLOOKUP(D157,'TKP 终端汇总'!A:A,1,0)</f>
        <v>POLYCOM</v>
      </c>
    </row>
    <row r="158" spans="1:25" x14ac:dyDescent="0.2">
      <c r="A158" s="107" t="s">
        <v>766</v>
      </c>
      <c r="B158" s="107" t="s">
        <v>767</v>
      </c>
      <c r="C158" s="108" t="s">
        <v>208</v>
      </c>
      <c r="D158" s="107" t="s">
        <v>1177</v>
      </c>
      <c r="E158" s="109">
        <v>44263</v>
      </c>
      <c r="F158" s="109">
        <v>43396</v>
      </c>
      <c r="G158" s="110">
        <v>0</v>
      </c>
      <c r="H158" s="110">
        <v>0</v>
      </c>
      <c r="I158" s="110">
        <v>0</v>
      </c>
      <c r="J158" s="110">
        <v>0</v>
      </c>
      <c r="K158" s="110">
        <v>0</v>
      </c>
      <c r="L158" s="110">
        <v>0</v>
      </c>
      <c r="M158" s="110">
        <v>0</v>
      </c>
      <c r="N158" s="110">
        <v>0</v>
      </c>
      <c r="O158" s="110">
        <v>0</v>
      </c>
      <c r="P158" s="110">
        <v>0</v>
      </c>
      <c r="Q158" s="110">
        <v>0</v>
      </c>
      <c r="R158" s="110">
        <v>0</v>
      </c>
      <c r="S158" s="110">
        <v>0</v>
      </c>
      <c r="T158" s="110">
        <v>0</v>
      </c>
      <c r="U158" s="110">
        <v>0</v>
      </c>
      <c r="V158" s="110">
        <v>0</v>
      </c>
      <c r="W158" s="110">
        <v>0</v>
      </c>
      <c r="X158" s="111">
        <v>0</v>
      </c>
      <c r="Y158" s="72" t="str">
        <f>VLOOKUP(D158,'TKP 终端汇总'!A:A,1,0)</f>
        <v>POLYCOM</v>
      </c>
    </row>
    <row r="159" spans="1:25" x14ac:dyDescent="0.2">
      <c r="A159" s="107" t="s">
        <v>768</v>
      </c>
      <c r="B159" s="107" t="s">
        <v>769</v>
      </c>
      <c r="C159" s="108" t="s">
        <v>770</v>
      </c>
      <c r="D159" s="107" t="s">
        <v>1198</v>
      </c>
      <c r="E159" s="109">
        <v>44826</v>
      </c>
      <c r="F159" s="109"/>
      <c r="G159" s="110">
        <v>6006000</v>
      </c>
      <c r="H159" s="110">
        <v>15326.09</v>
      </c>
      <c r="I159" s="110">
        <v>0</v>
      </c>
      <c r="J159" s="110">
        <v>0</v>
      </c>
      <c r="K159" s="110">
        <v>0</v>
      </c>
      <c r="L159" s="110">
        <v>0</v>
      </c>
      <c r="M159" s="110">
        <v>15326.09</v>
      </c>
      <c r="N159" s="110">
        <v>11005.31</v>
      </c>
      <c r="O159" s="110">
        <v>0</v>
      </c>
      <c r="P159" s="110">
        <v>3468.08</v>
      </c>
      <c r="Q159" s="110">
        <v>24365.52</v>
      </c>
      <c r="R159" s="110">
        <v>0</v>
      </c>
      <c r="S159" s="110">
        <v>38838.910000000003</v>
      </c>
      <c r="T159" s="110">
        <v>-23512.820000000003</v>
      </c>
      <c r="U159" s="110">
        <v>0</v>
      </c>
      <c r="V159" s="110">
        <v>0</v>
      </c>
      <c r="W159" s="110">
        <v>0</v>
      </c>
      <c r="X159" s="111">
        <v>-23512.820000000003</v>
      </c>
      <c r="Y159" s="72" t="str">
        <f>VLOOKUP(D159,'TKP 终端汇总'!A:A,1,0)</f>
        <v>卓力能</v>
      </c>
    </row>
    <row r="160" spans="1:25" x14ac:dyDescent="0.2">
      <c r="A160" s="107" t="s">
        <v>772</v>
      </c>
      <c r="B160" s="107" t="s">
        <v>773</v>
      </c>
      <c r="C160" s="108">
        <v>360</v>
      </c>
      <c r="D160" s="107" t="s">
        <v>1153</v>
      </c>
      <c r="E160" s="109">
        <v>44226</v>
      </c>
      <c r="F160" s="109">
        <v>42181</v>
      </c>
      <c r="G160" s="110">
        <v>0</v>
      </c>
      <c r="H160" s="110">
        <v>0</v>
      </c>
      <c r="I160" s="110">
        <v>0</v>
      </c>
      <c r="J160" s="110">
        <v>0</v>
      </c>
      <c r="K160" s="110">
        <v>0</v>
      </c>
      <c r="L160" s="110">
        <v>0</v>
      </c>
      <c r="M160" s="110">
        <v>0</v>
      </c>
      <c r="N160" s="110">
        <v>0</v>
      </c>
      <c r="O160" s="110">
        <v>0</v>
      </c>
      <c r="P160" s="110">
        <v>3277.54</v>
      </c>
      <c r="Q160" s="110">
        <v>0</v>
      </c>
      <c r="R160" s="110">
        <v>0</v>
      </c>
      <c r="S160" s="110">
        <v>3277.54</v>
      </c>
      <c r="T160" s="110">
        <v>-3277.54</v>
      </c>
      <c r="U160" s="110">
        <v>0</v>
      </c>
      <c r="V160" s="110">
        <v>0</v>
      </c>
      <c r="W160" s="110">
        <v>0</v>
      </c>
      <c r="X160" s="111">
        <v>-3277.54</v>
      </c>
      <c r="Y160" s="72" t="str">
        <f>VLOOKUP(D160,'TKP 终端汇总'!A:A,1,0)</f>
        <v>Google</v>
      </c>
    </row>
    <row r="161" spans="1:25" x14ac:dyDescent="0.2">
      <c r="A161" s="107" t="s">
        <v>774</v>
      </c>
      <c r="B161" s="107" t="s">
        <v>775</v>
      </c>
      <c r="C161" s="108">
        <v>28</v>
      </c>
      <c r="D161" s="107" t="s">
        <v>1149</v>
      </c>
      <c r="E161" s="109">
        <v>44859</v>
      </c>
      <c r="F161" s="109"/>
      <c r="G161" s="110">
        <v>5958000</v>
      </c>
      <c r="H161" s="110">
        <v>0</v>
      </c>
      <c r="I161" s="110">
        <v>0</v>
      </c>
      <c r="J161" s="110">
        <v>0</v>
      </c>
      <c r="K161" s="110">
        <v>0</v>
      </c>
      <c r="L161" s="110">
        <v>0</v>
      </c>
      <c r="M161" s="110">
        <v>0</v>
      </c>
      <c r="N161" s="110">
        <v>0</v>
      </c>
      <c r="O161" s="110">
        <v>0</v>
      </c>
      <c r="P161" s="110">
        <v>16188.24</v>
      </c>
      <c r="Q161" s="110">
        <v>19887.13</v>
      </c>
      <c r="R161" s="110">
        <v>28777.66</v>
      </c>
      <c r="S161" s="110">
        <v>64853.030000000006</v>
      </c>
      <c r="T161" s="110">
        <v>-64853.030000000006</v>
      </c>
      <c r="U161" s="110">
        <v>9763.48</v>
      </c>
      <c r="V161" s="110">
        <v>3147.41</v>
      </c>
      <c r="W161" s="110">
        <v>12910.89</v>
      </c>
      <c r="X161" s="111">
        <v>-77763.920000000013</v>
      </c>
      <c r="Y161" s="72" t="str">
        <f>VLOOKUP(D161,'TKP 终端汇总'!A:A,1,0)</f>
        <v>Bose</v>
      </c>
    </row>
    <row r="162" spans="1:25" x14ac:dyDescent="0.2">
      <c r="A162" s="107" t="s">
        <v>780</v>
      </c>
      <c r="B162" s="107" t="s">
        <v>781</v>
      </c>
      <c r="C162" s="108">
        <v>437</v>
      </c>
      <c r="D162" s="107" t="s">
        <v>1150</v>
      </c>
      <c r="E162" s="109">
        <v>44847</v>
      </c>
      <c r="F162" s="109"/>
      <c r="G162" s="110">
        <v>4560000</v>
      </c>
      <c r="H162" s="110">
        <v>185878</v>
      </c>
      <c r="I162" s="110">
        <v>0</v>
      </c>
      <c r="J162" s="110">
        <v>48259.34</v>
      </c>
      <c r="K162" s="110">
        <v>52717.5</v>
      </c>
      <c r="L162" s="110">
        <v>0</v>
      </c>
      <c r="M162" s="110">
        <v>286854.83999999997</v>
      </c>
      <c r="N162" s="110">
        <v>166353</v>
      </c>
      <c r="O162" s="110">
        <v>0</v>
      </c>
      <c r="P162" s="110">
        <v>109797.68000000001</v>
      </c>
      <c r="Q162" s="110">
        <v>0</v>
      </c>
      <c r="R162" s="110">
        <v>0</v>
      </c>
      <c r="S162" s="110">
        <v>276150.68</v>
      </c>
      <c r="T162" s="110">
        <v>10704.160000000003</v>
      </c>
      <c r="U162" s="110">
        <v>84.01</v>
      </c>
      <c r="V162" s="110">
        <v>1088.3</v>
      </c>
      <c r="W162" s="110">
        <v>1172.31</v>
      </c>
      <c r="X162" s="111">
        <v>9531.850000000004</v>
      </c>
      <c r="Y162" s="72" t="str">
        <f>VLOOKUP(D162,'TKP 终端汇总'!A:A,1,0)</f>
        <v>FITBIT</v>
      </c>
    </row>
    <row r="163" spans="1:25" x14ac:dyDescent="0.2">
      <c r="A163" s="107" t="s">
        <v>782</v>
      </c>
      <c r="B163" s="107" t="s">
        <v>783</v>
      </c>
      <c r="C163" s="108" t="s">
        <v>784</v>
      </c>
      <c r="D163" s="107" t="s">
        <v>785</v>
      </c>
      <c r="E163" s="109">
        <v>44833</v>
      </c>
      <c r="F163" s="109"/>
      <c r="G163" s="110">
        <v>4192000</v>
      </c>
      <c r="H163" s="110">
        <v>823788.54</v>
      </c>
      <c r="I163" s="110">
        <v>0</v>
      </c>
      <c r="J163" s="110">
        <v>0</v>
      </c>
      <c r="K163" s="110">
        <v>0</v>
      </c>
      <c r="L163" s="110">
        <v>0</v>
      </c>
      <c r="M163" s="110">
        <v>823788.54</v>
      </c>
      <c r="N163" s="110">
        <v>7488.99</v>
      </c>
      <c r="O163" s="110">
        <v>0</v>
      </c>
      <c r="P163" s="110">
        <v>0</v>
      </c>
      <c r="Q163" s="110">
        <v>0</v>
      </c>
      <c r="R163" s="110">
        <v>0</v>
      </c>
      <c r="S163" s="110">
        <v>7488.99</v>
      </c>
      <c r="T163" s="110">
        <v>816299.55</v>
      </c>
      <c r="U163" s="110">
        <v>1381.67</v>
      </c>
      <c r="V163" s="110">
        <v>8889.7900000000009</v>
      </c>
      <c r="W163" s="110">
        <v>10271.460000000001</v>
      </c>
      <c r="X163" s="111">
        <v>806028.09000000008</v>
      </c>
      <c r="Y163" s="72" t="str">
        <f>VLOOKUP(D163,'TKP 终端汇总'!A:A,1,0)</f>
        <v>BigScreen</v>
      </c>
    </row>
    <row r="164" spans="1:25" x14ac:dyDescent="0.2">
      <c r="A164" s="107" t="s">
        <v>786</v>
      </c>
      <c r="B164" s="107" t="s">
        <v>787</v>
      </c>
      <c r="C164" s="108" t="s">
        <v>705</v>
      </c>
      <c r="D164" s="107" t="s">
        <v>1232</v>
      </c>
      <c r="E164" s="109">
        <v>44825</v>
      </c>
      <c r="F164" s="109"/>
      <c r="G164" s="110">
        <v>1059000</v>
      </c>
      <c r="H164" s="110">
        <v>248207.23</v>
      </c>
      <c r="I164" s="110">
        <v>0</v>
      </c>
      <c r="J164" s="110">
        <v>0</v>
      </c>
      <c r="K164" s="110">
        <v>0</v>
      </c>
      <c r="L164" s="110">
        <v>2863.94</v>
      </c>
      <c r="M164" s="110">
        <v>251071.17</v>
      </c>
      <c r="N164" s="110">
        <v>401510.24</v>
      </c>
      <c r="O164" s="110">
        <v>0</v>
      </c>
      <c r="P164" s="110">
        <v>493.89</v>
      </c>
      <c r="Q164" s="110">
        <v>0</v>
      </c>
      <c r="R164" s="110">
        <v>-487.47</v>
      </c>
      <c r="S164" s="110">
        <v>401516.66000000003</v>
      </c>
      <c r="T164" s="110">
        <v>-150445.49</v>
      </c>
      <c r="U164" s="110">
        <v>0</v>
      </c>
      <c r="V164" s="110">
        <v>0</v>
      </c>
      <c r="W164" s="110">
        <v>0</v>
      </c>
      <c r="X164" s="111">
        <v>-150445.49</v>
      </c>
      <c r="Y164" s="72" t="str">
        <f>VLOOKUP(D164,'TKP 终端汇总'!A:A,1,0)</f>
        <v>爱立康</v>
      </c>
    </row>
    <row r="165" spans="1:25" x14ac:dyDescent="0.2">
      <c r="A165" s="107" t="s">
        <v>788</v>
      </c>
      <c r="B165" s="107" t="s">
        <v>789</v>
      </c>
      <c r="C165" s="108" t="s">
        <v>790</v>
      </c>
      <c r="D165" s="107" t="s">
        <v>1168</v>
      </c>
      <c r="E165" s="109">
        <v>44860</v>
      </c>
      <c r="F165" s="109"/>
      <c r="G165" s="110">
        <v>8344501</v>
      </c>
      <c r="H165" s="110">
        <v>0</v>
      </c>
      <c r="I165" s="110">
        <v>0</v>
      </c>
      <c r="J165" s="110">
        <v>20229.3</v>
      </c>
      <c r="K165" s="110">
        <v>0</v>
      </c>
      <c r="L165" s="110">
        <v>0</v>
      </c>
      <c r="M165" s="110">
        <v>20229.3</v>
      </c>
      <c r="N165" s="110">
        <v>9267.57</v>
      </c>
      <c r="O165" s="110">
        <v>0</v>
      </c>
      <c r="P165" s="110">
        <v>0</v>
      </c>
      <c r="Q165" s="110">
        <v>1891.15</v>
      </c>
      <c r="R165" s="110">
        <v>23536.92</v>
      </c>
      <c r="S165" s="110">
        <v>34695.64</v>
      </c>
      <c r="T165" s="110">
        <v>-14466.34</v>
      </c>
      <c r="U165" s="110">
        <v>3629.9300000000003</v>
      </c>
      <c r="V165" s="110">
        <v>2111.29</v>
      </c>
      <c r="W165" s="110">
        <v>5741.22</v>
      </c>
      <c r="X165" s="111">
        <v>-20207.560000000001</v>
      </c>
      <c r="Y165" s="72" t="str">
        <f>VLOOKUP(D165,'TKP 终端汇总'!A:A,1,0)</f>
        <v>teenage</v>
      </c>
    </row>
    <row r="166" spans="1:25" x14ac:dyDescent="0.2">
      <c r="A166" s="107" t="s">
        <v>792</v>
      </c>
      <c r="B166" s="107" t="s">
        <v>793</v>
      </c>
      <c r="C166" s="108" t="s">
        <v>68</v>
      </c>
      <c r="D166" s="107" t="s">
        <v>1179</v>
      </c>
      <c r="E166" s="109">
        <v>44775</v>
      </c>
      <c r="F166" s="109"/>
      <c r="G166" s="110">
        <v>0</v>
      </c>
      <c r="H166" s="110">
        <v>0</v>
      </c>
      <c r="I166" s="110">
        <v>0</v>
      </c>
      <c r="J166" s="110">
        <v>0</v>
      </c>
      <c r="K166" s="110">
        <v>0</v>
      </c>
      <c r="L166" s="110">
        <v>0</v>
      </c>
      <c r="M166" s="110">
        <v>0</v>
      </c>
      <c r="N166" s="110">
        <v>0</v>
      </c>
      <c r="O166" s="110">
        <v>0</v>
      </c>
      <c r="P166" s="110">
        <v>0</v>
      </c>
      <c r="Q166" s="110">
        <v>0</v>
      </c>
      <c r="R166" s="110">
        <v>0</v>
      </c>
      <c r="S166" s="110">
        <v>0</v>
      </c>
      <c r="T166" s="110">
        <v>0</v>
      </c>
      <c r="U166" s="110">
        <v>0</v>
      </c>
      <c r="V166" s="110">
        <v>0</v>
      </c>
      <c r="W166" s="110">
        <v>0</v>
      </c>
      <c r="X166" s="111">
        <v>0</v>
      </c>
      <c r="Y166" s="72" t="str">
        <f>VLOOKUP(D166,'TKP 终端汇总'!A:A,1,0)</f>
        <v>Stripe</v>
      </c>
    </row>
    <row r="167" spans="1:25" x14ac:dyDescent="0.2">
      <c r="A167" s="107" t="s">
        <v>794</v>
      </c>
      <c r="B167" s="107" t="s">
        <v>795</v>
      </c>
      <c r="C167" s="108" t="s">
        <v>56</v>
      </c>
      <c r="D167" s="107" t="s">
        <v>1151</v>
      </c>
      <c r="E167" s="109">
        <v>44848</v>
      </c>
      <c r="F167" s="109"/>
      <c r="G167" s="110">
        <v>0</v>
      </c>
      <c r="H167" s="110">
        <v>0</v>
      </c>
      <c r="I167" s="110">
        <v>0</v>
      </c>
      <c r="J167" s="110">
        <v>0</v>
      </c>
      <c r="K167" s="110">
        <v>0</v>
      </c>
      <c r="L167" s="110">
        <v>0</v>
      </c>
      <c r="M167" s="110">
        <v>0</v>
      </c>
      <c r="N167" s="110">
        <v>0</v>
      </c>
      <c r="O167" s="110">
        <v>0</v>
      </c>
      <c r="P167" s="110">
        <v>0</v>
      </c>
      <c r="Q167" s="110">
        <v>0</v>
      </c>
      <c r="R167" s="110">
        <v>0</v>
      </c>
      <c r="S167" s="110">
        <v>0</v>
      </c>
      <c r="T167" s="110">
        <v>0</v>
      </c>
      <c r="U167" s="110">
        <v>0</v>
      </c>
      <c r="V167" s="110">
        <v>0</v>
      </c>
      <c r="W167" s="110">
        <v>0</v>
      </c>
      <c r="X167" s="111">
        <v>0</v>
      </c>
      <c r="Y167" s="72" t="str">
        <f>VLOOKUP(D167,'TKP 终端汇总'!A:A,1,0)</f>
        <v>合元</v>
      </c>
    </row>
    <row r="168" spans="1:25" x14ac:dyDescent="0.2">
      <c r="A168" s="107" t="s">
        <v>796</v>
      </c>
      <c r="B168" s="107" t="s">
        <v>797</v>
      </c>
      <c r="C168" s="108" t="s">
        <v>798</v>
      </c>
      <c r="D168" s="107" t="s">
        <v>1186</v>
      </c>
      <c r="E168" s="109">
        <v>44826</v>
      </c>
      <c r="F168" s="109"/>
      <c r="G168" s="110">
        <v>256484.8</v>
      </c>
      <c r="H168" s="110">
        <v>0</v>
      </c>
      <c r="I168" s="110">
        <v>0</v>
      </c>
      <c r="J168" s="110">
        <v>10736.24</v>
      </c>
      <c r="K168" s="110">
        <v>0</v>
      </c>
      <c r="L168" s="110">
        <v>0</v>
      </c>
      <c r="M168" s="110">
        <v>10736.24</v>
      </c>
      <c r="N168" s="110">
        <v>1072.08</v>
      </c>
      <c r="O168" s="110">
        <v>0</v>
      </c>
      <c r="P168" s="110">
        <v>0</v>
      </c>
      <c r="Q168" s="110">
        <v>0</v>
      </c>
      <c r="R168" s="110">
        <v>2645.47</v>
      </c>
      <c r="S168" s="110">
        <v>3717.55</v>
      </c>
      <c r="T168" s="110">
        <v>7018.69</v>
      </c>
      <c r="U168" s="110">
        <v>0</v>
      </c>
      <c r="V168" s="110">
        <v>0</v>
      </c>
      <c r="W168" s="110">
        <v>0</v>
      </c>
      <c r="X168" s="111">
        <v>7018.69</v>
      </c>
      <c r="Y168" s="72" t="str">
        <f>VLOOKUP(D168,'TKP 终端汇总'!A:A,1,0)</f>
        <v>福尔达</v>
      </c>
    </row>
    <row r="169" spans="1:25" x14ac:dyDescent="0.2">
      <c r="A169" s="107" t="s">
        <v>799</v>
      </c>
      <c r="B169" s="107" t="s">
        <v>800</v>
      </c>
      <c r="C169" s="108" t="s">
        <v>208</v>
      </c>
      <c r="D169" s="107" t="s">
        <v>1177</v>
      </c>
      <c r="E169" s="109">
        <v>44854</v>
      </c>
      <c r="F169" s="109"/>
      <c r="G169" s="110">
        <v>182000</v>
      </c>
      <c r="H169" s="110">
        <v>0</v>
      </c>
      <c r="I169" s="110">
        <v>0</v>
      </c>
      <c r="J169" s="110">
        <v>0</v>
      </c>
      <c r="K169" s="110">
        <v>0</v>
      </c>
      <c r="L169" s="110">
        <v>0</v>
      </c>
      <c r="M169" s="110">
        <v>0</v>
      </c>
      <c r="N169" s="110">
        <v>0</v>
      </c>
      <c r="O169" s="110">
        <v>0</v>
      </c>
      <c r="P169" s="110">
        <v>0</v>
      </c>
      <c r="Q169" s="110">
        <v>0</v>
      </c>
      <c r="R169" s="110">
        <v>0</v>
      </c>
      <c r="S169" s="110">
        <v>0</v>
      </c>
      <c r="T169" s="110">
        <v>0</v>
      </c>
      <c r="U169" s="110">
        <v>0</v>
      </c>
      <c r="V169" s="110">
        <v>645</v>
      </c>
      <c r="W169" s="110">
        <v>645</v>
      </c>
      <c r="X169" s="111">
        <v>-645</v>
      </c>
      <c r="Y169" s="72" t="str">
        <f>VLOOKUP(D169,'TKP 终端汇总'!A:A,1,0)</f>
        <v>POLYCOM</v>
      </c>
    </row>
    <row r="170" spans="1:25" x14ac:dyDescent="0.2">
      <c r="A170" s="107" t="s">
        <v>801</v>
      </c>
      <c r="B170" s="107" t="s">
        <v>802</v>
      </c>
      <c r="C170" s="108" t="s">
        <v>80</v>
      </c>
      <c r="D170" s="107" t="s">
        <v>1151</v>
      </c>
      <c r="E170" s="109">
        <v>44887</v>
      </c>
      <c r="F170" s="109"/>
      <c r="G170" s="110">
        <v>200000</v>
      </c>
      <c r="H170" s="110">
        <v>0</v>
      </c>
      <c r="I170" s="110">
        <v>0</v>
      </c>
      <c r="J170" s="110">
        <v>0</v>
      </c>
      <c r="K170" s="110">
        <v>0</v>
      </c>
      <c r="L170" s="110">
        <v>0</v>
      </c>
      <c r="M170" s="110">
        <v>0</v>
      </c>
      <c r="N170" s="110">
        <v>0</v>
      </c>
      <c r="O170" s="110">
        <v>0</v>
      </c>
      <c r="P170" s="110">
        <v>0</v>
      </c>
      <c r="Q170" s="110">
        <v>0</v>
      </c>
      <c r="R170" s="110">
        <v>0</v>
      </c>
      <c r="S170" s="110">
        <v>0</v>
      </c>
      <c r="T170" s="110">
        <v>0</v>
      </c>
      <c r="U170" s="110">
        <v>0</v>
      </c>
      <c r="V170" s="110">
        <v>2176.3199999999997</v>
      </c>
      <c r="W170" s="110">
        <v>2176.3199999999997</v>
      </c>
      <c r="X170" s="111">
        <v>-2176.3199999999997</v>
      </c>
      <c r="Y170" s="72" t="str">
        <f>VLOOKUP(D170,'TKP 终端汇总'!A:A,1,0)</f>
        <v>合元</v>
      </c>
    </row>
    <row r="171" spans="1:25" x14ac:dyDescent="0.2">
      <c r="A171" s="107" t="s">
        <v>805</v>
      </c>
      <c r="B171" s="107" t="s">
        <v>806</v>
      </c>
      <c r="C171" s="108">
        <v>440</v>
      </c>
      <c r="D171" s="107" t="s">
        <v>1161</v>
      </c>
      <c r="E171" s="109">
        <v>44921</v>
      </c>
      <c r="F171" s="109"/>
      <c r="G171" s="110">
        <v>666000</v>
      </c>
      <c r="H171" s="110">
        <v>0</v>
      </c>
      <c r="I171" s="110">
        <v>0</v>
      </c>
      <c r="J171" s="110">
        <v>0</v>
      </c>
      <c r="K171" s="110">
        <v>0</v>
      </c>
      <c r="L171" s="110">
        <v>0</v>
      </c>
      <c r="M171" s="110">
        <v>0</v>
      </c>
      <c r="N171" s="110">
        <v>0</v>
      </c>
      <c r="O171" s="110">
        <v>0</v>
      </c>
      <c r="P171" s="110">
        <v>0</v>
      </c>
      <c r="Q171" s="110">
        <v>0</v>
      </c>
      <c r="R171" s="110">
        <v>0</v>
      </c>
      <c r="S171" s="110">
        <v>0</v>
      </c>
      <c r="T171" s="110">
        <v>0</v>
      </c>
      <c r="U171" s="110">
        <v>0</v>
      </c>
      <c r="V171" s="110">
        <v>0</v>
      </c>
      <c r="W171" s="110">
        <v>0</v>
      </c>
      <c r="X171" s="111">
        <v>0</v>
      </c>
      <c r="Y171" s="72" t="str">
        <f>VLOOKUP(D171,'TKP 终端汇总'!A:A,1,0)</f>
        <v>OTTERBOX</v>
      </c>
    </row>
    <row r="172" spans="1:25" x14ac:dyDescent="0.2">
      <c r="A172" s="107" t="s">
        <v>807</v>
      </c>
      <c r="B172" s="107" t="s">
        <v>808</v>
      </c>
      <c r="C172" s="108">
        <v>440</v>
      </c>
      <c r="D172" s="107" t="s">
        <v>1161</v>
      </c>
      <c r="E172" s="109">
        <v>44921</v>
      </c>
      <c r="F172" s="109"/>
      <c r="G172" s="110">
        <v>609210</v>
      </c>
      <c r="H172" s="110">
        <v>0</v>
      </c>
      <c r="I172" s="110">
        <v>0</v>
      </c>
      <c r="J172" s="110">
        <v>3112</v>
      </c>
      <c r="K172" s="110">
        <v>0</v>
      </c>
      <c r="L172" s="110">
        <v>0</v>
      </c>
      <c r="M172" s="110">
        <v>3112</v>
      </c>
      <c r="N172" s="110">
        <v>0</v>
      </c>
      <c r="O172" s="110">
        <v>0</v>
      </c>
      <c r="P172" s="110">
        <v>0</v>
      </c>
      <c r="Q172" s="110">
        <v>0</v>
      </c>
      <c r="R172" s="110">
        <v>89681.589999999982</v>
      </c>
      <c r="S172" s="110">
        <v>89681.589999999982</v>
      </c>
      <c r="T172" s="110">
        <v>-86569.589999999982</v>
      </c>
      <c r="U172" s="110">
        <v>769.52</v>
      </c>
      <c r="V172" s="110">
        <v>0</v>
      </c>
      <c r="W172" s="110">
        <v>769.52</v>
      </c>
      <c r="X172" s="111">
        <v>-87339.109999999986</v>
      </c>
      <c r="Y172" s="72" t="str">
        <f>VLOOKUP(D172,'TKP 终端汇总'!A:A,1,0)</f>
        <v>OTTERBOX</v>
      </c>
    </row>
    <row r="173" spans="1:25" x14ac:dyDescent="0.2">
      <c r="A173" s="107" t="s">
        <v>809</v>
      </c>
      <c r="B173" s="107" t="s">
        <v>810</v>
      </c>
      <c r="C173" s="108" t="s">
        <v>811</v>
      </c>
      <c r="D173" s="107" t="s">
        <v>1192</v>
      </c>
      <c r="E173" s="109">
        <v>44889</v>
      </c>
      <c r="F173" s="109"/>
      <c r="G173" s="110">
        <v>54860</v>
      </c>
      <c r="H173" s="110">
        <v>15233.95</v>
      </c>
      <c r="I173" s="110">
        <v>0</v>
      </c>
      <c r="J173" s="110">
        <v>0</v>
      </c>
      <c r="K173" s="110">
        <v>0</v>
      </c>
      <c r="L173" s="110">
        <v>0</v>
      </c>
      <c r="M173" s="110">
        <v>15233.95</v>
      </c>
      <c r="N173" s="110">
        <v>16568.560000000001</v>
      </c>
      <c r="O173" s="110">
        <v>0</v>
      </c>
      <c r="P173" s="110">
        <v>0</v>
      </c>
      <c r="Q173" s="110">
        <v>0</v>
      </c>
      <c r="R173" s="110">
        <v>0</v>
      </c>
      <c r="S173" s="110">
        <v>16568.560000000001</v>
      </c>
      <c r="T173" s="110">
        <v>-1334.6100000000006</v>
      </c>
      <c r="U173" s="110">
        <v>0</v>
      </c>
      <c r="V173" s="110">
        <v>0</v>
      </c>
      <c r="W173" s="110">
        <v>0</v>
      </c>
      <c r="X173" s="111">
        <v>-1334.6100000000006</v>
      </c>
      <c r="Y173" s="72" t="str">
        <f>VLOOKUP(D173,'TKP 终端汇总'!A:A,1,0)</f>
        <v>欧太</v>
      </c>
    </row>
    <row r="174" spans="1:25" x14ac:dyDescent="0.2">
      <c r="A174" s="107" t="s">
        <v>812</v>
      </c>
      <c r="B174" s="107" t="s">
        <v>813</v>
      </c>
      <c r="C174" s="108" t="s">
        <v>122</v>
      </c>
      <c r="D174" s="107" t="s">
        <v>1370</v>
      </c>
      <c r="E174" s="109">
        <v>44862</v>
      </c>
      <c r="F174" s="109"/>
      <c r="G174" s="110">
        <v>1866000</v>
      </c>
      <c r="H174" s="110">
        <v>0</v>
      </c>
      <c r="I174" s="110">
        <v>0</v>
      </c>
      <c r="J174" s="110">
        <v>0</v>
      </c>
      <c r="K174" s="110">
        <v>0</v>
      </c>
      <c r="L174" s="110">
        <v>0</v>
      </c>
      <c r="M174" s="110">
        <v>0</v>
      </c>
      <c r="N174" s="110">
        <v>0</v>
      </c>
      <c r="O174" s="110">
        <v>0</v>
      </c>
      <c r="P174" s="110">
        <v>0</v>
      </c>
      <c r="Q174" s="110">
        <v>0</v>
      </c>
      <c r="R174" s="110">
        <v>37358.14</v>
      </c>
      <c r="S174" s="110">
        <v>37358.14</v>
      </c>
      <c r="T174" s="110">
        <v>-37358.14</v>
      </c>
      <c r="U174" s="110">
        <v>0</v>
      </c>
      <c r="V174" s="110">
        <v>60549.71</v>
      </c>
      <c r="W174" s="110">
        <v>60549.71</v>
      </c>
      <c r="X174" s="111">
        <v>-97907.85</v>
      </c>
      <c r="Y174" s="72" t="str">
        <f>VLOOKUP(D174,'TKP 终端汇总'!A:A,1,0)</f>
        <v>Meta</v>
      </c>
    </row>
    <row r="175" spans="1:25" x14ac:dyDescent="0.2">
      <c r="A175" s="107" t="s">
        <v>814</v>
      </c>
      <c r="B175" s="107" t="s">
        <v>815</v>
      </c>
      <c r="C175" s="108" t="s">
        <v>56</v>
      </c>
      <c r="D175" s="107" t="s">
        <v>1151</v>
      </c>
      <c r="E175" s="109">
        <v>44859</v>
      </c>
      <c r="F175" s="109"/>
      <c r="G175" s="110">
        <v>495000</v>
      </c>
      <c r="H175" s="110">
        <v>11001.32</v>
      </c>
      <c r="I175" s="110">
        <v>0</v>
      </c>
      <c r="J175" s="110">
        <v>0</v>
      </c>
      <c r="K175" s="110">
        <v>0</v>
      </c>
      <c r="L175" s="110">
        <v>0</v>
      </c>
      <c r="M175" s="110">
        <v>11001.32</v>
      </c>
      <c r="N175" s="110">
        <v>0</v>
      </c>
      <c r="O175" s="110">
        <v>0</v>
      </c>
      <c r="P175" s="110">
        <v>0</v>
      </c>
      <c r="Q175" s="110">
        <v>0</v>
      </c>
      <c r="R175" s="110">
        <v>0</v>
      </c>
      <c r="S175" s="110">
        <v>0</v>
      </c>
      <c r="T175" s="110">
        <v>11001.32</v>
      </c>
      <c r="U175" s="110">
        <v>0</v>
      </c>
      <c r="V175" s="110">
        <v>0</v>
      </c>
      <c r="W175" s="110">
        <v>0</v>
      </c>
      <c r="X175" s="111">
        <v>11001.32</v>
      </c>
      <c r="Y175" s="72" t="str">
        <f>VLOOKUP(D175,'TKP 终端汇总'!A:A,1,0)</f>
        <v>合元</v>
      </c>
    </row>
    <row r="176" spans="1:25" x14ac:dyDescent="0.2">
      <c r="A176" s="107" t="s">
        <v>816</v>
      </c>
      <c r="B176" s="107" t="s">
        <v>817</v>
      </c>
      <c r="C176" s="108" t="s">
        <v>136</v>
      </c>
      <c r="D176" s="107" t="s">
        <v>1178</v>
      </c>
      <c r="E176" s="109">
        <v>44894</v>
      </c>
      <c r="F176" s="109"/>
      <c r="G176" s="110">
        <v>2512471.5</v>
      </c>
      <c r="H176" s="110">
        <v>0</v>
      </c>
      <c r="I176" s="110">
        <v>0</v>
      </c>
      <c r="J176" s="110">
        <v>0</v>
      </c>
      <c r="K176" s="110">
        <v>0</v>
      </c>
      <c r="L176" s="110">
        <v>0</v>
      </c>
      <c r="M176" s="110">
        <v>0</v>
      </c>
      <c r="N176" s="110">
        <v>0</v>
      </c>
      <c r="O176" s="110">
        <v>0</v>
      </c>
      <c r="P176" s="110">
        <v>72331.91</v>
      </c>
      <c r="Q176" s="110">
        <v>369.37</v>
      </c>
      <c r="R176" s="110">
        <v>21418.57</v>
      </c>
      <c r="S176" s="110">
        <v>94119.85</v>
      </c>
      <c r="T176" s="110">
        <v>-94119.85</v>
      </c>
      <c r="U176" s="110">
        <v>0</v>
      </c>
      <c r="V176" s="110">
        <v>0</v>
      </c>
      <c r="W176" s="110">
        <v>0</v>
      </c>
      <c r="X176" s="111">
        <v>-94119.85</v>
      </c>
      <c r="Y176" s="72" t="str">
        <f>VLOOKUP(D176,'TKP 终端汇总'!A:A,1,0)</f>
        <v>Square</v>
      </c>
    </row>
    <row r="177" spans="1:25" x14ac:dyDescent="0.2">
      <c r="A177" s="107" t="s">
        <v>818</v>
      </c>
      <c r="B177" s="107" t="s">
        <v>819</v>
      </c>
      <c r="C177" s="108">
        <v>438</v>
      </c>
      <c r="D177" s="107" t="s">
        <v>1157</v>
      </c>
      <c r="E177" s="109">
        <v>44226</v>
      </c>
      <c r="F177" s="109">
        <v>42690</v>
      </c>
      <c r="G177" s="110">
        <v>0</v>
      </c>
      <c r="H177" s="110">
        <v>0</v>
      </c>
      <c r="I177" s="110">
        <v>0</v>
      </c>
      <c r="J177" s="110">
        <v>0</v>
      </c>
      <c r="K177" s="110">
        <v>0</v>
      </c>
      <c r="L177" s="110">
        <v>0</v>
      </c>
      <c r="M177" s="110">
        <v>0</v>
      </c>
      <c r="N177" s="110">
        <v>0</v>
      </c>
      <c r="O177" s="110">
        <v>0</v>
      </c>
      <c r="P177" s="110">
        <v>0</v>
      </c>
      <c r="Q177" s="110">
        <v>0</v>
      </c>
      <c r="R177" s="110">
        <v>0</v>
      </c>
      <c r="S177" s="110">
        <v>0</v>
      </c>
      <c r="T177" s="110">
        <v>0</v>
      </c>
      <c r="U177" s="110">
        <v>0</v>
      </c>
      <c r="V177" s="110">
        <v>0</v>
      </c>
      <c r="W177" s="110">
        <v>0</v>
      </c>
      <c r="X177" s="111">
        <v>0</v>
      </c>
      <c r="Y177" s="72" t="str">
        <f>VLOOKUP(D177,'TKP 终端汇总'!A:A,1,0)</f>
        <v>PHILIPS</v>
      </c>
    </row>
    <row r="178" spans="1:25" x14ac:dyDescent="0.2">
      <c r="A178" s="107" t="s">
        <v>820</v>
      </c>
      <c r="B178" s="107" t="s">
        <v>821</v>
      </c>
      <c r="C178" s="108">
        <v>781</v>
      </c>
      <c r="D178" s="107" t="s">
        <v>1170</v>
      </c>
      <c r="E178" s="109">
        <v>44226</v>
      </c>
      <c r="F178" s="109">
        <v>42595</v>
      </c>
      <c r="G178" s="110">
        <v>770000</v>
      </c>
      <c r="H178" s="110">
        <v>0</v>
      </c>
      <c r="I178" s="110">
        <v>0</v>
      </c>
      <c r="J178" s="110">
        <v>58.58</v>
      </c>
      <c r="K178" s="110">
        <v>0</v>
      </c>
      <c r="L178" s="110">
        <v>0</v>
      </c>
      <c r="M178" s="110">
        <v>58.58</v>
      </c>
      <c r="N178" s="110">
        <v>0</v>
      </c>
      <c r="O178" s="110">
        <v>0</v>
      </c>
      <c r="P178" s="110">
        <v>3527.09</v>
      </c>
      <c r="Q178" s="110">
        <v>0</v>
      </c>
      <c r="R178" s="110">
        <v>0</v>
      </c>
      <c r="S178" s="110">
        <v>3527.09</v>
      </c>
      <c r="T178" s="110">
        <v>-3468.51</v>
      </c>
      <c r="U178" s="110">
        <v>0</v>
      </c>
      <c r="V178" s="110">
        <v>0</v>
      </c>
      <c r="W178" s="110">
        <v>0</v>
      </c>
      <c r="X178" s="111">
        <v>-3468.51</v>
      </c>
      <c r="Y178" s="72" t="str">
        <f>VLOOKUP(D178,'TKP 终端汇总'!A:A,1,0)</f>
        <v>ECOBEE</v>
      </c>
    </row>
    <row r="179" spans="1:25" x14ac:dyDescent="0.2">
      <c r="A179" s="107" t="s">
        <v>822</v>
      </c>
      <c r="B179" s="107" t="s">
        <v>823</v>
      </c>
      <c r="C179" s="108">
        <v>781</v>
      </c>
      <c r="D179" s="107" t="s">
        <v>1170</v>
      </c>
      <c r="E179" s="109">
        <v>44226</v>
      </c>
      <c r="F179" s="109">
        <v>44043</v>
      </c>
      <c r="G179" s="110">
        <v>0</v>
      </c>
      <c r="H179" s="110">
        <v>0</v>
      </c>
      <c r="I179" s="110">
        <v>0</v>
      </c>
      <c r="J179" s="110">
        <v>0</v>
      </c>
      <c r="K179" s="110">
        <v>0</v>
      </c>
      <c r="L179" s="110">
        <v>0</v>
      </c>
      <c r="M179" s="110">
        <v>0</v>
      </c>
      <c r="N179" s="110">
        <v>0</v>
      </c>
      <c r="O179" s="110">
        <v>0</v>
      </c>
      <c r="P179" s="110">
        <v>0</v>
      </c>
      <c r="Q179" s="110">
        <v>0</v>
      </c>
      <c r="R179" s="110">
        <v>0</v>
      </c>
      <c r="S179" s="110">
        <v>0</v>
      </c>
      <c r="T179" s="110">
        <v>0</v>
      </c>
      <c r="U179" s="110">
        <v>4964.1499999999996</v>
      </c>
      <c r="V179" s="110">
        <v>0</v>
      </c>
      <c r="W179" s="110">
        <v>4964.1499999999996</v>
      </c>
      <c r="X179" s="111">
        <v>-4964.1499999999996</v>
      </c>
      <c r="Y179" s="72" t="str">
        <f>VLOOKUP(D179,'TKP 终端汇总'!A:A,1,0)</f>
        <v>ECOBEE</v>
      </c>
    </row>
    <row r="180" spans="1:25" x14ac:dyDescent="0.2">
      <c r="A180" s="107" t="s">
        <v>824</v>
      </c>
      <c r="B180" s="107" t="s">
        <v>825</v>
      </c>
      <c r="C180" s="108">
        <v>440</v>
      </c>
      <c r="D180" s="107" t="s">
        <v>1161</v>
      </c>
      <c r="E180" s="109">
        <v>44930</v>
      </c>
      <c r="F180" s="109"/>
      <c r="G180" s="110">
        <v>2743410</v>
      </c>
      <c r="H180" s="110">
        <v>0</v>
      </c>
      <c r="I180" s="110">
        <v>0</v>
      </c>
      <c r="J180" s="110">
        <v>0</v>
      </c>
      <c r="K180" s="110">
        <v>0</v>
      </c>
      <c r="L180" s="110">
        <v>0</v>
      </c>
      <c r="M180" s="110">
        <v>0</v>
      </c>
      <c r="N180" s="110">
        <v>0</v>
      </c>
      <c r="O180" s="110">
        <v>0</v>
      </c>
      <c r="P180" s="110">
        <v>0</v>
      </c>
      <c r="Q180" s="110">
        <v>0</v>
      </c>
      <c r="R180" s="110">
        <v>0</v>
      </c>
      <c r="S180" s="110">
        <v>0</v>
      </c>
      <c r="T180" s="110">
        <v>0</v>
      </c>
      <c r="U180" s="110">
        <v>0</v>
      </c>
      <c r="V180" s="110">
        <v>0</v>
      </c>
      <c r="W180" s="110">
        <v>0</v>
      </c>
      <c r="X180" s="111">
        <v>0</v>
      </c>
      <c r="Y180" s="72" t="str">
        <f>VLOOKUP(D180,'TKP 终端汇总'!A:A,1,0)</f>
        <v>OTTERBOX</v>
      </c>
    </row>
    <row r="181" spans="1:25" x14ac:dyDescent="0.2">
      <c r="A181" s="107" t="s">
        <v>826</v>
      </c>
      <c r="B181" s="107" t="s">
        <v>827</v>
      </c>
      <c r="C181" s="108">
        <v>460</v>
      </c>
      <c r="D181" s="107" t="s">
        <v>1171</v>
      </c>
      <c r="E181" s="109">
        <v>44851</v>
      </c>
      <c r="F181" s="109"/>
      <c r="G181" s="110">
        <v>1475481.3</v>
      </c>
      <c r="H181" s="110">
        <v>0</v>
      </c>
      <c r="I181" s="110">
        <v>0</v>
      </c>
      <c r="J181" s="110">
        <v>0</v>
      </c>
      <c r="K181" s="110">
        <v>0</v>
      </c>
      <c r="L181" s="110">
        <v>0</v>
      </c>
      <c r="M181" s="110">
        <v>0</v>
      </c>
      <c r="N181" s="110">
        <v>17884.309999999998</v>
      </c>
      <c r="O181" s="110">
        <v>0</v>
      </c>
      <c r="P181" s="110">
        <v>22826.309999999998</v>
      </c>
      <c r="Q181" s="110">
        <v>0</v>
      </c>
      <c r="R181" s="110">
        <v>0</v>
      </c>
      <c r="S181" s="110">
        <v>40710.620000000003</v>
      </c>
      <c r="T181" s="110">
        <v>-40710.620000000003</v>
      </c>
      <c r="U181" s="110">
        <v>0</v>
      </c>
      <c r="V181" s="110">
        <v>5668.33</v>
      </c>
      <c r="W181" s="110">
        <v>5668.33</v>
      </c>
      <c r="X181" s="111">
        <v>-46378.950000000004</v>
      </c>
      <c r="Y181" s="72" t="str">
        <f>VLOOKUP(D181,'TKP 终端汇总'!A:A,1,0)</f>
        <v>AMAZON</v>
      </c>
    </row>
    <row r="182" spans="1:25" x14ac:dyDescent="0.2">
      <c r="A182" s="107" t="s">
        <v>828</v>
      </c>
      <c r="B182" s="107" t="s">
        <v>829</v>
      </c>
      <c r="C182" s="108" t="s">
        <v>830</v>
      </c>
      <c r="D182" s="107" t="s">
        <v>1160</v>
      </c>
      <c r="E182" s="109">
        <v>44930</v>
      </c>
      <c r="F182" s="109"/>
      <c r="G182" s="110">
        <v>275000</v>
      </c>
      <c r="H182" s="110">
        <v>0</v>
      </c>
      <c r="I182" s="110">
        <v>0</v>
      </c>
      <c r="J182" s="110">
        <v>0</v>
      </c>
      <c r="K182" s="110">
        <v>0</v>
      </c>
      <c r="L182" s="110">
        <v>0</v>
      </c>
      <c r="M182" s="110">
        <v>0</v>
      </c>
      <c r="N182" s="110">
        <v>0</v>
      </c>
      <c r="O182" s="110">
        <v>0</v>
      </c>
      <c r="P182" s="110">
        <v>0</v>
      </c>
      <c r="Q182" s="110">
        <v>0</v>
      </c>
      <c r="R182" s="110">
        <v>0</v>
      </c>
      <c r="S182" s="110">
        <v>0</v>
      </c>
      <c r="T182" s="110">
        <v>0</v>
      </c>
      <c r="U182" s="110">
        <v>0</v>
      </c>
      <c r="V182" s="110">
        <v>0</v>
      </c>
      <c r="W182" s="110">
        <v>0</v>
      </c>
      <c r="X182" s="111">
        <v>0</v>
      </c>
      <c r="Y182" s="72" t="str">
        <f>VLOOKUP(D182,'TKP 终端汇总'!A:A,1,0)</f>
        <v>TCL</v>
      </c>
    </row>
    <row r="183" spans="1:25" x14ac:dyDescent="0.2">
      <c r="A183" s="107" t="s">
        <v>831</v>
      </c>
      <c r="B183" s="107" t="s">
        <v>832</v>
      </c>
      <c r="C183" s="108" t="s">
        <v>729</v>
      </c>
      <c r="D183" s="107" t="s">
        <v>1187</v>
      </c>
      <c r="E183" s="109">
        <v>44895</v>
      </c>
      <c r="F183" s="109"/>
      <c r="G183" s="110">
        <v>695000</v>
      </c>
      <c r="H183" s="110">
        <v>0</v>
      </c>
      <c r="I183" s="110">
        <v>0</v>
      </c>
      <c r="J183" s="110">
        <v>0</v>
      </c>
      <c r="K183" s="110">
        <v>0</v>
      </c>
      <c r="L183" s="110">
        <v>0</v>
      </c>
      <c r="M183" s="110">
        <v>0</v>
      </c>
      <c r="N183" s="110">
        <v>0</v>
      </c>
      <c r="O183" s="110">
        <v>0</v>
      </c>
      <c r="P183" s="110">
        <v>0</v>
      </c>
      <c r="Q183" s="110">
        <v>0</v>
      </c>
      <c r="R183" s="110">
        <v>0</v>
      </c>
      <c r="S183" s="110">
        <v>0</v>
      </c>
      <c r="T183" s="110">
        <v>0</v>
      </c>
      <c r="U183" s="110">
        <v>0</v>
      </c>
      <c r="V183" s="110">
        <v>2198.54</v>
      </c>
      <c r="W183" s="110">
        <v>2198.54</v>
      </c>
      <c r="X183" s="111">
        <v>-2198.54</v>
      </c>
      <c r="Y183" s="72" t="str">
        <f>VLOOKUP(D183,'TKP 终端汇总'!A:A,1,0)</f>
        <v>行者无疆</v>
      </c>
    </row>
    <row r="184" spans="1:25" x14ac:dyDescent="0.2">
      <c r="A184" s="107" t="s">
        <v>833</v>
      </c>
      <c r="B184" s="107" t="s">
        <v>834</v>
      </c>
      <c r="C184" s="108">
        <v>460</v>
      </c>
      <c r="D184" s="107" t="s">
        <v>1171</v>
      </c>
      <c r="E184" s="109">
        <v>44872</v>
      </c>
      <c r="F184" s="109"/>
      <c r="G184" s="110">
        <v>203500</v>
      </c>
      <c r="H184" s="110">
        <v>0</v>
      </c>
      <c r="I184" s="110">
        <v>0</v>
      </c>
      <c r="J184" s="110">
        <v>0</v>
      </c>
      <c r="K184" s="110">
        <v>0</v>
      </c>
      <c r="L184" s="110">
        <v>0</v>
      </c>
      <c r="M184" s="110">
        <v>0</v>
      </c>
      <c r="N184" s="110">
        <v>0</v>
      </c>
      <c r="O184" s="110">
        <v>0</v>
      </c>
      <c r="P184" s="110">
        <v>38718.639999999999</v>
      </c>
      <c r="Q184" s="110">
        <v>0</v>
      </c>
      <c r="R184" s="110">
        <v>0</v>
      </c>
      <c r="S184" s="110">
        <v>38718.639999999999</v>
      </c>
      <c r="T184" s="110">
        <v>-38718.639999999999</v>
      </c>
      <c r="U184" s="110">
        <v>2384.6999999999998</v>
      </c>
      <c r="V184" s="110">
        <v>0</v>
      </c>
      <c r="W184" s="110">
        <v>2384.6999999999998</v>
      </c>
      <c r="X184" s="111">
        <v>-41103.339999999997</v>
      </c>
      <c r="Y184" s="72" t="str">
        <f>VLOOKUP(D184,'TKP 终端汇总'!A:A,1,0)</f>
        <v>AMAZON</v>
      </c>
    </row>
    <row r="185" spans="1:25" x14ac:dyDescent="0.2">
      <c r="A185" s="107" t="s">
        <v>835</v>
      </c>
      <c r="B185" s="107" t="s">
        <v>836</v>
      </c>
      <c r="C185" s="108" t="s">
        <v>56</v>
      </c>
      <c r="D185" s="107" t="s">
        <v>1151</v>
      </c>
      <c r="E185" s="109">
        <v>44875</v>
      </c>
      <c r="F185" s="109"/>
      <c r="G185" s="110">
        <v>617100</v>
      </c>
      <c r="H185" s="110">
        <v>0</v>
      </c>
      <c r="I185" s="110">
        <v>0</v>
      </c>
      <c r="J185" s="110">
        <v>0</v>
      </c>
      <c r="K185" s="110">
        <v>0</v>
      </c>
      <c r="L185" s="110">
        <v>0</v>
      </c>
      <c r="M185" s="110">
        <v>0</v>
      </c>
      <c r="N185" s="110">
        <v>0</v>
      </c>
      <c r="O185" s="110">
        <v>0</v>
      </c>
      <c r="P185" s="110">
        <v>0</v>
      </c>
      <c r="Q185" s="110">
        <v>0</v>
      </c>
      <c r="R185" s="110">
        <v>0</v>
      </c>
      <c r="S185" s="110">
        <v>0</v>
      </c>
      <c r="T185" s="110">
        <v>0</v>
      </c>
      <c r="U185" s="110">
        <v>0</v>
      </c>
      <c r="V185" s="110">
        <v>0</v>
      </c>
      <c r="W185" s="110">
        <v>0</v>
      </c>
      <c r="X185" s="111">
        <v>0</v>
      </c>
      <c r="Y185" s="72" t="str">
        <f>VLOOKUP(D185,'TKP 终端汇总'!A:A,1,0)</f>
        <v>合元</v>
      </c>
    </row>
    <row r="186" spans="1:25" x14ac:dyDescent="0.2">
      <c r="A186" s="107" t="s">
        <v>837</v>
      </c>
      <c r="B186" s="107" t="s">
        <v>838</v>
      </c>
      <c r="C186" s="108" t="s">
        <v>56</v>
      </c>
      <c r="D186" s="107" t="s">
        <v>1151</v>
      </c>
      <c r="E186" s="109">
        <v>44882</v>
      </c>
      <c r="F186" s="109"/>
      <c r="G186" s="110">
        <v>1679700</v>
      </c>
      <c r="H186" s="110">
        <v>0</v>
      </c>
      <c r="I186" s="110">
        <v>0</v>
      </c>
      <c r="J186" s="110">
        <v>4677.47</v>
      </c>
      <c r="K186" s="110">
        <v>0</v>
      </c>
      <c r="L186" s="110">
        <v>0</v>
      </c>
      <c r="M186" s="110">
        <v>4677.47</v>
      </c>
      <c r="N186" s="110">
        <v>747934.53</v>
      </c>
      <c r="O186" s="110">
        <v>0</v>
      </c>
      <c r="P186" s="110">
        <v>0</v>
      </c>
      <c r="Q186" s="110">
        <v>0</v>
      </c>
      <c r="R186" s="110">
        <v>0</v>
      </c>
      <c r="S186" s="110">
        <v>747934.53</v>
      </c>
      <c r="T186" s="110">
        <v>-743257.06</v>
      </c>
      <c r="U186" s="110">
        <v>3158.51</v>
      </c>
      <c r="V186" s="110">
        <v>12672.96</v>
      </c>
      <c r="W186" s="110">
        <v>15831.47</v>
      </c>
      <c r="X186" s="111">
        <v>-759088.53</v>
      </c>
      <c r="Y186" s="72" t="str">
        <f>VLOOKUP(D186,'TKP 终端汇总'!A:A,1,0)</f>
        <v>合元</v>
      </c>
    </row>
    <row r="187" spans="1:25" x14ac:dyDescent="0.2">
      <c r="A187" s="107" t="s">
        <v>839</v>
      </c>
      <c r="B187" s="107" t="s">
        <v>840</v>
      </c>
      <c r="C187" s="108" t="s">
        <v>841</v>
      </c>
      <c r="D187" s="107" t="s">
        <v>1189</v>
      </c>
      <c r="E187" s="109">
        <v>44903</v>
      </c>
      <c r="F187" s="109"/>
      <c r="G187" s="110">
        <v>1610000</v>
      </c>
      <c r="H187" s="110">
        <v>0</v>
      </c>
      <c r="I187" s="110">
        <v>0</v>
      </c>
      <c r="J187" s="110">
        <v>0</v>
      </c>
      <c r="K187" s="110">
        <v>0</v>
      </c>
      <c r="L187" s="110">
        <v>0</v>
      </c>
      <c r="M187" s="110">
        <v>0</v>
      </c>
      <c r="N187" s="110">
        <v>1949.24</v>
      </c>
      <c r="O187" s="110">
        <v>0</v>
      </c>
      <c r="P187" s="110">
        <v>2208.8900000000003</v>
      </c>
      <c r="Q187" s="110">
        <v>0</v>
      </c>
      <c r="R187" s="110">
        <v>0</v>
      </c>
      <c r="S187" s="110">
        <v>4158.13</v>
      </c>
      <c r="T187" s="110">
        <v>-4158.13</v>
      </c>
      <c r="U187" s="110">
        <v>0</v>
      </c>
      <c r="V187" s="110">
        <v>3003.89</v>
      </c>
      <c r="W187" s="110">
        <v>3003.89</v>
      </c>
      <c r="X187" s="111">
        <v>-7162.02</v>
      </c>
      <c r="Y187" s="72" t="str">
        <f>VLOOKUP(D187,'TKP 终端汇总'!A:A,1,0)</f>
        <v>恒天伟焱</v>
      </c>
    </row>
    <row r="188" spans="1:25" x14ac:dyDescent="0.2">
      <c r="A188" s="107" t="s">
        <v>843</v>
      </c>
      <c r="B188" s="107" t="s">
        <v>844</v>
      </c>
      <c r="C188" s="108" t="s">
        <v>845</v>
      </c>
      <c r="D188" s="107" t="s">
        <v>1172</v>
      </c>
      <c r="E188" s="109">
        <v>44931</v>
      </c>
      <c r="F188" s="109"/>
      <c r="G188" s="110">
        <v>595750</v>
      </c>
      <c r="H188" s="110">
        <v>0</v>
      </c>
      <c r="I188" s="110">
        <v>0</v>
      </c>
      <c r="J188" s="110">
        <v>4084.5</v>
      </c>
      <c r="K188" s="110">
        <v>0</v>
      </c>
      <c r="L188" s="110">
        <v>0</v>
      </c>
      <c r="M188" s="110">
        <v>4084.5</v>
      </c>
      <c r="N188" s="110">
        <v>0</v>
      </c>
      <c r="O188" s="110">
        <v>0</v>
      </c>
      <c r="P188" s="110">
        <v>3038.7200000000003</v>
      </c>
      <c r="Q188" s="110">
        <v>0</v>
      </c>
      <c r="R188" s="110">
        <v>0</v>
      </c>
      <c r="S188" s="110">
        <v>3038.7200000000003</v>
      </c>
      <c r="T188" s="110">
        <v>1045.7799999999997</v>
      </c>
      <c r="U188" s="110">
        <v>0</v>
      </c>
      <c r="V188" s="110">
        <v>0</v>
      </c>
      <c r="W188" s="110">
        <v>0</v>
      </c>
      <c r="X188" s="111">
        <v>1045.7799999999997</v>
      </c>
      <c r="Y188" s="72" t="str">
        <f>VLOOKUP(D188,'TKP 终端汇总'!A:A,1,0)</f>
        <v>Glowforge</v>
      </c>
    </row>
    <row r="189" spans="1:25" x14ac:dyDescent="0.2">
      <c r="A189" s="107" t="s">
        <v>847</v>
      </c>
      <c r="B189" s="107" t="s">
        <v>848</v>
      </c>
      <c r="C189" s="108" t="s">
        <v>166</v>
      </c>
      <c r="D189" s="107" t="s">
        <v>475</v>
      </c>
      <c r="E189" s="109">
        <v>44883</v>
      </c>
      <c r="F189" s="109"/>
      <c r="G189" s="110">
        <v>1850000</v>
      </c>
      <c r="H189" s="110">
        <v>194150.34</v>
      </c>
      <c r="I189" s="110">
        <v>0</v>
      </c>
      <c r="J189" s="110">
        <v>-62091.47</v>
      </c>
      <c r="K189" s="110">
        <v>10527.79</v>
      </c>
      <c r="L189" s="110">
        <v>0</v>
      </c>
      <c r="M189" s="110">
        <v>142586.66</v>
      </c>
      <c r="N189" s="110">
        <v>206267.3</v>
      </c>
      <c r="O189" s="110">
        <v>0</v>
      </c>
      <c r="P189" s="110">
        <v>92229.69</v>
      </c>
      <c r="Q189" s="110">
        <v>12005.970000000001</v>
      </c>
      <c r="R189" s="110">
        <v>0</v>
      </c>
      <c r="S189" s="110">
        <v>310502.96000000008</v>
      </c>
      <c r="T189" s="110">
        <v>-167916.30000000002</v>
      </c>
      <c r="U189" s="110">
        <v>13751.579999999998</v>
      </c>
      <c r="V189" s="110">
        <v>149974.01999999999</v>
      </c>
      <c r="W189" s="110">
        <v>163725.6</v>
      </c>
      <c r="X189" s="111">
        <v>-331641.90000000002</v>
      </c>
      <c r="Y189" s="72" t="str">
        <f>VLOOKUP(D189,'TKP 终端汇总'!A:A,1,0)</f>
        <v>韶音</v>
      </c>
    </row>
    <row r="190" spans="1:25" x14ac:dyDescent="0.2">
      <c r="A190" s="107" t="s">
        <v>849</v>
      </c>
      <c r="B190" s="107" t="s">
        <v>850</v>
      </c>
      <c r="C190" s="108">
        <v>360</v>
      </c>
      <c r="D190" s="107" t="s">
        <v>1153</v>
      </c>
      <c r="E190" s="109">
        <v>44226</v>
      </c>
      <c r="F190" s="109">
        <v>43805</v>
      </c>
      <c r="G190" s="110">
        <v>0</v>
      </c>
      <c r="H190" s="110">
        <v>0</v>
      </c>
      <c r="I190" s="110">
        <v>0</v>
      </c>
      <c r="J190" s="110">
        <v>0</v>
      </c>
      <c r="K190" s="110">
        <v>0</v>
      </c>
      <c r="L190" s="110">
        <v>0</v>
      </c>
      <c r="M190" s="110">
        <v>0</v>
      </c>
      <c r="N190" s="110">
        <v>0</v>
      </c>
      <c r="O190" s="110">
        <v>0</v>
      </c>
      <c r="P190" s="110">
        <v>0</v>
      </c>
      <c r="Q190" s="110">
        <v>0</v>
      </c>
      <c r="R190" s="110">
        <v>0</v>
      </c>
      <c r="S190" s="110">
        <v>0</v>
      </c>
      <c r="T190" s="110">
        <v>0</v>
      </c>
      <c r="U190" s="110">
        <v>0</v>
      </c>
      <c r="V190" s="110">
        <v>0</v>
      </c>
      <c r="W190" s="110">
        <v>0</v>
      </c>
      <c r="X190" s="111">
        <v>0</v>
      </c>
      <c r="Y190" s="72" t="str">
        <f>VLOOKUP(D190,'TKP 终端汇总'!A:A,1,0)</f>
        <v>Google</v>
      </c>
    </row>
    <row r="191" spans="1:25" x14ac:dyDescent="0.2">
      <c r="A191" s="107" t="s">
        <v>50</v>
      </c>
      <c r="B191" s="107" t="s">
        <v>51</v>
      </c>
      <c r="C191" s="108" t="s">
        <v>52</v>
      </c>
      <c r="D191" s="107" t="s">
        <v>1175</v>
      </c>
      <c r="E191" s="109">
        <v>44487</v>
      </c>
      <c r="F191" s="109"/>
      <c r="G191" s="110">
        <v>284500</v>
      </c>
      <c r="H191" s="110">
        <v>0</v>
      </c>
      <c r="I191" s="110">
        <v>0</v>
      </c>
      <c r="J191" s="110">
        <v>0</v>
      </c>
      <c r="K191" s="110">
        <v>0</v>
      </c>
      <c r="L191" s="110">
        <v>0</v>
      </c>
      <c r="M191" s="110">
        <v>0</v>
      </c>
      <c r="N191" s="110">
        <v>0</v>
      </c>
      <c r="O191" s="110">
        <v>0</v>
      </c>
      <c r="P191" s="110">
        <v>0</v>
      </c>
      <c r="Q191" s="110">
        <v>0</v>
      </c>
      <c r="R191" s="110">
        <v>0</v>
      </c>
      <c r="S191" s="110">
        <v>0</v>
      </c>
      <c r="T191" s="110">
        <v>0</v>
      </c>
      <c r="U191" s="110">
        <v>0</v>
      </c>
      <c r="V191" s="110">
        <v>0</v>
      </c>
      <c r="W191" s="110">
        <v>0</v>
      </c>
      <c r="X191" s="111">
        <v>0</v>
      </c>
      <c r="Y191" s="72" t="str">
        <f>VLOOKUP(D191,'TKP 终端汇总'!A:A,1,0)</f>
        <v>NJOY</v>
      </c>
    </row>
    <row r="192" spans="1:25" x14ac:dyDescent="0.2">
      <c r="A192" s="107" t="s">
        <v>871</v>
      </c>
      <c r="B192" s="107" t="s">
        <v>872</v>
      </c>
      <c r="C192" s="108" t="s">
        <v>705</v>
      </c>
      <c r="D192" s="107" t="s">
        <v>1232</v>
      </c>
      <c r="E192" s="109">
        <v>44777</v>
      </c>
      <c r="F192" s="109"/>
      <c r="G192" s="110">
        <v>214700</v>
      </c>
      <c r="H192" s="110">
        <v>0</v>
      </c>
      <c r="I192" s="110">
        <v>0</v>
      </c>
      <c r="J192" s="110">
        <v>0</v>
      </c>
      <c r="K192" s="110">
        <v>0</v>
      </c>
      <c r="L192" s="110">
        <v>0</v>
      </c>
      <c r="M192" s="110">
        <v>0</v>
      </c>
      <c r="N192" s="110">
        <v>0</v>
      </c>
      <c r="O192" s="110">
        <v>0</v>
      </c>
      <c r="P192" s="110">
        <v>0</v>
      </c>
      <c r="Q192" s="110">
        <v>0</v>
      </c>
      <c r="R192" s="110">
        <v>0</v>
      </c>
      <c r="S192" s="110">
        <v>0</v>
      </c>
      <c r="T192" s="110">
        <v>0</v>
      </c>
      <c r="U192" s="110">
        <v>0</v>
      </c>
      <c r="V192" s="110">
        <v>0</v>
      </c>
      <c r="W192" s="110">
        <v>0</v>
      </c>
      <c r="X192" s="111">
        <v>0</v>
      </c>
      <c r="Y192" s="72" t="str">
        <f>VLOOKUP(D192,'TKP 终端汇总'!A:A,1,0)</f>
        <v>爱立康</v>
      </c>
    </row>
    <row r="193" spans="1:25" x14ac:dyDescent="0.2">
      <c r="A193" s="107" t="s">
        <v>873</v>
      </c>
      <c r="B193" s="107" t="s">
        <v>874</v>
      </c>
      <c r="C193" s="108" t="s">
        <v>875</v>
      </c>
      <c r="D193" s="107" t="s">
        <v>1235</v>
      </c>
      <c r="E193" s="109">
        <v>44804</v>
      </c>
      <c r="F193" s="109"/>
      <c r="G193" s="110">
        <v>167774.2</v>
      </c>
      <c r="H193" s="110">
        <v>0</v>
      </c>
      <c r="I193" s="110">
        <v>0</v>
      </c>
      <c r="J193" s="110">
        <v>0</v>
      </c>
      <c r="K193" s="110">
        <v>0</v>
      </c>
      <c r="L193" s="110">
        <v>0</v>
      </c>
      <c r="M193" s="110">
        <v>0</v>
      </c>
      <c r="N193" s="110">
        <v>0</v>
      </c>
      <c r="O193" s="110">
        <v>0</v>
      </c>
      <c r="P193" s="110">
        <v>0</v>
      </c>
      <c r="Q193" s="110">
        <v>0</v>
      </c>
      <c r="R193" s="110">
        <v>0</v>
      </c>
      <c r="S193" s="110">
        <v>0</v>
      </c>
      <c r="T193" s="110">
        <v>0</v>
      </c>
      <c r="U193" s="110">
        <v>0</v>
      </c>
      <c r="V193" s="110">
        <v>0</v>
      </c>
      <c r="W193" s="110">
        <v>0</v>
      </c>
      <c r="X193" s="111">
        <v>0</v>
      </c>
      <c r="Y193" s="72" t="str">
        <f>VLOOKUP(D193,'TKP 终端汇总'!A:A,1,0)</f>
        <v>洲明</v>
      </c>
    </row>
    <row r="194" spans="1:25" x14ac:dyDescent="0.2">
      <c r="A194" s="107" t="s">
        <v>876</v>
      </c>
      <c r="B194" s="107" t="s">
        <v>877</v>
      </c>
      <c r="C194" s="108" t="s">
        <v>878</v>
      </c>
      <c r="D194" s="107" t="s">
        <v>1236</v>
      </c>
      <c r="E194" s="109">
        <v>44901</v>
      </c>
      <c r="F194" s="109"/>
      <c r="G194" s="110">
        <v>22000</v>
      </c>
      <c r="H194" s="110">
        <v>0</v>
      </c>
      <c r="I194" s="110">
        <v>0</v>
      </c>
      <c r="J194" s="110">
        <v>0</v>
      </c>
      <c r="K194" s="110">
        <v>0</v>
      </c>
      <c r="L194" s="110">
        <v>0</v>
      </c>
      <c r="M194" s="110">
        <v>0</v>
      </c>
      <c r="N194" s="110">
        <v>0</v>
      </c>
      <c r="O194" s="110">
        <v>0</v>
      </c>
      <c r="P194" s="110">
        <v>796.84999999999991</v>
      </c>
      <c r="Q194" s="110">
        <v>0</v>
      </c>
      <c r="R194" s="110">
        <v>0</v>
      </c>
      <c r="S194" s="110">
        <v>796.84999999999991</v>
      </c>
      <c r="T194" s="110">
        <v>-796.84999999999991</v>
      </c>
      <c r="U194" s="110">
        <v>0</v>
      </c>
      <c r="V194" s="110">
        <v>0</v>
      </c>
      <c r="W194" s="110">
        <v>0</v>
      </c>
      <c r="X194" s="111">
        <v>-796.84999999999991</v>
      </c>
      <c r="Y194" s="72" t="str">
        <f>VLOOKUP(D194,'TKP 终端汇总'!A:A,1,0)</f>
        <v>聚飞</v>
      </c>
    </row>
    <row r="195" spans="1:25" x14ac:dyDescent="0.2">
      <c r="A195" s="107" t="s">
        <v>879</v>
      </c>
      <c r="B195" s="107" t="s">
        <v>880</v>
      </c>
      <c r="C195" s="108" t="s">
        <v>62</v>
      </c>
      <c r="D195" s="107" t="s">
        <v>1152</v>
      </c>
      <c r="E195" s="109">
        <v>44925</v>
      </c>
      <c r="F195" s="109"/>
      <c r="G195" s="110">
        <v>200000</v>
      </c>
      <c r="H195" s="110">
        <v>0</v>
      </c>
      <c r="I195" s="110">
        <v>0</v>
      </c>
      <c r="J195" s="110">
        <v>0</v>
      </c>
      <c r="K195" s="110">
        <v>0</v>
      </c>
      <c r="L195" s="110">
        <v>0</v>
      </c>
      <c r="M195" s="110">
        <v>0</v>
      </c>
      <c r="N195" s="110">
        <v>0</v>
      </c>
      <c r="O195" s="110">
        <v>0</v>
      </c>
      <c r="P195" s="110">
        <v>0</v>
      </c>
      <c r="Q195" s="110">
        <v>0</v>
      </c>
      <c r="R195" s="110">
        <v>0</v>
      </c>
      <c r="S195" s="110">
        <v>0</v>
      </c>
      <c r="T195" s="110">
        <v>0</v>
      </c>
      <c r="U195" s="110">
        <v>0</v>
      </c>
      <c r="V195" s="110">
        <v>0</v>
      </c>
      <c r="W195" s="110">
        <v>0</v>
      </c>
      <c r="X195" s="111">
        <v>0</v>
      </c>
      <c r="Y195" s="72" t="str">
        <f>VLOOKUP(D195,'TKP 终端汇总'!A:A,1,0)</f>
        <v>BAT</v>
      </c>
    </row>
    <row r="196" spans="1:25" x14ac:dyDescent="0.2">
      <c r="A196" s="107" t="s">
        <v>881</v>
      </c>
      <c r="B196" s="107" t="s">
        <v>882</v>
      </c>
      <c r="C196" s="108" t="s">
        <v>830</v>
      </c>
      <c r="D196" s="107" t="s">
        <v>1160</v>
      </c>
      <c r="E196" s="109">
        <v>44931</v>
      </c>
      <c r="F196" s="109"/>
      <c r="G196" s="110">
        <v>275000</v>
      </c>
      <c r="H196" s="110">
        <v>0</v>
      </c>
      <c r="I196" s="110">
        <v>0</v>
      </c>
      <c r="J196" s="110">
        <v>0</v>
      </c>
      <c r="K196" s="110">
        <v>0</v>
      </c>
      <c r="L196" s="110">
        <v>0</v>
      </c>
      <c r="M196" s="110">
        <v>0</v>
      </c>
      <c r="N196" s="110">
        <v>0</v>
      </c>
      <c r="O196" s="110">
        <v>0</v>
      </c>
      <c r="P196" s="110">
        <v>0</v>
      </c>
      <c r="Q196" s="110">
        <v>0</v>
      </c>
      <c r="R196" s="110">
        <v>0</v>
      </c>
      <c r="S196" s="110">
        <v>0</v>
      </c>
      <c r="T196" s="110">
        <v>0</v>
      </c>
      <c r="U196" s="110">
        <v>0</v>
      </c>
      <c r="V196" s="110">
        <v>0</v>
      </c>
      <c r="W196" s="110">
        <v>0</v>
      </c>
      <c r="X196" s="111">
        <v>0</v>
      </c>
      <c r="Y196" s="72" t="str">
        <f>VLOOKUP(D196,'TKP 终端汇总'!A:A,1,0)</f>
        <v>TCL</v>
      </c>
    </row>
    <row r="197" spans="1:25" x14ac:dyDescent="0.2">
      <c r="A197" s="107" t="s">
        <v>883</v>
      </c>
      <c r="B197" s="107" t="s">
        <v>884</v>
      </c>
      <c r="C197" s="108" t="s">
        <v>62</v>
      </c>
      <c r="D197" s="107" t="s">
        <v>1152</v>
      </c>
      <c r="E197" s="109">
        <v>44935</v>
      </c>
      <c r="F197" s="109"/>
      <c r="G197" s="110">
        <v>69500</v>
      </c>
      <c r="H197" s="110">
        <v>42912.73</v>
      </c>
      <c r="I197" s="110">
        <v>0</v>
      </c>
      <c r="J197" s="110">
        <v>8433.39</v>
      </c>
      <c r="K197" s="110">
        <v>0</v>
      </c>
      <c r="L197" s="110">
        <v>0</v>
      </c>
      <c r="M197" s="110">
        <v>51346.12</v>
      </c>
      <c r="N197" s="110">
        <v>0</v>
      </c>
      <c r="O197" s="110">
        <v>0</v>
      </c>
      <c r="P197" s="110">
        <v>2183.9699999999998</v>
      </c>
      <c r="Q197" s="110">
        <v>840.09</v>
      </c>
      <c r="R197" s="110">
        <v>1221.74</v>
      </c>
      <c r="S197" s="110">
        <v>4245.7999999999993</v>
      </c>
      <c r="T197" s="110">
        <v>47100.320000000007</v>
      </c>
      <c r="U197" s="110">
        <v>0</v>
      </c>
      <c r="V197" s="110">
        <v>0</v>
      </c>
      <c r="W197" s="110">
        <v>0</v>
      </c>
      <c r="X197" s="111">
        <v>47100.320000000007</v>
      </c>
      <c r="Y197" s="72" t="str">
        <f>VLOOKUP(D197,'TKP 终端汇总'!A:A,1,0)</f>
        <v>BAT</v>
      </c>
    </row>
    <row r="198" spans="1:25" x14ac:dyDescent="0.2">
      <c r="A198" s="107" t="s">
        <v>885</v>
      </c>
      <c r="B198" s="107" t="s">
        <v>886</v>
      </c>
      <c r="C198" s="108">
        <v>330</v>
      </c>
      <c r="D198" s="107" t="s">
        <v>1148</v>
      </c>
      <c r="E198" s="109">
        <v>44973</v>
      </c>
      <c r="F198" s="109"/>
      <c r="G198" s="110">
        <v>44000</v>
      </c>
      <c r="H198" s="110">
        <v>0</v>
      </c>
      <c r="I198" s="110">
        <v>0</v>
      </c>
      <c r="J198" s="110">
        <v>0</v>
      </c>
      <c r="K198" s="110">
        <v>0</v>
      </c>
      <c r="L198" s="110">
        <v>0</v>
      </c>
      <c r="M198" s="110">
        <v>0</v>
      </c>
      <c r="N198" s="110">
        <v>0</v>
      </c>
      <c r="O198" s="110">
        <v>0</v>
      </c>
      <c r="P198" s="110">
        <v>0</v>
      </c>
      <c r="Q198" s="110">
        <v>0</v>
      </c>
      <c r="R198" s="110">
        <v>0</v>
      </c>
      <c r="S198" s="110">
        <v>0</v>
      </c>
      <c r="T198" s="110">
        <v>0</v>
      </c>
      <c r="U198" s="110">
        <v>0</v>
      </c>
      <c r="V198" s="110">
        <v>0</v>
      </c>
      <c r="W198" s="110">
        <v>0</v>
      </c>
      <c r="X198" s="111">
        <v>0</v>
      </c>
      <c r="Y198" s="72" t="str">
        <f>VLOOKUP(D198,'TKP 终端汇总'!A:A,1,0)</f>
        <v>GN</v>
      </c>
    </row>
    <row r="199" spans="1:25" x14ac:dyDescent="0.2">
      <c r="A199" s="107" t="s">
        <v>887</v>
      </c>
      <c r="B199" s="107" t="s">
        <v>888</v>
      </c>
      <c r="C199" s="108" t="s">
        <v>875</v>
      </c>
      <c r="D199" s="107" t="s">
        <v>1235</v>
      </c>
      <c r="E199" s="109">
        <v>44932</v>
      </c>
      <c r="F199" s="109"/>
      <c r="G199" s="110">
        <v>0</v>
      </c>
      <c r="H199" s="110">
        <v>0</v>
      </c>
      <c r="I199" s="110">
        <v>0</v>
      </c>
      <c r="J199" s="110">
        <v>0</v>
      </c>
      <c r="K199" s="110">
        <v>0</v>
      </c>
      <c r="L199" s="110">
        <v>0</v>
      </c>
      <c r="M199" s="110">
        <v>0</v>
      </c>
      <c r="N199" s="110">
        <v>0</v>
      </c>
      <c r="O199" s="110">
        <v>0</v>
      </c>
      <c r="P199" s="110">
        <v>6215.3</v>
      </c>
      <c r="Q199" s="110">
        <v>0</v>
      </c>
      <c r="R199" s="110">
        <v>0</v>
      </c>
      <c r="S199" s="110">
        <v>6215.3</v>
      </c>
      <c r="T199" s="110">
        <v>-6215.3</v>
      </c>
      <c r="U199" s="110">
        <v>0</v>
      </c>
      <c r="V199" s="110">
        <v>0</v>
      </c>
      <c r="W199" s="110">
        <v>0</v>
      </c>
      <c r="X199" s="111">
        <v>-6215.3</v>
      </c>
      <c r="Y199" s="72" t="str">
        <f>VLOOKUP(D199,'TKP 终端汇总'!A:A,1,0)</f>
        <v>洲明</v>
      </c>
    </row>
    <row r="200" spans="1:25" x14ac:dyDescent="0.2">
      <c r="A200" s="107" t="s">
        <v>427</v>
      </c>
      <c r="B200" s="107" t="s">
        <v>428</v>
      </c>
      <c r="C200" s="108">
        <v>330</v>
      </c>
      <c r="D200" s="107" t="s">
        <v>1148</v>
      </c>
      <c r="E200" s="109">
        <v>44226</v>
      </c>
      <c r="F200" s="109">
        <v>43266</v>
      </c>
      <c r="G200" s="110">
        <v>0</v>
      </c>
      <c r="H200" s="110">
        <v>0</v>
      </c>
      <c r="I200" s="110">
        <v>0</v>
      </c>
      <c r="J200" s="110">
        <v>0</v>
      </c>
      <c r="K200" s="110">
        <v>0</v>
      </c>
      <c r="L200" s="110">
        <v>0</v>
      </c>
      <c r="M200" s="110">
        <v>0</v>
      </c>
      <c r="N200" s="110">
        <v>0</v>
      </c>
      <c r="O200" s="110">
        <v>0</v>
      </c>
      <c r="P200" s="110">
        <v>2445.2600000000002</v>
      </c>
      <c r="Q200" s="110">
        <v>0</v>
      </c>
      <c r="R200" s="110">
        <v>0</v>
      </c>
      <c r="S200" s="110">
        <v>2445.2600000000002</v>
      </c>
      <c r="T200" s="110">
        <v>-2445.2600000000002</v>
      </c>
      <c r="U200" s="110">
        <v>0</v>
      </c>
      <c r="V200" s="110">
        <v>0</v>
      </c>
      <c r="W200" s="110">
        <v>0</v>
      </c>
      <c r="X200" s="111">
        <v>-2445.2600000000002</v>
      </c>
      <c r="Y200" s="72" t="str">
        <f>VLOOKUP(D200,'TKP 终端汇总'!A:A,1,0)</f>
        <v>GN</v>
      </c>
    </row>
    <row r="201" spans="1:25" x14ac:dyDescent="0.2">
      <c r="A201" s="107" t="s">
        <v>257</v>
      </c>
      <c r="B201" s="107" t="s">
        <v>258</v>
      </c>
      <c r="C201" s="108">
        <v>440</v>
      </c>
      <c r="D201" s="107" t="s">
        <v>1161</v>
      </c>
      <c r="E201" s="109">
        <v>44250</v>
      </c>
      <c r="F201" s="109">
        <v>44377</v>
      </c>
      <c r="G201" s="110">
        <v>90783</v>
      </c>
      <c r="H201" s="110">
        <v>0</v>
      </c>
      <c r="I201" s="110">
        <v>0</v>
      </c>
      <c r="J201" s="110">
        <v>0</v>
      </c>
      <c r="K201" s="110">
        <v>0</v>
      </c>
      <c r="L201" s="110">
        <v>0</v>
      </c>
      <c r="M201" s="110">
        <v>0</v>
      </c>
      <c r="N201" s="110">
        <v>0</v>
      </c>
      <c r="O201" s="110">
        <v>0</v>
      </c>
      <c r="P201" s="110">
        <v>0</v>
      </c>
      <c r="Q201" s="110">
        <v>0</v>
      </c>
      <c r="R201" s="110">
        <v>0</v>
      </c>
      <c r="S201" s="110">
        <v>0</v>
      </c>
      <c r="T201" s="110">
        <v>0</v>
      </c>
      <c r="U201" s="110">
        <v>0</v>
      </c>
      <c r="V201" s="110">
        <v>0</v>
      </c>
      <c r="W201" s="110">
        <v>0</v>
      </c>
      <c r="X201" s="111">
        <v>0</v>
      </c>
      <c r="Y201" s="72" t="str">
        <f>VLOOKUP(D201,'TKP 终端汇总'!A:A,1,0)</f>
        <v>OTTERBOX</v>
      </c>
    </row>
    <row r="202" spans="1:25" x14ac:dyDescent="0.2">
      <c r="A202" s="107" t="s">
        <v>556</v>
      </c>
      <c r="B202" s="107" t="s">
        <v>557</v>
      </c>
      <c r="C202" s="108">
        <v>460</v>
      </c>
      <c r="D202" s="107" t="s">
        <v>1171</v>
      </c>
      <c r="E202" s="109">
        <v>44226</v>
      </c>
      <c r="F202" s="109">
        <v>43620</v>
      </c>
      <c r="G202" s="110">
        <v>0</v>
      </c>
      <c r="H202" s="110">
        <v>0</v>
      </c>
      <c r="I202" s="110">
        <v>0</v>
      </c>
      <c r="J202" s="110">
        <v>0</v>
      </c>
      <c r="K202" s="110">
        <v>0</v>
      </c>
      <c r="L202" s="110">
        <v>0</v>
      </c>
      <c r="M202" s="110">
        <v>0</v>
      </c>
      <c r="N202" s="110">
        <v>0</v>
      </c>
      <c r="O202" s="110">
        <v>0</v>
      </c>
      <c r="P202" s="110">
        <v>0</v>
      </c>
      <c r="Q202" s="110">
        <v>572.16999999999996</v>
      </c>
      <c r="R202" s="110">
        <v>0</v>
      </c>
      <c r="S202" s="110">
        <v>572.16999999999996</v>
      </c>
      <c r="T202" s="110">
        <v>-572.16999999999996</v>
      </c>
      <c r="U202" s="110">
        <v>0</v>
      </c>
      <c r="V202" s="110">
        <v>3278.06</v>
      </c>
      <c r="W202" s="110">
        <v>3278.06</v>
      </c>
      <c r="X202" s="111">
        <v>-3850.23</v>
      </c>
      <c r="Y202" s="72" t="str">
        <f>VLOOKUP(D202,'TKP 终端汇总'!A:A,1,0)</f>
        <v>AMAZON</v>
      </c>
    </row>
    <row r="203" spans="1:25" x14ac:dyDescent="0.2">
      <c r="A203" s="107" t="s">
        <v>364</v>
      </c>
      <c r="B203" s="107" t="s">
        <v>365</v>
      </c>
      <c r="C203" s="108">
        <v>460</v>
      </c>
      <c r="D203" s="107" t="s">
        <v>1171</v>
      </c>
      <c r="E203" s="109">
        <v>44226</v>
      </c>
      <c r="F203" s="109">
        <v>44410</v>
      </c>
      <c r="G203" s="110">
        <v>0</v>
      </c>
      <c r="H203" s="110">
        <v>0</v>
      </c>
      <c r="I203" s="110">
        <v>0</v>
      </c>
      <c r="J203" s="110">
        <v>0</v>
      </c>
      <c r="K203" s="110">
        <v>0</v>
      </c>
      <c r="L203" s="110">
        <v>0</v>
      </c>
      <c r="M203" s="110">
        <v>0</v>
      </c>
      <c r="N203" s="110">
        <v>0</v>
      </c>
      <c r="O203" s="110">
        <v>0</v>
      </c>
      <c r="P203" s="110">
        <v>1003.54</v>
      </c>
      <c r="Q203" s="110">
        <v>0</v>
      </c>
      <c r="R203" s="110">
        <v>0</v>
      </c>
      <c r="S203" s="110">
        <v>1003.54</v>
      </c>
      <c r="T203" s="110">
        <v>-1003.54</v>
      </c>
      <c r="U203" s="110">
        <v>0</v>
      </c>
      <c r="V203" s="110">
        <v>0</v>
      </c>
      <c r="W203" s="110">
        <v>0</v>
      </c>
      <c r="X203" s="111">
        <v>-1003.54</v>
      </c>
      <c r="Y203" s="72" t="str">
        <f>VLOOKUP(D203,'TKP 终端汇总'!A:A,1,0)</f>
        <v>AMAZON</v>
      </c>
    </row>
    <row r="204" spans="1:25" x14ac:dyDescent="0.2">
      <c r="A204" s="107" t="s">
        <v>472</v>
      </c>
      <c r="B204" s="107" t="s">
        <v>473</v>
      </c>
      <c r="C204" s="108" t="s">
        <v>9</v>
      </c>
      <c r="D204" s="107" t="s">
        <v>1197</v>
      </c>
      <c r="E204" s="109">
        <v>44226</v>
      </c>
      <c r="F204" s="109">
        <v>44249</v>
      </c>
      <c r="G204" s="110">
        <v>0</v>
      </c>
      <c r="H204" s="110">
        <v>0</v>
      </c>
      <c r="I204" s="110">
        <v>0</v>
      </c>
      <c r="J204" s="110">
        <v>0</v>
      </c>
      <c r="K204" s="110">
        <v>0</v>
      </c>
      <c r="L204" s="110">
        <v>0</v>
      </c>
      <c r="M204" s="110">
        <v>0</v>
      </c>
      <c r="N204" s="110">
        <v>0</v>
      </c>
      <c r="O204" s="110">
        <v>0</v>
      </c>
      <c r="P204" s="110">
        <v>1541.4599999999998</v>
      </c>
      <c r="Q204" s="110">
        <v>0</v>
      </c>
      <c r="R204" s="110">
        <v>0</v>
      </c>
      <c r="S204" s="110">
        <v>1541.4599999999998</v>
      </c>
      <c r="T204" s="110">
        <v>-1541.4599999999998</v>
      </c>
      <c r="U204" s="110">
        <v>0</v>
      </c>
      <c r="V204" s="110">
        <v>0</v>
      </c>
      <c r="W204" s="110">
        <v>0</v>
      </c>
      <c r="X204" s="111">
        <v>-1541.4599999999998</v>
      </c>
      <c r="Y204" s="72" t="str">
        <f>VLOOKUP(D204,'TKP 终端汇总'!A:A,1,0)</f>
        <v>新产业</v>
      </c>
    </row>
    <row r="205" spans="1:25" x14ac:dyDescent="0.2">
      <c r="A205" s="107" t="s">
        <v>890</v>
      </c>
      <c r="B205" s="107" t="s">
        <v>891</v>
      </c>
      <c r="C205" s="108" t="s">
        <v>892</v>
      </c>
      <c r="D205" s="107" t="s">
        <v>1237</v>
      </c>
      <c r="E205" s="109">
        <v>44226</v>
      </c>
      <c r="F205" s="109">
        <v>43940</v>
      </c>
      <c r="G205" s="110">
        <v>0</v>
      </c>
      <c r="H205" s="110">
        <v>0</v>
      </c>
      <c r="I205" s="110">
        <v>0</v>
      </c>
      <c r="J205" s="110">
        <v>0</v>
      </c>
      <c r="K205" s="110">
        <v>0</v>
      </c>
      <c r="L205" s="110">
        <v>0</v>
      </c>
      <c r="M205" s="110">
        <v>0</v>
      </c>
      <c r="N205" s="110">
        <v>0</v>
      </c>
      <c r="O205" s="110">
        <v>0</v>
      </c>
      <c r="P205" s="110">
        <v>0</v>
      </c>
      <c r="Q205" s="110">
        <v>1527.43</v>
      </c>
      <c r="R205" s="110">
        <v>0</v>
      </c>
      <c r="S205" s="110">
        <v>1527.43</v>
      </c>
      <c r="T205" s="110">
        <v>-1527.43</v>
      </c>
      <c r="U205" s="110">
        <v>7524.18</v>
      </c>
      <c r="V205" s="110">
        <v>0</v>
      </c>
      <c r="W205" s="110">
        <v>7524.18</v>
      </c>
      <c r="X205" s="111">
        <v>-9051.61</v>
      </c>
      <c r="Y205" s="72" t="str">
        <f>VLOOKUP(D205,'TKP 终端汇总'!A:A,1,0)</f>
        <v>普尔思</v>
      </c>
    </row>
    <row r="206" spans="1:25" x14ac:dyDescent="0.2">
      <c r="A206" s="107" t="s">
        <v>343</v>
      </c>
      <c r="B206" s="107" t="s">
        <v>344</v>
      </c>
      <c r="C206" s="108" t="s">
        <v>56</v>
      </c>
      <c r="D206" s="107" t="s">
        <v>1151</v>
      </c>
      <c r="E206" s="109">
        <v>44226</v>
      </c>
      <c r="F206" s="109">
        <v>44406</v>
      </c>
      <c r="G206" s="110">
        <v>0</v>
      </c>
      <c r="H206" s="110">
        <v>0</v>
      </c>
      <c r="I206" s="110">
        <v>0</v>
      </c>
      <c r="J206" s="110">
        <v>0</v>
      </c>
      <c r="K206" s="110">
        <v>0</v>
      </c>
      <c r="L206" s="110">
        <v>0</v>
      </c>
      <c r="M206" s="110">
        <v>0</v>
      </c>
      <c r="N206" s="110">
        <v>0</v>
      </c>
      <c r="O206" s="110">
        <v>0</v>
      </c>
      <c r="P206" s="110">
        <v>0</v>
      </c>
      <c r="Q206" s="110">
        <v>0</v>
      </c>
      <c r="R206" s="110">
        <v>0</v>
      </c>
      <c r="S206" s="110">
        <v>0</v>
      </c>
      <c r="T206" s="110">
        <v>0</v>
      </c>
      <c r="U206" s="110">
        <v>0</v>
      </c>
      <c r="V206" s="110">
        <v>0</v>
      </c>
      <c r="W206" s="110">
        <v>0</v>
      </c>
      <c r="X206" s="111">
        <v>0</v>
      </c>
      <c r="Y206" s="72" t="str">
        <f>VLOOKUP(D206,'TKP 终端汇总'!A:A,1,0)</f>
        <v>合元</v>
      </c>
    </row>
    <row r="207" spans="1:25" x14ac:dyDescent="0.2">
      <c r="A207" s="107" t="s">
        <v>352</v>
      </c>
      <c r="B207" s="107" t="s">
        <v>353</v>
      </c>
      <c r="C207" s="108">
        <v>800</v>
      </c>
      <c r="D207" s="107" t="s">
        <v>1156</v>
      </c>
      <c r="E207" s="109">
        <v>44226</v>
      </c>
      <c r="F207" s="109">
        <v>43767</v>
      </c>
      <c r="G207" s="110">
        <v>0</v>
      </c>
      <c r="H207" s="110">
        <v>0</v>
      </c>
      <c r="I207" s="110">
        <v>0</v>
      </c>
      <c r="J207" s="110">
        <v>83176.5</v>
      </c>
      <c r="K207" s="110">
        <v>0</v>
      </c>
      <c r="L207" s="110">
        <v>0</v>
      </c>
      <c r="M207" s="110">
        <v>83176.5</v>
      </c>
      <c r="N207" s="110">
        <v>837.86</v>
      </c>
      <c r="O207" s="110">
        <v>0</v>
      </c>
      <c r="P207" s="110">
        <v>0</v>
      </c>
      <c r="Q207" s="110">
        <v>0</v>
      </c>
      <c r="R207" s="110">
        <v>0</v>
      </c>
      <c r="S207" s="110">
        <v>837.86</v>
      </c>
      <c r="T207" s="110">
        <v>82338.64</v>
      </c>
      <c r="U207" s="110">
        <v>0</v>
      </c>
      <c r="V207" s="110">
        <v>26511.200000000001</v>
      </c>
      <c r="W207" s="110">
        <v>26511.200000000001</v>
      </c>
      <c r="X207" s="111">
        <v>55827.44</v>
      </c>
      <c r="Y207" s="72" t="str">
        <f>VLOOKUP(D207,'TKP 终端汇总'!A:A,1,0)</f>
        <v>NOKIA</v>
      </c>
    </row>
    <row r="208" spans="1:25" x14ac:dyDescent="0.2">
      <c r="A208" s="107" t="s">
        <v>368</v>
      </c>
      <c r="B208" s="107" t="s">
        <v>369</v>
      </c>
      <c r="C208" s="108">
        <v>440</v>
      </c>
      <c r="D208" s="107" t="s">
        <v>1161</v>
      </c>
      <c r="E208" s="109">
        <v>44226</v>
      </c>
      <c r="F208" s="109">
        <v>44169</v>
      </c>
      <c r="G208" s="110">
        <v>0</v>
      </c>
      <c r="H208" s="110">
        <v>0</v>
      </c>
      <c r="I208" s="110">
        <v>0</v>
      </c>
      <c r="J208" s="110">
        <v>0</v>
      </c>
      <c r="K208" s="110">
        <v>0</v>
      </c>
      <c r="L208" s="110">
        <v>0</v>
      </c>
      <c r="M208" s="110">
        <v>0</v>
      </c>
      <c r="N208" s="110">
        <v>0</v>
      </c>
      <c r="O208" s="110">
        <v>0</v>
      </c>
      <c r="P208" s="110">
        <v>0</v>
      </c>
      <c r="Q208" s="110">
        <v>0</v>
      </c>
      <c r="R208" s="110">
        <v>0</v>
      </c>
      <c r="S208" s="110">
        <v>0</v>
      </c>
      <c r="T208" s="110">
        <v>0</v>
      </c>
      <c r="U208" s="110">
        <v>0</v>
      </c>
      <c r="V208" s="110">
        <v>0</v>
      </c>
      <c r="W208" s="110">
        <v>0</v>
      </c>
      <c r="X208" s="111">
        <v>0</v>
      </c>
      <c r="Y208" s="72" t="str">
        <f>VLOOKUP(D208,'TKP 终端汇总'!A:A,1,0)</f>
        <v>OTTERBOX</v>
      </c>
    </row>
    <row r="209" spans="1:25" x14ac:dyDescent="0.2">
      <c r="A209" s="107" t="s">
        <v>454</v>
      </c>
      <c r="B209" s="107" t="s">
        <v>455</v>
      </c>
      <c r="C209" s="108" t="s">
        <v>208</v>
      </c>
      <c r="D209" s="107" t="s">
        <v>1177</v>
      </c>
      <c r="E209" s="109">
        <v>44226</v>
      </c>
      <c r="F209" s="109">
        <v>42811</v>
      </c>
      <c r="G209" s="110">
        <v>0</v>
      </c>
      <c r="H209" s="110">
        <v>0</v>
      </c>
      <c r="I209" s="110">
        <v>0</v>
      </c>
      <c r="J209" s="110">
        <v>0</v>
      </c>
      <c r="K209" s="110">
        <v>0</v>
      </c>
      <c r="L209" s="110">
        <v>0</v>
      </c>
      <c r="M209" s="110">
        <v>0</v>
      </c>
      <c r="N209" s="110">
        <v>0</v>
      </c>
      <c r="O209" s="110">
        <v>0</v>
      </c>
      <c r="P209" s="110">
        <v>0</v>
      </c>
      <c r="Q209" s="110">
        <v>0</v>
      </c>
      <c r="R209" s="110">
        <v>0</v>
      </c>
      <c r="S209" s="110">
        <v>0</v>
      </c>
      <c r="T209" s="110">
        <v>0</v>
      </c>
      <c r="U209" s="110">
        <v>0</v>
      </c>
      <c r="V209" s="110">
        <v>0</v>
      </c>
      <c r="W209" s="110">
        <v>0</v>
      </c>
      <c r="X209" s="111">
        <v>0</v>
      </c>
      <c r="Y209" s="72" t="str">
        <f>VLOOKUP(D209,'TKP 终端汇总'!A:A,1,0)</f>
        <v>POLYCOM</v>
      </c>
    </row>
    <row r="210" spans="1:25" x14ac:dyDescent="0.2">
      <c r="A210" s="107" t="s">
        <v>335</v>
      </c>
      <c r="B210" s="107" t="s">
        <v>336</v>
      </c>
      <c r="C210" s="108" t="s">
        <v>158</v>
      </c>
      <c r="D210" s="107" t="s">
        <v>1195</v>
      </c>
      <c r="E210" s="109">
        <v>44226</v>
      </c>
      <c r="F210" s="109">
        <v>44459</v>
      </c>
      <c r="G210" s="110">
        <v>0</v>
      </c>
      <c r="H210" s="110">
        <v>0</v>
      </c>
      <c r="I210" s="110">
        <v>0</v>
      </c>
      <c r="J210" s="110">
        <v>0</v>
      </c>
      <c r="K210" s="110">
        <v>0</v>
      </c>
      <c r="L210" s="110">
        <v>0</v>
      </c>
      <c r="M210" s="110">
        <v>0</v>
      </c>
      <c r="N210" s="110">
        <v>1985.66</v>
      </c>
      <c r="O210" s="110">
        <v>0</v>
      </c>
      <c r="P210" s="110">
        <v>0</v>
      </c>
      <c r="Q210" s="110">
        <v>0</v>
      </c>
      <c r="R210" s="110">
        <v>0</v>
      </c>
      <c r="S210" s="110">
        <v>1985.66</v>
      </c>
      <c r="T210" s="110">
        <v>-1985.66</v>
      </c>
      <c r="U210" s="110">
        <v>0</v>
      </c>
      <c r="V210" s="110">
        <v>779.45</v>
      </c>
      <c r="W210" s="110">
        <v>779.45</v>
      </c>
      <c r="X210" s="111">
        <v>-2765.11</v>
      </c>
      <c r="Y210" s="72" t="str">
        <f>VLOOKUP(D210,'TKP 终端汇总'!A:A,1,0)</f>
        <v>问问</v>
      </c>
    </row>
    <row r="211" spans="1:25" x14ac:dyDescent="0.2">
      <c r="A211" s="107" t="s">
        <v>548</v>
      </c>
      <c r="B211" s="107" t="s">
        <v>549</v>
      </c>
      <c r="C211" s="108" t="s">
        <v>158</v>
      </c>
      <c r="D211" s="107" t="s">
        <v>1195</v>
      </c>
      <c r="E211" s="109">
        <v>44466</v>
      </c>
      <c r="F211" s="109">
        <v>44708</v>
      </c>
      <c r="G211" s="110">
        <v>226000</v>
      </c>
      <c r="H211" s="110">
        <v>0</v>
      </c>
      <c r="I211" s="110">
        <v>0</v>
      </c>
      <c r="J211" s="110">
        <v>0</v>
      </c>
      <c r="K211" s="110">
        <v>0</v>
      </c>
      <c r="L211" s="110">
        <v>0</v>
      </c>
      <c r="M211" s="110">
        <v>0</v>
      </c>
      <c r="N211" s="110">
        <v>286.39999999999998</v>
      </c>
      <c r="O211" s="110">
        <v>0</v>
      </c>
      <c r="P211" s="110">
        <v>0</v>
      </c>
      <c r="Q211" s="110">
        <v>0</v>
      </c>
      <c r="R211" s="110">
        <v>0</v>
      </c>
      <c r="S211" s="110">
        <v>286.39999999999998</v>
      </c>
      <c r="T211" s="110">
        <v>-286.39999999999998</v>
      </c>
      <c r="U211" s="110">
        <v>0</v>
      </c>
      <c r="V211" s="110">
        <v>0</v>
      </c>
      <c r="W211" s="110">
        <v>0</v>
      </c>
      <c r="X211" s="111">
        <v>-286.39999999999998</v>
      </c>
      <c r="Y211" s="72" t="str">
        <f>VLOOKUP(D211,'TKP 终端汇总'!A:A,1,0)</f>
        <v>问问</v>
      </c>
    </row>
    <row r="212" spans="1:25" x14ac:dyDescent="0.2">
      <c r="A212" s="107" t="s">
        <v>894</v>
      </c>
      <c r="B212" s="107" t="s">
        <v>895</v>
      </c>
      <c r="C212" s="108" t="s">
        <v>166</v>
      </c>
      <c r="D212" s="107" t="s">
        <v>475</v>
      </c>
      <c r="E212" s="109">
        <v>44971</v>
      </c>
      <c r="F212" s="109"/>
      <c r="G212" s="110">
        <v>212600</v>
      </c>
      <c r="H212" s="110">
        <v>245709.88</v>
      </c>
      <c r="I212" s="110">
        <v>0</v>
      </c>
      <c r="J212" s="110">
        <v>-38.129999999999995</v>
      </c>
      <c r="K212" s="110">
        <v>0</v>
      </c>
      <c r="L212" s="110">
        <v>0</v>
      </c>
      <c r="M212" s="110">
        <v>245671.75</v>
      </c>
      <c r="N212" s="110">
        <v>217391.3</v>
      </c>
      <c r="O212" s="110">
        <v>0</v>
      </c>
      <c r="P212" s="110">
        <v>0</v>
      </c>
      <c r="Q212" s="110">
        <v>0</v>
      </c>
      <c r="R212" s="110">
        <v>0</v>
      </c>
      <c r="S212" s="110">
        <v>217391.3</v>
      </c>
      <c r="T212" s="110">
        <v>28280.450000000015</v>
      </c>
      <c r="U212" s="110">
        <v>0</v>
      </c>
      <c r="V212" s="110">
        <v>0</v>
      </c>
      <c r="W212" s="110">
        <v>0</v>
      </c>
      <c r="X212" s="111">
        <v>28280.450000000015</v>
      </c>
      <c r="Y212" s="72" t="str">
        <f>VLOOKUP(D212,'TKP 终端汇总'!A:A,1,0)</f>
        <v>韶音</v>
      </c>
    </row>
    <row r="213" spans="1:25" x14ac:dyDescent="0.2">
      <c r="A213" s="107" t="s">
        <v>896</v>
      </c>
      <c r="B213" s="107" t="s">
        <v>897</v>
      </c>
      <c r="C213" s="108" t="s">
        <v>96</v>
      </c>
      <c r="D213" s="107" t="s">
        <v>1194</v>
      </c>
      <c r="E213" s="109">
        <v>45000</v>
      </c>
      <c r="F213" s="109"/>
      <c r="G213" s="110">
        <v>535000</v>
      </c>
      <c r="H213" s="110">
        <v>0</v>
      </c>
      <c r="I213" s="110">
        <v>0</v>
      </c>
      <c r="J213" s="110">
        <v>0</v>
      </c>
      <c r="K213" s="110">
        <v>0</v>
      </c>
      <c r="L213" s="110">
        <v>0</v>
      </c>
      <c r="M213" s="110">
        <v>0</v>
      </c>
      <c r="N213" s="110">
        <v>0</v>
      </c>
      <c r="O213" s="110">
        <v>0</v>
      </c>
      <c r="P213" s="110">
        <v>0</v>
      </c>
      <c r="Q213" s="110">
        <v>4218.6000000000004</v>
      </c>
      <c r="R213" s="110">
        <v>-46657.490000000005</v>
      </c>
      <c r="S213" s="110">
        <v>-42438.89</v>
      </c>
      <c r="T213" s="110">
        <v>42438.89</v>
      </c>
      <c r="U213" s="110">
        <v>35227.68</v>
      </c>
      <c r="V213" s="110">
        <v>0</v>
      </c>
      <c r="W213" s="110">
        <v>35227.68</v>
      </c>
      <c r="X213" s="111">
        <v>7211.2099999999991</v>
      </c>
      <c r="Y213" s="72" t="str">
        <f>VLOOKUP(D213,'TKP 终端汇总'!A:A,1,0)</f>
        <v>通力</v>
      </c>
    </row>
    <row r="214" spans="1:25" x14ac:dyDescent="0.2">
      <c r="A214" s="107" t="s">
        <v>898</v>
      </c>
      <c r="B214" s="107" t="s">
        <v>899</v>
      </c>
      <c r="C214" s="108">
        <v>438</v>
      </c>
      <c r="D214" s="107" t="s">
        <v>1157</v>
      </c>
      <c r="E214" s="109">
        <v>44226</v>
      </c>
      <c r="F214" s="109">
        <v>42909</v>
      </c>
      <c r="G214" s="110">
        <v>0</v>
      </c>
      <c r="H214" s="110">
        <v>0</v>
      </c>
      <c r="I214" s="110">
        <v>0</v>
      </c>
      <c r="J214" s="110">
        <v>0</v>
      </c>
      <c r="K214" s="110">
        <v>0</v>
      </c>
      <c r="L214" s="110">
        <v>0</v>
      </c>
      <c r="M214" s="110">
        <v>0</v>
      </c>
      <c r="N214" s="110">
        <v>0</v>
      </c>
      <c r="O214" s="110">
        <v>0</v>
      </c>
      <c r="P214" s="110">
        <v>0</v>
      </c>
      <c r="Q214" s="110">
        <v>0</v>
      </c>
      <c r="R214" s="110">
        <v>0</v>
      </c>
      <c r="S214" s="110">
        <v>0</v>
      </c>
      <c r="T214" s="110">
        <v>0</v>
      </c>
      <c r="U214" s="110">
        <v>0</v>
      </c>
      <c r="V214" s="110">
        <v>0</v>
      </c>
      <c r="W214" s="110">
        <v>0</v>
      </c>
      <c r="X214" s="111">
        <v>0</v>
      </c>
      <c r="Y214" s="72" t="str">
        <f>VLOOKUP(D214,'TKP 终端汇总'!A:A,1,0)</f>
        <v>PHILIPS</v>
      </c>
    </row>
    <row r="215" spans="1:25" x14ac:dyDescent="0.2">
      <c r="A215" s="107" t="s">
        <v>419</v>
      </c>
      <c r="B215" s="107" t="s">
        <v>420</v>
      </c>
      <c r="C215" s="108">
        <v>330</v>
      </c>
      <c r="D215" s="107" t="s">
        <v>1148</v>
      </c>
      <c r="E215" s="109">
        <v>44226</v>
      </c>
      <c r="F215" s="109">
        <v>44371</v>
      </c>
      <c r="G215" s="110">
        <v>0</v>
      </c>
      <c r="H215" s="110">
        <v>0</v>
      </c>
      <c r="I215" s="110">
        <v>0</v>
      </c>
      <c r="J215" s="110">
        <v>0</v>
      </c>
      <c r="K215" s="110">
        <v>0</v>
      </c>
      <c r="L215" s="110">
        <v>0</v>
      </c>
      <c r="M215" s="110">
        <v>0</v>
      </c>
      <c r="N215" s="110">
        <v>0</v>
      </c>
      <c r="O215" s="110">
        <v>0</v>
      </c>
      <c r="P215" s="110">
        <v>0</v>
      </c>
      <c r="Q215" s="110">
        <v>0</v>
      </c>
      <c r="R215" s="110">
        <v>5033.9699999999984</v>
      </c>
      <c r="S215" s="110">
        <v>5033.9699999999984</v>
      </c>
      <c r="T215" s="110">
        <v>-5033.9699999999984</v>
      </c>
      <c r="U215" s="110">
        <v>704.11</v>
      </c>
      <c r="V215" s="110">
        <v>595.9</v>
      </c>
      <c r="W215" s="110">
        <v>1300.01</v>
      </c>
      <c r="X215" s="111">
        <v>-6333.9799999999987</v>
      </c>
      <c r="Y215" s="72" t="str">
        <f>VLOOKUP(D215,'TKP 终端汇总'!A:A,1,0)</f>
        <v>GN</v>
      </c>
    </row>
    <row r="216" spans="1:25" x14ac:dyDescent="0.2">
      <c r="A216" s="107" t="s">
        <v>268</v>
      </c>
      <c r="B216" s="107" t="s">
        <v>269</v>
      </c>
      <c r="C216" s="108">
        <v>781</v>
      </c>
      <c r="D216" s="107" t="s">
        <v>1170</v>
      </c>
      <c r="E216" s="109">
        <v>44369</v>
      </c>
      <c r="F216" s="109">
        <v>44384</v>
      </c>
      <c r="G216" s="110">
        <v>0</v>
      </c>
      <c r="H216" s="110">
        <v>0</v>
      </c>
      <c r="I216" s="110">
        <v>0</v>
      </c>
      <c r="J216" s="110">
        <v>0</v>
      </c>
      <c r="K216" s="110">
        <v>0</v>
      </c>
      <c r="L216" s="110">
        <v>0</v>
      </c>
      <c r="M216" s="110">
        <v>0</v>
      </c>
      <c r="N216" s="110">
        <v>0</v>
      </c>
      <c r="O216" s="110">
        <v>0</v>
      </c>
      <c r="P216" s="110">
        <v>0</v>
      </c>
      <c r="Q216" s="110">
        <v>0</v>
      </c>
      <c r="R216" s="110">
        <v>0</v>
      </c>
      <c r="S216" s="110">
        <v>0</v>
      </c>
      <c r="T216" s="110">
        <v>0</v>
      </c>
      <c r="U216" s="110">
        <v>0</v>
      </c>
      <c r="V216" s="110">
        <v>59.510000000000005</v>
      </c>
      <c r="W216" s="110">
        <v>59.510000000000005</v>
      </c>
      <c r="X216" s="111">
        <v>-59.510000000000005</v>
      </c>
      <c r="Y216" s="72" t="str">
        <f>VLOOKUP(D216,'TKP 终端汇总'!A:A,1,0)</f>
        <v>ECOBEE</v>
      </c>
    </row>
    <row r="217" spans="1:25" x14ac:dyDescent="0.2">
      <c r="A217" s="107" t="s">
        <v>514</v>
      </c>
      <c r="B217" s="107" t="s">
        <v>515</v>
      </c>
      <c r="C217" s="108">
        <v>330</v>
      </c>
      <c r="D217" s="107" t="s">
        <v>1148</v>
      </c>
      <c r="E217" s="109">
        <v>44226</v>
      </c>
      <c r="F217" s="109">
        <v>42551</v>
      </c>
      <c r="G217" s="110">
        <v>3166986.9</v>
      </c>
      <c r="H217" s="110">
        <v>22367.5</v>
      </c>
      <c r="I217" s="110">
        <v>0</v>
      </c>
      <c r="J217" s="110">
        <v>0</v>
      </c>
      <c r="K217" s="110">
        <v>0</v>
      </c>
      <c r="L217" s="110">
        <v>0</v>
      </c>
      <c r="M217" s="110">
        <v>22367.5</v>
      </c>
      <c r="N217" s="110">
        <v>16338</v>
      </c>
      <c r="O217" s="110">
        <v>0</v>
      </c>
      <c r="P217" s="110">
        <v>0</v>
      </c>
      <c r="Q217" s="110">
        <v>0</v>
      </c>
      <c r="R217" s="110">
        <v>0</v>
      </c>
      <c r="S217" s="110">
        <v>16338</v>
      </c>
      <c r="T217" s="110">
        <v>6029.5</v>
      </c>
      <c r="U217" s="110">
        <v>4385.79</v>
      </c>
      <c r="V217" s="110">
        <v>0</v>
      </c>
      <c r="W217" s="110">
        <v>4385.79</v>
      </c>
      <c r="X217" s="111">
        <v>1643.71</v>
      </c>
      <c r="Y217" s="72" t="str">
        <f>VLOOKUP(D217,'TKP 终端汇总'!A:A,1,0)</f>
        <v>GN</v>
      </c>
    </row>
    <row r="218" spans="1:25" x14ac:dyDescent="0.2">
      <c r="A218" s="107" t="s">
        <v>283</v>
      </c>
      <c r="B218" s="107" t="s">
        <v>284</v>
      </c>
      <c r="C218" s="108" t="s">
        <v>285</v>
      </c>
      <c r="D218" s="107" t="s">
        <v>1223</v>
      </c>
      <c r="E218" s="109">
        <v>44226</v>
      </c>
      <c r="F218" s="109">
        <v>44226</v>
      </c>
      <c r="G218" s="110">
        <v>0</v>
      </c>
      <c r="H218" s="110">
        <v>267934.78000000003</v>
      </c>
      <c r="I218" s="110">
        <v>0</v>
      </c>
      <c r="J218" s="110">
        <v>0</v>
      </c>
      <c r="K218" s="110">
        <v>0</v>
      </c>
      <c r="L218" s="110">
        <v>0</v>
      </c>
      <c r="M218" s="110">
        <v>267934.78000000003</v>
      </c>
      <c r="N218" s="110">
        <v>0</v>
      </c>
      <c r="O218" s="110">
        <v>0</v>
      </c>
      <c r="P218" s="110">
        <v>0</v>
      </c>
      <c r="Q218" s="110">
        <v>0</v>
      </c>
      <c r="R218" s="110">
        <v>0</v>
      </c>
      <c r="S218" s="110">
        <v>0</v>
      </c>
      <c r="T218" s="110">
        <v>267934.78000000003</v>
      </c>
      <c r="U218" s="110">
        <v>0</v>
      </c>
      <c r="V218" s="110">
        <v>0</v>
      </c>
      <c r="W218" s="110">
        <v>0</v>
      </c>
      <c r="X218" s="111">
        <v>267934.78000000003</v>
      </c>
      <c r="Y218" s="72" t="str">
        <f>VLOOKUP(D218,'TKP 终端汇总'!A:A,1,0)</f>
        <v>佛吉亚</v>
      </c>
    </row>
    <row r="219" spans="1:25" x14ac:dyDescent="0.2">
      <c r="A219" s="107" t="s">
        <v>84</v>
      </c>
      <c r="B219" s="107" t="s">
        <v>85</v>
      </c>
      <c r="C219" s="108">
        <v>438</v>
      </c>
      <c r="D219" s="107" t="s">
        <v>1157</v>
      </c>
      <c r="E219" s="109">
        <v>44615</v>
      </c>
      <c r="F219" s="109">
        <v>45001</v>
      </c>
      <c r="G219" s="110">
        <v>40000</v>
      </c>
      <c r="H219" s="110">
        <v>36660</v>
      </c>
      <c r="I219" s="110">
        <v>0</v>
      </c>
      <c r="J219" s="110">
        <v>-394.09</v>
      </c>
      <c r="K219" s="110">
        <v>0</v>
      </c>
      <c r="L219" s="110">
        <v>0</v>
      </c>
      <c r="M219" s="110">
        <v>36265.910000000003</v>
      </c>
      <c r="N219" s="110">
        <v>30275.72</v>
      </c>
      <c r="O219" s="110">
        <v>0</v>
      </c>
      <c r="P219" s="110">
        <v>0</v>
      </c>
      <c r="Q219" s="110">
        <v>0</v>
      </c>
      <c r="R219" s="110">
        <v>0</v>
      </c>
      <c r="S219" s="110">
        <v>30275.72</v>
      </c>
      <c r="T219" s="110">
        <v>5990.19</v>
      </c>
      <c r="U219" s="110">
        <v>0</v>
      </c>
      <c r="V219" s="110">
        <v>209.63</v>
      </c>
      <c r="W219" s="110">
        <v>209.63</v>
      </c>
      <c r="X219" s="111">
        <v>5780.5599999999995</v>
      </c>
      <c r="Y219" s="72" t="str">
        <f>VLOOKUP(D219,'TKP 终端汇总'!A:A,1,0)</f>
        <v>PHILIPS</v>
      </c>
    </row>
    <row r="220" spans="1:25" x14ac:dyDescent="0.2">
      <c r="A220" s="107" t="s">
        <v>909</v>
      </c>
      <c r="B220" s="107" t="s">
        <v>910</v>
      </c>
      <c r="C220" s="108" t="s">
        <v>327</v>
      </c>
      <c r="D220" s="107" t="s">
        <v>1166</v>
      </c>
      <c r="E220" s="109">
        <v>45037</v>
      </c>
      <c r="F220" s="109"/>
      <c r="G220" s="110">
        <v>223570</v>
      </c>
      <c r="H220" s="110">
        <v>177840</v>
      </c>
      <c r="I220" s="110">
        <v>0</v>
      </c>
      <c r="J220" s="110">
        <v>9013.619999999999</v>
      </c>
      <c r="K220" s="110">
        <v>0</v>
      </c>
      <c r="L220" s="110">
        <v>0</v>
      </c>
      <c r="M220" s="110">
        <v>186853.62</v>
      </c>
      <c r="N220" s="110">
        <v>231930.97</v>
      </c>
      <c r="O220" s="110">
        <v>0</v>
      </c>
      <c r="P220" s="110">
        <v>0</v>
      </c>
      <c r="Q220" s="110">
        <v>0</v>
      </c>
      <c r="R220" s="110">
        <v>2678.3</v>
      </c>
      <c r="S220" s="110">
        <v>234609.27</v>
      </c>
      <c r="T220" s="110">
        <v>-47755.649999999994</v>
      </c>
      <c r="U220" s="110">
        <v>0</v>
      </c>
      <c r="V220" s="110">
        <v>0</v>
      </c>
      <c r="W220" s="110">
        <v>0</v>
      </c>
      <c r="X220" s="111">
        <v>-47755.649999999994</v>
      </c>
      <c r="Y220" s="72" t="str">
        <f>VLOOKUP(D220,'TKP 终端汇总'!A:A,1,0)</f>
        <v xml:space="preserve">Mobileye </v>
      </c>
    </row>
    <row r="221" spans="1:25" x14ac:dyDescent="0.2">
      <c r="A221" s="107" t="s">
        <v>911</v>
      </c>
      <c r="B221" s="107" t="s">
        <v>912</v>
      </c>
      <c r="C221" s="108" t="s">
        <v>790</v>
      </c>
      <c r="D221" s="107" t="s">
        <v>1168</v>
      </c>
      <c r="E221" s="109">
        <v>45069</v>
      </c>
      <c r="F221" s="109"/>
      <c r="G221" s="110">
        <v>0</v>
      </c>
      <c r="H221" s="110">
        <v>0</v>
      </c>
      <c r="I221" s="110">
        <v>0</v>
      </c>
      <c r="J221" s="110">
        <v>460.79</v>
      </c>
      <c r="K221" s="110">
        <v>0</v>
      </c>
      <c r="L221" s="110">
        <v>0</v>
      </c>
      <c r="M221" s="110">
        <v>460.79</v>
      </c>
      <c r="N221" s="110">
        <v>0</v>
      </c>
      <c r="O221" s="110">
        <v>0</v>
      </c>
      <c r="P221" s="110">
        <v>0</v>
      </c>
      <c r="Q221" s="110">
        <v>8237.02</v>
      </c>
      <c r="R221" s="110">
        <v>39559.65</v>
      </c>
      <c r="S221" s="110">
        <v>47796.67</v>
      </c>
      <c r="T221" s="110">
        <v>-47335.88</v>
      </c>
      <c r="U221" s="110">
        <v>0</v>
      </c>
      <c r="V221" s="110">
        <v>3045.68</v>
      </c>
      <c r="W221" s="110">
        <v>3045.68</v>
      </c>
      <c r="X221" s="111">
        <v>-50381.56</v>
      </c>
      <c r="Y221" s="72" t="str">
        <f>VLOOKUP(D221,'TKP 终端汇总'!A:A,1,0)</f>
        <v>teenage</v>
      </c>
    </row>
    <row r="222" spans="1:25" x14ac:dyDescent="0.2">
      <c r="A222" s="107" t="s">
        <v>92</v>
      </c>
      <c r="B222" s="107" t="s">
        <v>93</v>
      </c>
      <c r="C222" s="108">
        <v>438</v>
      </c>
      <c r="D222" s="107" t="s">
        <v>1157</v>
      </c>
      <c r="E222" s="109">
        <v>44531</v>
      </c>
      <c r="F222" s="109"/>
      <c r="G222" s="110">
        <v>271600</v>
      </c>
      <c r="H222" s="110">
        <v>0</v>
      </c>
      <c r="I222" s="110">
        <v>0</v>
      </c>
      <c r="J222" s="110">
        <v>0</v>
      </c>
      <c r="K222" s="110">
        <v>0</v>
      </c>
      <c r="L222" s="110">
        <v>0</v>
      </c>
      <c r="M222" s="110">
        <v>0</v>
      </c>
      <c r="N222" s="110">
        <v>0</v>
      </c>
      <c r="O222" s="110">
        <v>0</v>
      </c>
      <c r="P222" s="110">
        <v>0</v>
      </c>
      <c r="Q222" s="110">
        <v>0</v>
      </c>
      <c r="R222" s="110">
        <v>0</v>
      </c>
      <c r="S222" s="110">
        <v>0</v>
      </c>
      <c r="T222" s="110">
        <v>0</v>
      </c>
      <c r="U222" s="110">
        <v>0</v>
      </c>
      <c r="V222" s="110">
        <v>0</v>
      </c>
      <c r="W222" s="110">
        <v>0</v>
      </c>
      <c r="X222" s="111">
        <v>0</v>
      </c>
      <c r="Y222" s="72" t="str">
        <f>VLOOKUP(D222,'TKP 终端汇总'!A:A,1,0)</f>
        <v>PHILIPS</v>
      </c>
    </row>
    <row r="223" spans="1:25" x14ac:dyDescent="0.2">
      <c r="A223" s="107" t="s">
        <v>913</v>
      </c>
      <c r="B223" s="107" t="s">
        <v>914</v>
      </c>
      <c r="C223" s="108" t="s">
        <v>208</v>
      </c>
      <c r="D223" s="107" t="s">
        <v>1177</v>
      </c>
      <c r="E223" s="109">
        <v>44718</v>
      </c>
      <c r="F223" s="109"/>
      <c r="G223" s="110">
        <v>1710000</v>
      </c>
      <c r="H223" s="110">
        <v>748254</v>
      </c>
      <c r="I223" s="110">
        <v>0</v>
      </c>
      <c r="J223" s="110">
        <v>24562.67</v>
      </c>
      <c r="K223" s="110">
        <v>0</v>
      </c>
      <c r="L223" s="110">
        <v>0</v>
      </c>
      <c r="M223" s="110">
        <v>772816.67</v>
      </c>
      <c r="N223" s="110">
        <v>723840.35</v>
      </c>
      <c r="O223" s="110">
        <v>0</v>
      </c>
      <c r="P223" s="110">
        <v>0</v>
      </c>
      <c r="Q223" s="110">
        <v>292.39</v>
      </c>
      <c r="R223" s="110">
        <v>9951.82</v>
      </c>
      <c r="S223" s="110">
        <v>734084.55999999994</v>
      </c>
      <c r="T223" s="110">
        <v>38732.110000000015</v>
      </c>
      <c r="U223" s="110">
        <v>225.09</v>
      </c>
      <c r="V223" s="110">
        <v>964.81000000000006</v>
      </c>
      <c r="W223" s="110">
        <v>1189.8999999999999</v>
      </c>
      <c r="X223" s="111">
        <v>37542.210000000014</v>
      </c>
      <c r="Y223" s="72" t="str">
        <f>VLOOKUP(D223,'TKP 终端汇总'!A:A,1,0)</f>
        <v>POLYCOM</v>
      </c>
    </row>
    <row r="224" spans="1:25" x14ac:dyDescent="0.2">
      <c r="A224" s="107" t="s">
        <v>915</v>
      </c>
      <c r="B224" s="107" t="s">
        <v>916</v>
      </c>
      <c r="C224" s="108" t="s">
        <v>96</v>
      </c>
      <c r="D224" s="107" t="s">
        <v>1194</v>
      </c>
      <c r="E224" s="109">
        <v>44977</v>
      </c>
      <c r="F224" s="109"/>
      <c r="G224" s="110">
        <v>222200</v>
      </c>
      <c r="H224" s="110">
        <v>153985.87</v>
      </c>
      <c r="I224" s="110">
        <v>0</v>
      </c>
      <c r="J224" s="110">
        <v>0</v>
      </c>
      <c r="K224" s="110">
        <v>0</v>
      </c>
      <c r="L224" s="110">
        <v>0</v>
      </c>
      <c r="M224" s="110">
        <v>153985.87</v>
      </c>
      <c r="N224" s="110">
        <v>0</v>
      </c>
      <c r="O224" s="110">
        <v>0</v>
      </c>
      <c r="P224" s="110">
        <v>0</v>
      </c>
      <c r="Q224" s="110">
        <v>0</v>
      </c>
      <c r="R224" s="110">
        <v>0</v>
      </c>
      <c r="S224" s="110">
        <v>0</v>
      </c>
      <c r="T224" s="110">
        <v>153985.87</v>
      </c>
      <c r="U224" s="110">
        <v>0</v>
      </c>
      <c r="V224" s="110">
        <v>0</v>
      </c>
      <c r="W224" s="110">
        <v>0</v>
      </c>
      <c r="X224" s="111">
        <v>153985.87</v>
      </c>
      <c r="Y224" s="72" t="str">
        <f>VLOOKUP(D224,'TKP 终端汇总'!A:A,1,0)</f>
        <v>通力</v>
      </c>
    </row>
    <row r="225" spans="1:25" x14ac:dyDescent="0.2">
      <c r="A225" s="107" t="s">
        <v>917</v>
      </c>
      <c r="B225" s="107" t="s">
        <v>918</v>
      </c>
      <c r="C225" s="108">
        <v>437</v>
      </c>
      <c r="D225" s="107" t="s">
        <v>1150</v>
      </c>
      <c r="E225" s="109">
        <v>44991</v>
      </c>
      <c r="F225" s="109"/>
      <c r="G225" s="110">
        <v>526370</v>
      </c>
      <c r="H225" s="110">
        <v>0</v>
      </c>
      <c r="I225" s="110">
        <v>0</v>
      </c>
      <c r="J225" s="110">
        <v>506337.61</v>
      </c>
      <c r="K225" s="110">
        <v>3120</v>
      </c>
      <c r="L225" s="110">
        <v>0</v>
      </c>
      <c r="M225" s="110">
        <v>509457.61</v>
      </c>
      <c r="N225" s="110">
        <v>0</v>
      </c>
      <c r="O225" s="110">
        <v>0</v>
      </c>
      <c r="P225" s="110">
        <v>3915.23</v>
      </c>
      <c r="Q225" s="110">
        <v>0</v>
      </c>
      <c r="R225" s="110">
        <v>239269.28000000003</v>
      </c>
      <c r="S225" s="110">
        <v>243184.51</v>
      </c>
      <c r="T225" s="110">
        <v>266273.09999999998</v>
      </c>
      <c r="U225" s="110">
        <v>0</v>
      </c>
      <c r="V225" s="110">
        <v>0</v>
      </c>
      <c r="W225" s="110">
        <v>0</v>
      </c>
      <c r="X225" s="111">
        <v>266273.09999999998</v>
      </c>
      <c r="Y225" s="72" t="str">
        <f>VLOOKUP(D225,'TKP 终端汇总'!A:A,1,0)</f>
        <v>FITBIT</v>
      </c>
    </row>
    <row r="226" spans="1:25" x14ac:dyDescent="0.2">
      <c r="A226" s="107" t="s">
        <v>919</v>
      </c>
      <c r="B226" s="107" t="s">
        <v>920</v>
      </c>
      <c r="C226" s="108">
        <v>437</v>
      </c>
      <c r="D226" s="107" t="s">
        <v>1150</v>
      </c>
      <c r="E226" s="109">
        <v>44993</v>
      </c>
      <c r="F226" s="109"/>
      <c r="G226" s="110">
        <v>453000</v>
      </c>
      <c r="H226" s="110">
        <v>0</v>
      </c>
      <c r="I226" s="110">
        <v>0</v>
      </c>
      <c r="J226" s="110">
        <v>518156.24</v>
      </c>
      <c r="K226" s="110">
        <v>0</v>
      </c>
      <c r="L226" s="110">
        <v>0</v>
      </c>
      <c r="M226" s="110">
        <v>518156.24</v>
      </c>
      <c r="N226" s="110">
        <v>0</v>
      </c>
      <c r="O226" s="110">
        <v>0</v>
      </c>
      <c r="P226" s="110">
        <v>197.55</v>
      </c>
      <c r="Q226" s="110">
        <v>596.95000000000005</v>
      </c>
      <c r="R226" s="110">
        <v>103728.87</v>
      </c>
      <c r="S226" s="110">
        <v>104523.37</v>
      </c>
      <c r="T226" s="110">
        <v>413632.87000000005</v>
      </c>
      <c r="U226" s="110">
        <v>11850.96</v>
      </c>
      <c r="V226" s="110">
        <v>0</v>
      </c>
      <c r="W226" s="110">
        <v>11850.96</v>
      </c>
      <c r="X226" s="111">
        <v>401781.91000000003</v>
      </c>
      <c r="Y226" s="72" t="str">
        <f>VLOOKUP(D226,'TKP 终端汇总'!A:A,1,0)</f>
        <v>FITBIT</v>
      </c>
    </row>
    <row r="227" spans="1:25" x14ac:dyDescent="0.2">
      <c r="A227" s="107" t="s">
        <v>921</v>
      </c>
      <c r="B227" s="107" t="s">
        <v>922</v>
      </c>
      <c r="C227" s="108" t="s">
        <v>923</v>
      </c>
      <c r="D227" s="107" t="s">
        <v>1154</v>
      </c>
      <c r="E227" s="109">
        <v>45015</v>
      </c>
      <c r="F227" s="109"/>
      <c r="G227" s="110">
        <v>208350</v>
      </c>
      <c r="H227" s="110">
        <v>213421.45</v>
      </c>
      <c r="I227" s="110">
        <v>0</v>
      </c>
      <c r="J227" s="110">
        <v>4311.58</v>
      </c>
      <c r="K227" s="110">
        <v>0</v>
      </c>
      <c r="L227" s="110">
        <v>0</v>
      </c>
      <c r="M227" s="110">
        <v>217733.03</v>
      </c>
      <c r="N227" s="110">
        <v>101605.66</v>
      </c>
      <c r="O227" s="110">
        <v>0</v>
      </c>
      <c r="P227" s="110">
        <v>0</v>
      </c>
      <c r="Q227" s="110">
        <v>0</v>
      </c>
      <c r="R227" s="110">
        <v>411.89000000000004</v>
      </c>
      <c r="S227" s="110">
        <v>102017.55000000002</v>
      </c>
      <c r="T227" s="110">
        <v>115715.48</v>
      </c>
      <c r="U227" s="110">
        <v>0</v>
      </c>
      <c r="V227" s="110">
        <v>0</v>
      </c>
      <c r="W227" s="110">
        <v>0</v>
      </c>
      <c r="X227" s="111">
        <v>115715.48</v>
      </c>
      <c r="Y227" s="72" t="str">
        <f>VLOOKUP(D227,'TKP 终端汇总'!A:A,1,0)</f>
        <v>麦克韦尔</v>
      </c>
    </row>
    <row r="228" spans="1:25" x14ac:dyDescent="0.2">
      <c r="A228" s="107" t="s">
        <v>925</v>
      </c>
      <c r="B228" s="107" t="s">
        <v>926</v>
      </c>
      <c r="C228" s="108">
        <v>440</v>
      </c>
      <c r="D228" s="107" t="s">
        <v>1161</v>
      </c>
      <c r="E228" s="109">
        <v>45022</v>
      </c>
      <c r="F228" s="109"/>
      <c r="G228" s="110">
        <v>4235770</v>
      </c>
      <c r="H228" s="110">
        <v>0</v>
      </c>
      <c r="I228" s="110">
        <v>0</v>
      </c>
      <c r="J228" s="110">
        <v>0</v>
      </c>
      <c r="K228" s="110">
        <v>0</v>
      </c>
      <c r="L228" s="110">
        <v>0</v>
      </c>
      <c r="M228" s="110">
        <v>0</v>
      </c>
      <c r="N228" s="110">
        <v>0</v>
      </c>
      <c r="O228" s="110">
        <v>0</v>
      </c>
      <c r="P228" s="110">
        <v>0</v>
      </c>
      <c r="Q228" s="110">
        <v>0</v>
      </c>
      <c r="R228" s="110">
        <v>102758.15000000001</v>
      </c>
      <c r="S228" s="110">
        <v>102758.15000000001</v>
      </c>
      <c r="T228" s="110">
        <v>-102758.15000000001</v>
      </c>
      <c r="U228" s="110">
        <v>0</v>
      </c>
      <c r="V228" s="110">
        <v>0</v>
      </c>
      <c r="W228" s="110">
        <v>0</v>
      </c>
      <c r="X228" s="111">
        <v>-102758.15000000001</v>
      </c>
      <c r="Y228" s="72" t="str">
        <f>VLOOKUP(D228,'TKP 终端汇总'!A:A,1,0)</f>
        <v>OTTERBOX</v>
      </c>
    </row>
    <row r="229" spans="1:25" x14ac:dyDescent="0.2">
      <c r="A229" s="107" t="s">
        <v>927</v>
      </c>
      <c r="B229" s="107" t="s">
        <v>928</v>
      </c>
      <c r="C229" s="108">
        <v>438</v>
      </c>
      <c r="D229" s="107" t="s">
        <v>1157</v>
      </c>
      <c r="E229" s="109">
        <v>44226</v>
      </c>
      <c r="F229" s="109">
        <v>44252</v>
      </c>
      <c r="G229" s="110">
        <v>0</v>
      </c>
      <c r="H229" s="110">
        <v>0</v>
      </c>
      <c r="I229" s="110">
        <v>0</v>
      </c>
      <c r="J229" s="110">
        <v>0</v>
      </c>
      <c r="K229" s="110">
        <v>0</v>
      </c>
      <c r="L229" s="110">
        <v>0</v>
      </c>
      <c r="M229" s="110">
        <v>0</v>
      </c>
      <c r="N229" s="110">
        <v>0</v>
      </c>
      <c r="O229" s="110">
        <v>0</v>
      </c>
      <c r="P229" s="110">
        <v>0</v>
      </c>
      <c r="Q229" s="110">
        <v>0</v>
      </c>
      <c r="R229" s="110">
        <v>0</v>
      </c>
      <c r="S229" s="110">
        <v>0</v>
      </c>
      <c r="T229" s="110">
        <v>0</v>
      </c>
      <c r="U229" s="110">
        <v>0</v>
      </c>
      <c r="V229" s="110">
        <v>0</v>
      </c>
      <c r="W229" s="110">
        <v>0</v>
      </c>
      <c r="X229" s="111">
        <v>0</v>
      </c>
      <c r="Y229" s="72" t="str">
        <f>VLOOKUP(D229,'TKP 终端汇总'!A:A,1,0)</f>
        <v>PHILIPS</v>
      </c>
    </row>
    <row r="230" spans="1:25" x14ac:dyDescent="0.2">
      <c r="A230" s="107" t="s">
        <v>273</v>
      </c>
      <c r="B230" s="107" t="s">
        <v>274</v>
      </c>
      <c r="C230" s="108" t="s">
        <v>56</v>
      </c>
      <c r="D230" s="107" t="s">
        <v>1151</v>
      </c>
      <c r="E230" s="109">
        <v>44229</v>
      </c>
      <c r="F230" s="109">
        <v>44251</v>
      </c>
      <c r="G230" s="110">
        <v>291500</v>
      </c>
      <c r="H230" s="110">
        <v>0</v>
      </c>
      <c r="I230" s="110">
        <v>0</v>
      </c>
      <c r="J230" s="110">
        <v>0</v>
      </c>
      <c r="K230" s="110">
        <v>0</v>
      </c>
      <c r="L230" s="110">
        <v>0</v>
      </c>
      <c r="M230" s="110">
        <v>0</v>
      </c>
      <c r="N230" s="110">
        <v>28075.39</v>
      </c>
      <c r="O230" s="110">
        <v>0</v>
      </c>
      <c r="P230" s="110">
        <v>0</v>
      </c>
      <c r="Q230" s="110">
        <v>1461.93</v>
      </c>
      <c r="R230" s="110">
        <v>8697.19</v>
      </c>
      <c r="S230" s="110">
        <v>38234.51</v>
      </c>
      <c r="T230" s="110">
        <v>-38234.51</v>
      </c>
      <c r="U230" s="110">
        <v>0</v>
      </c>
      <c r="V230" s="110">
        <v>625.74</v>
      </c>
      <c r="W230" s="110">
        <v>625.74</v>
      </c>
      <c r="X230" s="111">
        <v>-38860.25</v>
      </c>
      <c r="Y230" s="72" t="str">
        <f>VLOOKUP(D230,'TKP 终端汇总'!A:A,1,0)</f>
        <v>合元</v>
      </c>
    </row>
    <row r="231" spans="1:25" x14ac:dyDescent="0.2">
      <c r="A231" s="107" t="s">
        <v>536</v>
      </c>
      <c r="B231" s="107" t="s">
        <v>537</v>
      </c>
      <c r="C231" s="108">
        <v>440</v>
      </c>
      <c r="D231" s="107" t="s">
        <v>1161</v>
      </c>
      <c r="E231" s="109">
        <v>44446</v>
      </c>
      <c r="F231" s="109">
        <v>44581</v>
      </c>
      <c r="G231" s="110">
        <v>3011964</v>
      </c>
      <c r="H231" s="110">
        <v>0</v>
      </c>
      <c r="I231" s="110">
        <v>0</v>
      </c>
      <c r="J231" s="110">
        <v>0</v>
      </c>
      <c r="K231" s="110">
        <v>0</v>
      </c>
      <c r="L231" s="110">
        <v>0</v>
      </c>
      <c r="M231" s="110">
        <v>0</v>
      </c>
      <c r="N231" s="110">
        <v>0</v>
      </c>
      <c r="O231" s="110">
        <v>0</v>
      </c>
      <c r="P231" s="110">
        <v>0</v>
      </c>
      <c r="Q231" s="110">
        <v>0</v>
      </c>
      <c r="R231" s="110">
        <v>0</v>
      </c>
      <c r="S231" s="110">
        <v>0</v>
      </c>
      <c r="T231" s="110">
        <v>0</v>
      </c>
      <c r="U231" s="110">
        <v>0</v>
      </c>
      <c r="V231" s="110">
        <v>0</v>
      </c>
      <c r="W231" s="110">
        <v>0</v>
      </c>
      <c r="X231" s="111">
        <v>0</v>
      </c>
      <c r="Y231" s="72" t="str">
        <f>VLOOKUP(D231,'TKP 终端汇总'!A:A,1,0)</f>
        <v>OTTERBOX</v>
      </c>
    </row>
    <row r="232" spans="1:25" x14ac:dyDescent="0.2">
      <c r="A232" s="107" t="s">
        <v>402</v>
      </c>
      <c r="B232" s="107" t="s">
        <v>403</v>
      </c>
      <c r="C232" s="108">
        <v>404</v>
      </c>
      <c r="D232" s="107" t="s">
        <v>1153</v>
      </c>
      <c r="E232" s="109">
        <v>44226</v>
      </c>
      <c r="F232" s="109">
        <v>43003</v>
      </c>
      <c r="G232" s="110">
        <v>0</v>
      </c>
      <c r="H232" s="110">
        <v>0</v>
      </c>
      <c r="I232" s="110">
        <v>0</v>
      </c>
      <c r="J232" s="110">
        <v>0</v>
      </c>
      <c r="K232" s="110">
        <v>0</v>
      </c>
      <c r="L232" s="110">
        <v>0</v>
      </c>
      <c r="M232" s="110">
        <v>0</v>
      </c>
      <c r="N232" s="110">
        <v>0</v>
      </c>
      <c r="O232" s="110">
        <v>0</v>
      </c>
      <c r="P232" s="110">
        <v>0</v>
      </c>
      <c r="Q232" s="110">
        <v>0</v>
      </c>
      <c r="R232" s="110">
        <v>0</v>
      </c>
      <c r="S232" s="110">
        <v>0</v>
      </c>
      <c r="T232" s="110">
        <v>0</v>
      </c>
      <c r="U232" s="110">
        <v>0</v>
      </c>
      <c r="V232" s="110">
        <v>0</v>
      </c>
      <c r="W232" s="110">
        <v>0</v>
      </c>
      <c r="X232" s="111">
        <v>0</v>
      </c>
      <c r="Y232" s="72" t="str">
        <f>VLOOKUP(D232,'TKP 终端汇总'!A:A,1,0)</f>
        <v>Google</v>
      </c>
    </row>
    <row r="233" spans="1:25" x14ac:dyDescent="0.2">
      <c r="A233" s="107" t="s">
        <v>929</v>
      </c>
      <c r="B233" s="107" t="s">
        <v>930</v>
      </c>
      <c r="C233" s="108" t="s">
        <v>762</v>
      </c>
      <c r="D233" s="107" t="s">
        <v>1230</v>
      </c>
      <c r="E233" s="109">
        <v>44226</v>
      </c>
      <c r="F233" s="109">
        <v>43490</v>
      </c>
      <c r="G233" s="110">
        <v>0</v>
      </c>
      <c r="H233" s="110">
        <v>0</v>
      </c>
      <c r="I233" s="110">
        <v>0</v>
      </c>
      <c r="J233" s="110">
        <v>0</v>
      </c>
      <c r="K233" s="110">
        <v>0</v>
      </c>
      <c r="L233" s="110">
        <v>34320</v>
      </c>
      <c r="M233" s="110">
        <v>34320</v>
      </c>
      <c r="N233" s="110">
        <v>0</v>
      </c>
      <c r="O233" s="110">
        <v>0</v>
      </c>
      <c r="P233" s="110">
        <v>0</v>
      </c>
      <c r="Q233" s="110">
        <v>0</v>
      </c>
      <c r="R233" s="110">
        <v>0</v>
      </c>
      <c r="S233" s="110">
        <v>0</v>
      </c>
      <c r="T233" s="110">
        <v>34320</v>
      </c>
      <c r="U233" s="110">
        <v>0</v>
      </c>
      <c r="V233" s="110">
        <v>0</v>
      </c>
      <c r="W233" s="110">
        <v>0</v>
      </c>
      <c r="X233" s="111">
        <v>34320</v>
      </c>
      <c r="Y233" s="72" t="str">
        <f>VLOOKUP(D233,'TKP 终端汇总'!A:A,1,0)</f>
        <v>康乐保</v>
      </c>
    </row>
    <row r="234" spans="1:25" x14ac:dyDescent="0.2">
      <c r="A234" s="107" t="s">
        <v>313</v>
      </c>
      <c r="B234" s="107" t="s">
        <v>314</v>
      </c>
      <c r="C234" s="108" t="s">
        <v>208</v>
      </c>
      <c r="D234" s="107" t="s">
        <v>1177</v>
      </c>
      <c r="E234" s="109">
        <v>44226</v>
      </c>
      <c r="F234" s="109">
        <v>42551</v>
      </c>
      <c r="G234" s="110">
        <v>0</v>
      </c>
      <c r="H234" s="110">
        <v>0</v>
      </c>
      <c r="I234" s="110">
        <v>0</v>
      </c>
      <c r="J234" s="110">
        <v>0</v>
      </c>
      <c r="K234" s="110">
        <v>0</v>
      </c>
      <c r="L234" s="110">
        <v>0</v>
      </c>
      <c r="M234" s="110">
        <v>0</v>
      </c>
      <c r="N234" s="110">
        <v>0</v>
      </c>
      <c r="O234" s="110">
        <v>0</v>
      </c>
      <c r="P234" s="110">
        <v>0</v>
      </c>
      <c r="Q234" s="110">
        <v>0</v>
      </c>
      <c r="R234" s="110">
        <v>0</v>
      </c>
      <c r="S234" s="110">
        <v>0</v>
      </c>
      <c r="T234" s="110">
        <v>0</v>
      </c>
      <c r="U234" s="110">
        <v>0</v>
      </c>
      <c r="V234" s="110">
        <v>195.17</v>
      </c>
      <c r="W234" s="110">
        <v>195.17</v>
      </c>
      <c r="X234" s="111">
        <v>-195.17</v>
      </c>
      <c r="Y234" s="72" t="str">
        <f>VLOOKUP(D234,'TKP 终端汇总'!A:A,1,0)</f>
        <v>POLYCOM</v>
      </c>
    </row>
    <row r="235" spans="1:25" x14ac:dyDescent="0.2">
      <c r="A235" s="107" t="s">
        <v>931</v>
      </c>
      <c r="B235" s="107" t="s">
        <v>932</v>
      </c>
      <c r="C235" s="108" t="s">
        <v>933</v>
      </c>
      <c r="D235" s="107" t="s">
        <v>1238</v>
      </c>
      <c r="E235" s="109">
        <v>45057</v>
      </c>
      <c r="F235" s="109"/>
      <c r="G235" s="110">
        <v>24860</v>
      </c>
      <c r="H235" s="110">
        <v>0</v>
      </c>
      <c r="I235" s="110">
        <v>0</v>
      </c>
      <c r="J235" s="110">
        <v>0</v>
      </c>
      <c r="K235" s="110">
        <v>0</v>
      </c>
      <c r="L235" s="110">
        <v>0</v>
      </c>
      <c r="M235" s="110">
        <v>0</v>
      </c>
      <c r="N235" s="110">
        <v>0</v>
      </c>
      <c r="O235" s="110">
        <v>0</v>
      </c>
      <c r="P235" s="110">
        <v>0</v>
      </c>
      <c r="Q235" s="110">
        <v>16481.809999999998</v>
      </c>
      <c r="R235" s="110">
        <v>0</v>
      </c>
      <c r="S235" s="110">
        <v>16481.809999999998</v>
      </c>
      <c r="T235" s="110">
        <v>-16481.809999999998</v>
      </c>
      <c r="U235" s="110">
        <v>0</v>
      </c>
      <c r="V235" s="110">
        <v>-3932.02</v>
      </c>
      <c r="W235" s="110">
        <v>-3932.02</v>
      </c>
      <c r="X235" s="111">
        <v>-12549.789999999997</v>
      </c>
      <c r="Y235" s="72" t="str">
        <f>VLOOKUP(D235,'TKP 终端汇总'!A:A,1,0)</f>
        <v>陆逊梯卡</v>
      </c>
    </row>
    <row r="236" spans="1:25" x14ac:dyDescent="0.2">
      <c r="A236" s="107" t="s">
        <v>190</v>
      </c>
      <c r="B236" s="107" t="s">
        <v>944</v>
      </c>
      <c r="C236" s="108">
        <v>291</v>
      </c>
      <c r="D236" s="107" t="s">
        <v>1239</v>
      </c>
      <c r="E236" s="109">
        <v>44226</v>
      </c>
      <c r="F236" s="109"/>
      <c r="G236" s="110">
        <v>0</v>
      </c>
      <c r="H236" s="110">
        <v>0</v>
      </c>
      <c r="I236" s="110">
        <v>0</v>
      </c>
      <c r="J236" s="110">
        <v>0</v>
      </c>
      <c r="K236" s="110">
        <v>0</v>
      </c>
      <c r="L236" s="110">
        <v>0</v>
      </c>
      <c r="M236" s="110">
        <v>0</v>
      </c>
      <c r="N236" s="110">
        <v>0</v>
      </c>
      <c r="O236" s="110">
        <v>0</v>
      </c>
      <c r="P236" s="110">
        <v>4801.75</v>
      </c>
      <c r="Q236" s="110">
        <v>0</v>
      </c>
      <c r="R236" s="110">
        <v>0</v>
      </c>
      <c r="S236" s="110">
        <v>4801.75</v>
      </c>
      <c r="T236" s="110">
        <v>-4801.75</v>
      </c>
      <c r="U236" s="110">
        <v>0</v>
      </c>
      <c r="V236" s="110">
        <v>0</v>
      </c>
      <c r="W236" s="110">
        <v>0</v>
      </c>
      <c r="X236" s="111">
        <v>-4801.75</v>
      </c>
      <c r="Y236" s="72" t="str">
        <f>VLOOKUP(D236,'TKP 终端汇总'!A:A,1,0)</f>
        <v xml:space="preserve">Phonak </v>
      </c>
    </row>
    <row r="237" spans="1:25" x14ac:dyDescent="0.2">
      <c r="A237" s="107" t="s">
        <v>935</v>
      </c>
      <c r="B237" s="107" t="s">
        <v>945</v>
      </c>
      <c r="C237" s="108" t="s">
        <v>748</v>
      </c>
      <c r="D237" s="107" t="s">
        <v>1160</v>
      </c>
      <c r="E237" s="109">
        <v>45077</v>
      </c>
      <c r="F237" s="109"/>
      <c r="G237" s="110">
        <v>49500</v>
      </c>
      <c r="H237" s="110">
        <v>122892.77</v>
      </c>
      <c r="I237" s="110">
        <v>0</v>
      </c>
      <c r="J237" s="110">
        <v>0</v>
      </c>
      <c r="K237" s="110">
        <v>0</v>
      </c>
      <c r="L237" s="110">
        <v>0</v>
      </c>
      <c r="M237" s="110">
        <v>122892.77</v>
      </c>
      <c r="N237" s="110">
        <v>111735.25</v>
      </c>
      <c r="O237" s="110">
        <v>0</v>
      </c>
      <c r="P237" s="110">
        <v>6626.75</v>
      </c>
      <c r="Q237" s="110">
        <v>20034.21</v>
      </c>
      <c r="R237" s="110">
        <v>0</v>
      </c>
      <c r="S237" s="110">
        <v>138396.21</v>
      </c>
      <c r="T237" s="110">
        <v>-15503.440000000002</v>
      </c>
      <c r="U237" s="110">
        <v>2308.59</v>
      </c>
      <c r="V237" s="110">
        <v>0</v>
      </c>
      <c r="W237" s="110">
        <v>2308.59</v>
      </c>
      <c r="X237" s="111">
        <v>-17812.030000000002</v>
      </c>
      <c r="Y237" s="72" t="str">
        <f>VLOOKUP(D237,'TKP 终端汇总'!A:A,1,0)</f>
        <v>TCL</v>
      </c>
    </row>
    <row r="238" spans="1:25" x14ac:dyDescent="0.2">
      <c r="A238" s="107" t="s">
        <v>37</v>
      </c>
      <c r="B238" s="107" t="s">
        <v>38</v>
      </c>
      <c r="C238" s="108" t="s">
        <v>39</v>
      </c>
      <c r="D238" s="107" t="s">
        <v>1174</v>
      </c>
      <c r="E238" s="109">
        <v>44446</v>
      </c>
      <c r="F238" s="109"/>
      <c r="G238" s="110">
        <v>2096100</v>
      </c>
      <c r="H238" s="110">
        <v>0</v>
      </c>
      <c r="I238" s="110">
        <v>0</v>
      </c>
      <c r="J238" s="110">
        <v>0</v>
      </c>
      <c r="K238" s="110">
        <v>0</v>
      </c>
      <c r="L238" s="110">
        <v>0</v>
      </c>
      <c r="M238" s="110">
        <v>0</v>
      </c>
      <c r="N238" s="110">
        <v>0</v>
      </c>
      <c r="O238" s="110">
        <v>0</v>
      </c>
      <c r="P238" s="110">
        <v>0</v>
      </c>
      <c r="Q238" s="110">
        <v>0</v>
      </c>
      <c r="R238" s="110">
        <v>0</v>
      </c>
      <c r="S238" s="110">
        <v>0</v>
      </c>
      <c r="T238" s="110">
        <v>0</v>
      </c>
      <c r="U238" s="110">
        <v>0</v>
      </c>
      <c r="V238" s="110">
        <v>0</v>
      </c>
      <c r="W238" s="110">
        <v>0</v>
      </c>
      <c r="X238" s="111">
        <v>0</v>
      </c>
      <c r="Y238" s="72" t="str">
        <f>VLOOKUP(D238,'TKP 终端汇总'!A:A,1,0)</f>
        <v>Lifescan</v>
      </c>
    </row>
    <row r="239" spans="1:25" x14ac:dyDescent="0.2">
      <c r="A239" s="107" t="s">
        <v>936</v>
      </c>
      <c r="B239" s="107" t="s">
        <v>946</v>
      </c>
      <c r="C239" s="108" t="s">
        <v>955</v>
      </c>
      <c r="D239" s="107" t="s">
        <v>1183</v>
      </c>
      <c r="E239" s="109">
        <v>45008</v>
      </c>
      <c r="F239" s="109"/>
      <c r="G239" s="110">
        <v>1015890</v>
      </c>
      <c r="H239" s="110">
        <v>806904</v>
      </c>
      <c r="I239" s="110">
        <v>0</v>
      </c>
      <c r="J239" s="110">
        <v>7924.17</v>
      </c>
      <c r="K239" s="110">
        <v>381909</v>
      </c>
      <c r="L239" s="110">
        <v>0</v>
      </c>
      <c r="M239" s="110">
        <v>1196737.17</v>
      </c>
      <c r="N239" s="110">
        <v>805393.73</v>
      </c>
      <c r="O239" s="110">
        <v>274002.17</v>
      </c>
      <c r="P239" s="110">
        <v>0</v>
      </c>
      <c r="Q239" s="110">
        <v>18964.48</v>
      </c>
      <c r="R239" s="110">
        <v>44481.109999999993</v>
      </c>
      <c r="S239" s="110">
        <v>1142841.49</v>
      </c>
      <c r="T239" s="110">
        <v>53895.679999999942</v>
      </c>
      <c r="U239" s="110">
        <v>19388.89</v>
      </c>
      <c r="V239" s="110">
        <v>69056.920000000013</v>
      </c>
      <c r="W239" s="110">
        <v>88445.810000000012</v>
      </c>
      <c r="X239" s="111">
        <v>-34550.13000000007</v>
      </c>
      <c r="Y239" s="72" t="str">
        <f>VLOOKUP(D239,'TKP 终端汇总'!A:A,1,0)</f>
        <v>Zebra</v>
      </c>
    </row>
    <row r="240" spans="1:25" x14ac:dyDescent="0.2">
      <c r="A240" s="107" t="s">
        <v>937</v>
      </c>
      <c r="B240" s="107" t="s">
        <v>947</v>
      </c>
      <c r="C240" s="108">
        <v>440</v>
      </c>
      <c r="D240" s="107" t="s">
        <v>1161</v>
      </c>
      <c r="E240" s="109">
        <v>45020</v>
      </c>
      <c r="F240" s="109"/>
      <c r="G240" s="110">
        <v>1037575</v>
      </c>
      <c r="H240" s="110">
        <v>0</v>
      </c>
      <c r="I240" s="110">
        <v>0</v>
      </c>
      <c r="J240" s="110">
        <v>13770.6</v>
      </c>
      <c r="K240" s="110">
        <v>379664</v>
      </c>
      <c r="L240" s="110">
        <v>0</v>
      </c>
      <c r="M240" s="110">
        <v>393434.6</v>
      </c>
      <c r="N240" s="110">
        <v>0</v>
      </c>
      <c r="O240" s="110">
        <v>0</v>
      </c>
      <c r="P240" s="110">
        <v>0</v>
      </c>
      <c r="Q240" s="110">
        <v>0</v>
      </c>
      <c r="R240" s="110">
        <v>0</v>
      </c>
      <c r="S240" s="110">
        <v>0</v>
      </c>
      <c r="T240" s="110">
        <v>393434.6</v>
      </c>
      <c r="U240" s="110">
        <v>0</v>
      </c>
      <c r="V240" s="110">
        <v>0</v>
      </c>
      <c r="W240" s="110">
        <v>0</v>
      </c>
      <c r="X240" s="111">
        <v>393434.6</v>
      </c>
      <c r="Y240" s="72" t="str">
        <f>VLOOKUP(D240,'TKP 终端汇总'!A:A,1,0)</f>
        <v>OTTERBOX</v>
      </c>
    </row>
    <row r="241" spans="1:25" x14ac:dyDescent="0.2">
      <c r="A241" s="107" t="s">
        <v>938</v>
      </c>
      <c r="B241" s="107" t="s">
        <v>948</v>
      </c>
      <c r="C241" s="108">
        <v>440</v>
      </c>
      <c r="D241" s="107" t="s">
        <v>1161</v>
      </c>
      <c r="E241" s="109">
        <v>45020</v>
      </c>
      <c r="F241" s="109"/>
      <c r="G241" s="110">
        <v>3173940</v>
      </c>
      <c r="H241" s="110">
        <v>0</v>
      </c>
      <c r="I241" s="110">
        <v>0</v>
      </c>
      <c r="J241" s="110">
        <v>162446.39999999999</v>
      </c>
      <c r="K241" s="110">
        <v>0</v>
      </c>
      <c r="L241" s="110">
        <v>0</v>
      </c>
      <c r="M241" s="110">
        <v>162446.39999999999</v>
      </c>
      <c r="N241" s="110">
        <v>0</v>
      </c>
      <c r="O241" s="110">
        <v>0</v>
      </c>
      <c r="P241" s="110">
        <v>0</v>
      </c>
      <c r="Q241" s="110">
        <v>29509.98</v>
      </c>
      <c r="R241" s="110">
        <v>120688.33000000002</v>
      </c>
      <c r="S241" s="110">
        <v>150198.31</v>
      </c>
      <c r="T241" s="110">
        <v>12248.089999999997</v>
      </c>
      <c r="U241" s="110">
        <v>11695.45</v>
      </c>
      <c r="V241" s="110">
        <v>10728.5</v>
      </c>
      <c r="W241" s="110">
        <v>22423.95</v>
      </c>
      <c r="X241" s="111">
        <v>-10175.860000000004</v>
      </c>
      <c r="Y241" s="72" t="str">
        <f>VLOOKUP(D241,'TKP 终端汇总'!A:A,1,0)</f>
        <v>OTTERBOX</v>
      </c>
    </row>
    <row r="242" spans="1:25" x14ac:dyDescent="0.2">
      <c r="A242" s="107" t="s">
        <v>939</v>
      </c>
      <c r="B242" s="107" t="s">
        <v>949</v>
      </c>
      <c r="C242" s="108">
        <v>440</v>
      </c>
      <c r="D242" s="107" t="s">
        <v>1161</v>
      </c>
      <c r="E242" s="109">
        <v>45020</v>
      </c>
      <c r="F242" s="109"/>
      <c r="G242" s="110">
        <v>2073456</v>
      </c>
      <c r="H242" s="110">
        <v>0</v>
      </c>
      <c r="I242" s="110">
        <v>0</v>
      </c>
      <c r="J242" s="110">
        <v>0</v>
      </c>
      <c r="K242" s="110">
        <v>0</v>
      </c>
      <c r="L242" s="110">
        <v>0</v>
      </c>
      <c r="M242" s="110">
        <v>0</v>
      </c>
      <c r="N242" s="110">
        <v>0</v>
      </c>
      <c r="O242" s="110">
        <v>0</v>
      </c>
      <c r="P242" s="110">
        <v>0</v>
      </c>
      <c r="Q242" s="110">
        <v>0</v>
      </c>
      <c r="R242" s="110">
        <v>5440.85</v>
      </c>
      <c r="S242" s="110">
        <v>5440.85</v>
      </c>
      <c r="T242" s="110">
        <v>-5440.85</v>
      </c>
      <c r="U242" s="110">
        <v>0</v>
      </c>
      <c r="V242" s="110">
        <v>0</v>
      </c>
      <c r="W242" s="110">
        <v>0</v>
      </c>
      <c r="X242" s="111">
        <v>-5440.85</v>
      </c>
      <c r="Y242" s="72" t="str">
        <f>VLOOKUP(D242,'TKP 终端汇总'!A:A,1,0)</f>
        <v>OTTERBOX</v>
      </c>
    </row>
    <row r="243" spans="1:25" x14ac:dyDescent="0.2">
      <c r="A243" s="107" t="s">
        <v>940</v>
      </c>
      <c r="B243" s="107" t="s">
        <v>950</v>
      </c>
      <c r="C243" s="108">
        <v>440</v>
      </c>
      <c r="D243" s="107" t="s">
        <v>1161</v>
      </c>
      <c r="E243" s="109">
        <v>45020</v>
      </c>
      <c r="F243" s="109"/>
      <c r="G243" s="110">
        <v>1760000</v>
      </c>
      <c r="H243" s="110">
        <v>0</v>
      </c>
      <c r="I243" s="110">
        <v>0</v>
      </c>
      <c r="J243" s="110">
        <v>0</v>
      </c>
      <c r="K243" s="110">
        <v>0</v>
      </c>
      <c r="L243" s="110">
        <v>0</v>
      </c>
      <c r="M243" s="110">
        <v>0</v>
      </c>
      <c r="N243" s="110">
        <v>0</v>
      </c>
      <c r="O243" s="110">
        <v>0</v>
      </c>
      <c r="P243" s="110">
        <v>0</v>
      </c>
      <c r="Q243" s="110">
        <v>0</v>
      </c>
      <c r="R243" s="110">
        <v>0</v>
      </c>
      <c r="S243" s="110">
        <v>0</v>
      </c>
      <c r="T243" s="110">
        <v>0</v>
      </c>
      <c r="U243" s="110">
        <v>0</v>
      </c>
      <c r="V243" s="110">
        <v>0</v>
      </c>
      <c r="W243" s="110">
        <v>0</v>
      </c>
      <c r="X243" s="111">
        <v>0</v>
      </c>
      <c r="Y243" s="72" t="str">
        <f>VLOOKUP(D243,'TKP 终端汇总'!A:A,1,0)</f>
        <v>OTTERBOX</v>
      </c>
    </row>
    <row r="244" spans="1:25" x14ac:dyDescent="0.2">
      <c r="A244" s="107" t="s">
        <v>941</v>
      </c>
      <c r="B244" s="107" t="s">
        <v>951</v>
      </c>
      <c r="C244" s="108">
        <v>440</v>
      </c>
      <c r="D244" s="107" t="s">
        <v>1161</v>
      </c>
      <c r="E244" s="109">
        <v>45020</v>
      </c>
      <c r="F244" s="109"/>
      <c r="G244" s="110">
        <v>2996840</v>
      </c>
      <c r="H244" s="110">
        <v>0</v>
      </c>
      <c r="I244" s="110">
        <v>0</v>
      </c>
      <c r="J244" s="110">
        <v>117529.63999999998</v>
      </c>
      <c r="K244" s="110">
        <v>0</v>
      </c>
      <c r="L244" s="110">
        <v>0</v>
      </c>
      <c r="M244" s="110">
        <v>117529.63999999998</v>
      </c>
      <c r="N244" s="110">
        <v>0</v>
      </c>
      <c r="O244" s="110">
        <v>0</v>
      </c>
      <c r="P244" s="110">
        <v>0</v>
      </c>
      <c r="Q244" s="110">
        <v>0</v>
      </c>
      <c r="R244" s="110">
        <v>21970.04</v>
      </c>
      <c r="S244" s="110">
        <v>21970.04</v>
      </c>
      <c r="T244" s="110">
        <v>95559.599999999991</v>
      </c>
      <c r="U244" s="110">
        <v>0</v>
      </c>
      <c r="V244" s="110">
        <v>0</v>
      </c>
      <c r="W244" s="110">
        <v>0</v>
      </c>
      <c r="X244" s="111">
        <v>95559.599999999991</v>
      </c>
      <c r="Y244" s="72" t="str">
        <f>VLOOKUP(D244,'TKP 终端汇总'!A:A,1,0)</f>
        <v>OTTERBOX</v>
      </c>
    </row>
    <row r="245" spans="1:25" x14ac:dyDescent="0.2">
      <c r="A245" s="107" t="s">
        <v>299</v>
      </c>
      <c r="B245" s="107" t="s">
        <v>300</v>
      </c>
      <c r="C245" s="108" t="s">
        <v>5</v>
      </c>
      <c r="D245" s="107" t="s">
        <v>1162</v>
      </c>
      <c r="E245" s="109">
        <v>44277</v>
      </c>
      <c r="F245" s="109">
        <v>44306</v>
      </c>
      <c r="G245" s="110">
        <v>200200</v>
      </c>
      <c r="H245" s="110">
        <v>0</v>
      </c>
      <c r="I245" s="110">
        <v>0</v>
      </c>
      <c r="J245" s="110">
        <v>0</v>
      </c>
      <c r="K245" s="110">
        <v>0</v>
      </c>
      <c r="L245" s="110">
        <v>0</v>
      </c>
      <c r="M245" s="110">
        <v>0</v>
      </c>
      <c r="N245" s="110">
        <v>0</v>
      </c>
      <c r="O245" s="110">
        <v>0</v>
      </c>
      <c r="P245" s="110">
        <v>4885.3100000000004</v>
      </c>
      <c r="Q245" s="110">
        <v>0</v>
      </c>
      <c r="R245" s="110">
        <v>0</v>
      </c>
      <c r="S245" s="110">
        <v>4885.3100000000004</v>
      </c>
      <c r="T245" s="110">
        <v>-4885.3100000000004</v>
      </c>
      <c r="U245" s="110">
        <v>0</v>
      </c>
      <c r="V245" s="110">
        <v>6213.03</v>
      </c>
      <c r="W245" s="110">
        <v>6213.03</v>
      </c>
      <c r="X245" s="111">
        <v>-11098.34</v>
      </c>
      <c r="Y245" s="72" t="str">
        <f>VLOOKUP(D245,'TKP 终端汇总'!A:A,1,0)</f>
        <v xml:space="preserve">August </v>
      </c>
    </row>
    <row r="246" spans="1:25" x14ac:dyDescent="0.2">
      <c r="A246" s="107" t="s">
        <v>301</v>
      </c>
      <c r="B246" s="107" t="s">
        <v>302</v>
      </c>
      <c r="C246" s="108" t="s">
        <v>303</v>
      </c>
      <c r="D246" s="107" t="s">
        <v>1159</v>
      </c>
      <c r="E246" s="109">
        <v>44302</v>
      </c>
      <c r="F246" s="109">
        <v>44315</v>
      </c>
      <c r="G246" s="110">
        <v>192500</v>
      </c>
      <c r="H246" s="110">
        <v>0</v>
      </c>
      <c r="I246" s="110">
        <v>0</v>
      </c>
      <c r="J246" s="110">
        <v>0</v>
      </c>
      <c r="K246" s="110">
        <v>0</v>
      </c>
      <c r="L246" s="110">
        <v>0</v>
      </c>
      <c r="M246" s="110">
        <v>0</v>
      </c>
      <c r="N246" s="110">
        <v>0</v>
      </c>
      <c r="O246" s="110">
        <v>0</v>
      </c>
      <c r="P246" s="110">
        <v>0</v>
      </c>
      <c r="Q246" s="110">
        <v>0</v>
      </c>
      <c r="R246" s="110">
        <v>0</v>
      </c>
      <c r="S246" s="110">
        <v>0</v>
      </c>
      <c r="T246" s="110">
        <v>0</v>
      </c>
      <c r="U246" s="110">
        <v>0</v>
      </c>
      <c r="V246" s="110">
        <v>42.17</v>
      </c>
      <c r="W246" s="110">
        <v>42.17</v>
      </c>
      <c r="X246" s="111">
        <v>-42.17</v>
      </c>
      <c r="Y246" s="72" t="str">
        <f>VLOOKUP(D246,'TKP 终端汇总'!A:A,1,0)</f>
        <v>炜盛</v>
      </c>
    </row>
    <row r="247" spans="1:25" x14ac:dyDescent="0.2">
      <c r="A247" s="107" t="s">
        <v>942</v>
      </c>
      <c r="B247" s="107" t="s">
        <v>952</v>
      </c>
      <c r="C247" s="108">
        <v>330</v>
      </c>
      <c r="D247" s="107" t="s">
        <v>1148</v>
      </c>
      <c r="E247" s="109">
        <v>44226</v>
      </c>
      <c r="F247" s="109">
        <v>42207</v>
      </c>
      <c r="G247" s="110">
        <v>0</v>
      </c>
      <c r="H247" s="110">
        <v>0</v>
      </c>
      <c r="I247" s="110">
        <v>0</v>
      </c>
      <c r="J247" s="110">
        <v>0</v>
      </c>
      <c r="K247" s="110">
        <v>0</v>
      </c>
      <c r="L247" s="110">
        <v>0</v>
      </c>
      <c r="M247" s="110">
        <v>0</v>
      </c>
      <c r="N247" s="110">
        <v>0</v>
      </c>
      <c r="O247" s="110">
        <v>0</v>
      </c>
      <c r="P247" s="110">
        <v>0</v>
      </c>
      <c r="Q247" s="110">
        <v>0</v>
      </c>
      <c r="R247" s="110">
        <v>0</v>
      </c>
      <c r="S247" s="110">
        <v>0</v>
      </c>
      <c r="T247" s="110">
        <v>0</v>
      </c>
      <c r="U247" s="110">
        <v>0</v>
      </c>
      <c r="V247" s="110">
        <v>0</v>
      </c>
      <c r="W247" s="110">
        <v>0</v>
      </c>
      <c r="X247" s="111">
        <v>0</v>
      </c>
      <c r="Y247" s="72" t="str">
        <f>VLOOKUP(D247,'TKP 终端汇总'!A:A,1,0)</f>
        <v>GN</v>
      </c>
    </row>
    <row r="248" spans="1:25" x14ac:dyDescent="0.2">
      <c r="A248" s="107" t="s">
        <v>943</v>
      </c>
      <c r="B248" s="107" t="s">
        <v>953</v>
      </c>
      <c r="C248" s="108" t="s">
        <v>96</v>
      </c>
      <c r="D248" s="107" t="s">
        <v>1194</v>
      </c>
      <c r="E248" s="109">
        <v>45049</v>
      </c>
      <c r="F248" s="109"/>
      <c r="G248" s="110">
        <v>2457000</v>
      </c>
      <c r="H248" s="110">
        <v>2419782.6</v>
      </c>
      <c r="I248" s="110">
        <v>0</v>
      </c>
      <c r="J248" s="110">
        <v>25587.07</v>
      </c>
      <c r="K248" s="110">
        <v>0</v>
      </c>
      <c r="L248" s="110">
        <v>0</v>
      </c>
      <c r="M248" s="110">
        <v>2445369.67</v>
      </c>
      <c r="N248" s="110">
        <v>4729354.8499999996</v>
      </c>
      <c r="O248" s="110">
        <v>0</v>
      </c>
      <c r="P248" s="110">
        <v>8283.06</v>
      </c>
      <c r="Q248" s="110">
        <v>48927.35</v>
      </c>
      <c r="R248" s="110">
        <v>179380.34</v>
      </c>
      <c r="S248" s="110">
        <v>4965945.5999999996</v>
      </c>
      <c r="T248" s="110">
        <v>-2520575.9300000006</v>
      </c>
      <c r="U248" s="110">
        <v>10440.140000000001</v>
      </c>
      <c r="V248" s="110">
        <v>28501.79</v>
      </c>
      <c r="W248" s="110">
        <v>38941.93</v>
      </c>
      <c r="X248" s="111">
        <v>-2559517.8600000008</v>
      </c>
      <c r="Y248" s="72" t="str">
        <f>VLOOKUP(D248,'TKP 终端汇总'!A:A,1,0)</f>
        <v>通力</v>
      </c>
    </row>
    <row r="249" spans="1:25" x14ac:dyDescent="0.2">
      <c r="A249" s="107" t="s">
        <v>957</v>
      </c>
      <c r="B249" s="107" t="s">
        <v>958</v>
      </c>
      <c r="C249" s="108" t="s">
        <v>56</v>
      </c>
      <c r="D249" s="107" t="s">
        <v>1151</v>
      </c>
      <c r="E249" s="109">
        <v>45091</v>
      </c>
      <c r="F249" s="109"/>
      <c r="G249" s="110">
        <v>485600</v>
      </c>
      <c r="H249" s="110">
        <v>161161.64000000001</v>
      </c>
      <c r="I249" s="110">
        <v>0</v>
      </c>
      <c r="J249" s="110">
        <v>0</v>
      </c>
      <c r="K249" s="110">
        <v>0</v>
      </c>
      <c r="L249" s="110">
        <v>0</v>
      </c>
      <c r="M249" s="110">
        <v>161161.64000000001</v>
      </c>
      <c r="N249" s="110">
        <v>234913.8</v>
      </c>
      <c r="O249" s="110">
        <v>0</v>
      </c>
      <c r="P249" s="110">
        <v>5037.72</v>
      </c>
      <c r="Q249" s="110">
        <v>5798.99</v>
      </c>
      <c r="R249" s="110">
        <v>39232.47</v>
      </c>
      <c r="S249" s="110">
        <v>284982.98</v>
      </c>
      <c r="T249" s="110">
        <v>-123821.33999999997</v>
      </c>
      <c r="U249" s="110">
        <v>11208.14</v>
      </c>
      <c r="V249" s="110">
        <v>0</v>
      </c>
      <c r="W249" s="110">
        <v>11208.14</v>
      </c>
      <c r="X249" s="111">
        <v>-135029.47999999998</v>
      </c>
      <c r="Y249" s="72" t="str">
        <f>VLOOKUP(D249,'TKP 终端汇总'!A:A,1,0)</f>
        <v>合元</v>
      </c>
    </row>
    <row r="250" spans="1:25" x14ac:dyDescent="0.2">
      <c r="A250" s="107" t="s">
        <v>959</v>
      </c>
      <c r="B250" s="107" t="s">
        <v>960</v>
      </c>
      <c r="C250" s="108" t="s">
        <v>961</v>
      </c>
      <c r="D250" s="107" t="s">
        <v>1184</v>
      </c>
      <c r="E250" s="109">
        <v>45068</v>
      </c>
      <c r="F250" s="109"/>
      <c r="G250" s="110">
        <v>834000</v>
      </c>
      <c r="H250" s="110">
        <v>0</v>
      </c>
      <c r="I250" s="110">
        <v>0</v>
      </c>
      <c r="J250" s="110">
        <v>0</v>
      </c>
      <c r="K250" s="110">
        <v>0</v>
      </c>
      <c r="L250" s="110">
        <v>0</v>
      </c>
      <c r="M250" s="110">
        <v>0</v>
      </c>
      <c r="N250" s="110">
        <v>0</v>
      </c>
      <c r="O250" s="110">
        <v>0</v>
      </c>
      <c r="P250" s="110">
        <v>0</v>
      </c>
      <c r="Q250" s="110">
        <v>21853.02</v>
      </c>
      <c r="R250" s="110">
        <v>96937.29</v>
      </c>
      <c r="S250" s="110">
        <v>118790.31</v>
      </c>
      <c r="T250" s="110">
        <v>-118790.31</v>
      </c>
      <c r="U250" s="110">
        <v>0</v>
      </c>
      <c r="V250" s="110">
        <v>0</v>
      </c>
      <c r="W250" s="110">
        <v>0</v>
      </c>
      <c r="X250" s="111">
        <v>-118790.31</v>
      </c>
      <c r="Y250" s="72" t="str">
        <f>VLOOKUP(D250,'TKP 终端汇总'!A:A,1,0)</f>
        <v>贝泰妮</v>
      </c>
    </row>
    <row r="251" spans="1:25" x14ac:dyDescent="0.2">
      <c r="A251" s="107" t="s">
        <v>963</v>
      </c>
      <c r="B251" s="107" t="s">
        <v>964</v>
      </c>
      <c r="C251" s="108" t="s">
        <v>166</v>
      </c>
      <c r="D251" s="107" t="s">
        <v>475</v>
      </c>
      <c r="E251" s="109">
        <v>44526</v>
      </c>
      <c r="F251" s="109"/>
      <c r="G251" s="110">
        <v>0</v>
      </c>
      <c r="H251" s="110">
        <v>0</v>
      </c>
      <c r="I251" s="110">
        <v>0</v>
      </c>
      <c r="J251" s="110">
        <v>0</v>
      </c>
      <c r="K251" s="110">
        <v>0</v>
      </c>
      <c r="L251" s="110">
        <v>0</v>
      </c>
      <c r="M251" s="110">
        <v>0</v>
      </c>
      <c r="N251" s="110">
        <v>0</v>
      </c>
      <c r="O251" s="110">
        <v>0</v>
      </c>
      <c r="P251" s="110">
        <v>0</v>
      </c>
      <c r="Q251" s="110">
        <v>0</v>
      </c>
      <c r="R251" s="110">
        <v>0</v>
      </c>
      <c r="S251" s="110">
        <v>0</v>
      </c>
      <c r="T251" s="110">
        <v>0</v>
      </c>
      <c r="U251" s="110">
        <v>0</v>
      </c>
      <c r="V251" s="110">
        <v>0</v>
      </c>
      <c r="W251" s="110">
        <v>0</v>
      </c>
      <c r="X251" s="111">
        <v>0</v>
      </c>
      <c r="Y251" s="72" t="str">
        <f>VLOOKUP(D251,'TKP 终端汇总'!A:A,1,0)</f>
        <v>韶音</v>
      </c>
    </row>
    <row r="252" spans="1:25" x14ac:dyDescent="0.2">
      <c r="A252" s="107" t="s">
        <v>965</v>
      </c>
      <c r="B252" s="107" t="s">
        <v>966</v>
      </c>
      <c r="C252" s="108" t="s">
        <v>56</v>
      </c>
      <c r="D252" s="107" t="s">
        <v>1151</v>
      </c>
      <c r="E252" s="109">
        <v>44226</v>
      </c>
      <c r="F252" s="109">
        <v>44195</v>
      </c>
      <c r="G252" s="110">
        <v>0</v>
      </c>
      <c r="H252" s="110">
        <v>0</v>
      </c>
      <c r="I252" s="110">
        <v>0</v>
      </c>
      <c r="J252" s="110">
        <v>0</v>
      </c>
      <c r="K252" s="110">
        <v>0</v>
      </c>
      <c r="L252" s="110">
        <v>0</v>
      </c>
      <c r="M252" s="110">
        <v>0</v>
      </c>
      <c r="N252" s="110">
        <v>0</v>
      </c>
      <c r="O252" s="110">
        <v>0</v>
      </c>
      <c r="P252" s="110">
        <v>0</v>
      </c>
      <c r="Q252" s="110">
        <v>0</v>
      </c>
      <c r="R252" s="110">
        <v>0</v>
      </c>
      <c r="S252" s="110">
        <v>0</v>
      </c>
      <c r="T252" s="110">
        <v>0</v>
      </c>
      <c r="U252" s="110">
        <v>0</v>
      </c>
      <c r="V252" s="110">
        <v>0</v>
      </c>
      <c r="W252" s="110">
        <v>0</v>
      </c>
      <c r="X252" s="111">
        <v>0</v>
      </c>
      <c r="Y252" s="72" t="str">
        <f>VLOOKUP(D252,'TKP 终端汇总'!A:A,1,0)</f>
        <v>合元</v>
      </c>
    </row>
    <row r="253" spans="1:25" x14ac:dyDescent="0.2">
      <c r="A253" s="107" t="s">
        <v>967</v>
      </c>
      <c r="B253" s="107" t="s">
        <v>968</v>
      </c>
      <c r="C253" s="108" t="s">
        <v>762</v>
      </c>
      <c r="D253" s="107" t="s">
        <v>1230</v>
      </c>
      <c r="E253" s="109">
        <v>44226</v>
      </c>
      <c r="F253" s="109">
        <v>42391</v>
      </c>
      <c r="G253" s="110">
        <v>0</v>
      </c>
      <c r="H253" s="110">
        <v>0</v>
      </c>
      <c r="I253" s="110">
        <v>0</v>
      </c>
      <c r="J253" s="110">
        <v>0</v>
      </c>
      <c r="K253" s="110">
        <v>0</v>
      </c>
      <c r="L253" s="110">
        <v>0</v>
      </c>
      <c r="M253" s="110">
        <v>0</v>
      </c>
      <c r="N253" s="110">
        <v>0</v>
      </c>
      <c r="O253" s="110">
        <v>0</v>
      </c>
      <c r="P253" s="110">
        <v>0</v>
      </c>
      <c r="Q253" s="110">
        <v>0</v>
      </c>
      <c r="R253" s="110">
        <v>0</v>
      </c>
      <c r="S253" s="110">
        <v>0</v>
      </c>
      <c r="T253" s="110">
        <v>0</v>
      </c>
      <c r="U253" s="110">
        <v>0</v>
      </c>
      <c r="V253" s="110">
        <v>0</v>
      </c>
      <c r="W253" s="110">
        <v>0</v>
      </c>
      <c r="X253" s="111">
        <v>0</v>
      </c>
      <c r="Y253" s="72" t="str">
        <f>VLOOKUP(D253,'TKP 终端汇总'!A:A,1,0)</f>
        <v>康乐保</v>
      </c>
    </row>
    <row r="254" spans="1:25" x14ac:dyDescent="0.2">
      <c r="A254" s="107" t="s">
        <v>969</v>
      </c>
      <c r="B254" s="107" t="s">
        <v>970</v>
      </c>
      <c r="C254" s="108" t="s">
        <v>762</v>
      </c>
      <c r="D254" s="107" t="s">
        <v>1230</v>
      </c>
      <c r="E254" s="109">
        <v>44226</v>
      </c>
      <c r="F254" s="109">
        <v>43763</v>
      </c>
      <c r="G254" s="110">
        <v>0</v>
      </c>
      <c r="H254" s="110">
        <v>0</v>
      </c>
      <c r="I254" s="110">
        <v>0</v>
      </c>
      <c r="J254" s="110">
        <v>0</v>
      </c>
      <c r="K254" s="110">
        <v>0</v>
      </c>
      <c r="L254" s="110">
        <v>0</v>
      </c>
      <c r="M254" s="110">
        <v>0</v>
      </c>
      <c r="N254" s="110">
        <v>0</v>
      </c>
      <c r="O254" s="110">
        <v>0</v>
      </c>
      <c r="P254" s="110">
        <v>0</v>
      </c>
      <c r="Q254" s="110">
        <v>0</v>
      </c>
      <c r="R254" s="110">
        <v>0</v>
      </c>
      <c r="S254" s="110">
        <v>0</v>
      </c>
      <c r="T254" s="110">
        <v>0</v>
      </c>
      <c r="U254" s="110">
        <v>0</v>
      </c>
      <c r="V254" s="110">
        <v>0</v>
      </c>
      <c r="W254" s="110">
        <v>0</v>
      </c>
      <c r="X254" s="111">
        <v>0</v>
      </c>
      <c r="Y254" s="72" t="str">
        <f>VLOOKUP(D254,'TKP 终端汇总'!A:A,1,0)</f>
        <v>康乐保</v>
      </c>
    </row>
    <row r="255" spans="1:25" x14ac:dyDescent="0.2">
      <c r="A255" s="107" t="s">
        <v>446</v>
      </c>
      <c r="B255" s="107" t="s">
        <v>447</v>
      </c>
      <c r="C255" s="108" t="s">
        <v>204</v>
      </c>
      <c r="D255" s="107" t="s">
        <v>1163</v>
      </c>
      <c r="E255" s="109">
        <v>44226</v>
      </c>
      <c r="F255" s="109">
        <v>42718</v>
      </c>
      <c r="G255" s="110">
        <v>0</v>
      </c>
      <c r="H255" s="110">
        <v>0</v>
      </c>
      <c r="I255" s="110">
        <v>0</v>
      </c>
      <c r="J255" s="110">
        <v>0</v>
      </c>
      <c r="K255" s="110">
        <v>0</v>
      </c>
      <c r="L255" s="110">
        <v>0</v>
      </c>
      <c r="M255" s="110">
        <v>0</v>
      </c>
      <c r="N255" s="110">
        <v>0</v>
      </c>
      <c r="O255" s="110">
        <v>0</v>
      </c>
      <c r="P255" s="110">
        <v>0</v>
      </c>
      <c r="Q255" s="110">
        <v>0</v>
      </c>
      <c r="R255" s="110">
        <v>0</v>
      </c>
      <c r="S255" s="110">
        <v>0</v>
      </c>
      <c r="T255" s="110">
        <v>0</v>
      </c>
      <c r="U255" s="110">
        <v>22758.73</v>
      </c>
      <c r="V255" s="110">
        <v>0</v>
      </c>
      <c r="W255" s="110">
        <v>22758.73</v>
      </c>
      <c r="X255" s="111">
        <v>-22758.73</v>
      </c>
      <c r="Y255" s="72" t="str">
        <f>VLOOKUP(D255,'TKP 终端汇总'!A:A,1,0)</f>
        <v>Sensirion</v>
      </c>
    </row>
    <row r="256" spans="1:25" x14ac:dyDescent="0.2">
      <c r="A256" s="107" t="s">
        <v>971</v>
      </c>
      <c r="B256" s="107" t="s">
        <v>972</v>
      </c>
      <c r="C256" s="108" t="s">
        <v>933</v>
      </c>
      <c r="D256" s="107" t="s">
        <v>1238</v>
      </c>
      <c r="E256" s="109">
        <v>45105</v>
      </c>
      <c r="F256" s="109"/>
      <c r="G256" s="110">
        <v>79200</v>
      </c>
      <c r="H256" s="110">
        <v>0</v>
      </c>
      <c r="I256" s="110">
        <v>0</v>
      </c>
      <c r="J256" s="110">
        <v>0</v>
      </c>
      <c r="K256" s="110">
        <v>0</v>
      </c>
      <c r="L256" s="110">
        <v>0</v>
      </c>
      <c r="M256" s="110">
        <v>0</v>
      </c>
      <c r="N256" s="110">
        <v>21518.720000000001</v>
      </c>
      <c r="O256" s="110">
        <v>0</v>
      </c>
      <c r="P256" s="110">
        <v>0</v>
      </c>
      <c r="Q256" s="110">
        <v>0</v>
      </c>
      <c r="R256" s="110">
        <v>1880.56</v>
      </c>
      <c r="S256" s="110">
        <v>23399.279999999999</v>
      </c>
      <c r="T256" s="110">
        <v>-23399.279999999999</v>
      </c>
      <c r="U256" s="110">
        <v>0</v>
      </c>
      <c r="V256" s="110">
        <v>0</v>
      </c>
      <c r="W256" s="110">
        <v>0</v>
      </c>
      <c r="X256" s="111">
        <v>-23399.279999999999</v>
      </c>
      <c r="Y256" s="72" t="str">
        <f>VLOOKUP(D256,'TKP 终端汇总'!A:A,1,0)</f>
        <v>陆逊梯卡</v>
      </c>
    </row>
    <row r="257" spans="1:25" x14ac:dyDescent="0.2">
      <c r="A257" s="107" t="s">
        <v>973</v>
      </c>
      <c r="B257" s="107" t="s">
        <v>974</v>
      </c>
      <c r="C257" s="108" t="s">
        <v>122</v>
      </c>
      <c r="D257" s="107" t="s">
        <v>1370</v>
      </c>
      <c r="E257" s="109">
        <v>45117</v>
      </c>
      <c r="F257" s="109"/>
      <c r="G257" s="110">
        <v>424944.8</v>
      </c>
      <c r="H257" s="110">
        <v>0</v>
      </c>
      <c r="I257" s="110">
        <v>0</v>
      </c>
      <c r="J257" s="110">
        <v>98007</v>
      </c>
      <c r="K257" s="110">
        <v>0</v>
      </c>
      <c r="L257" s="110">
        <v>0</v>
      </c>
      <c r="M257" s="110">
        <v>98007</v>
      </c>
      <c r="N257" s="110">
        <v>0</v>
      </c>
      <c r="O257" s="110">
        <v>0</v>
      </c>
      <c r="P257" s="110">
        <v>0</v>
      </c>
      <c r="Q257" s="110">
        <v>0</v>
      </c>
      <c r="R257" s="110">
        <v>0</v>
      </c>
      <c r="S257" s="110">
        <v>0</v>
      </c>
      <c r="T257" s="110">
        <v>98007</v>
      </c>
      <c r="U257" s="110">
        <v>30497.73</v>
      </c>
      <c r="V257" s="110">
        <v>0</v>
      </c>
      <c r="W257" s="110">
        <v>30497.73</v>
      </c>
      <c r="X257" s="111">
        <v>67509.27</v>
      </c>
      <c r="Y257" s="72" t="str">
        <f>VLOOKUP(D257,'TKP 终端汇总'!A:A,1,0)</f>
        <v>Meta</v>
      </c>
    </row>
    <row r="258" spans="1:25" x14ac:dyDescent="0.2">
      <c r="A258" s="107" t="s">
        <v>976</v>
      </c>
      <c r="B258" s="107" t="s">
        <v>977</v>
      </c>
      <c r="C258" s="108">
        <v>330</v>
      </c>
      <c r="D258" s="107" t="s">
        <v>1148</v>
      </c>
      <c r="E258" s="109">
        <v>45145</v>
      </c>
      <c r="F258" s="109"/>
      <c r="G258" s="110">
        <v>0</v>
      </c>
      <c r="H258" s="110">
        <v>54600</v>
      </c>
      <c r="I258" s="110">
        <v>0</v>
      </c>
      <c r="J258" s="110">
        <v>639.6</v>
      </c>
      <c r="K258" s="110">
        <v>0</v>
      </c>
      <c r="L258" s="110">
        <v>0</v>
      </c>
      <c r="M258" s="110">
        <v>55239.6</v>
      </c>
      <c r="N258" s="110">
        <v>51480</v>
      </c>
      <c r="O258" s="110">
        <v>0</v>
      </c>
      <c r="P258" s="110">
        <v>0</v>
      </c>
      <c r="Q258" s="110">
        <v>8878.2099999999991</v>
      </c>
      <c r="R258" s="110">
        <v>1243.98</v>
      </c>
      <c r="S258" s="110">
        <v>61602.19</v>
      </c>
      <c r="T258" s="110">
        <v>-6362.5899999999992</v>
      </c>
      <c r="U258" s="110">
        <v>0</v>
      </c>
      <c r="V258" s="110">
        <v>4937.84</v>
      </c>
      <c r="W258" s="110">
        <v>4937.84</v>
      </c>
      <c r="X258" s="111">
        <v>-11300.43</v>
      </c>
      <c r="Y258" s="72" t="str">
        <f>VLOOKUP(D258,'TKP 终端汇总'!A:A,1,0)</f>
        <v>GN</v>
      </c>
    </row>
    <row r="259" spans="1:25" x14ac:dyDescent="0.2">
      <c r="A259" s="107" t="s">
        <v>978</v>
      </c>
      <c r="B259" s="107" t="s">
        <v>979</v>
      </c>
      <c r="C259" s="108" t="s">
        <v>748</v>
      </c>
      <c r="D259" s="107" t="s">
        <v>1160</v>
      </c>
      <c r="E259" s="109">
        <v>45061</v>
      </c>
      <c r="F259" s="109"/>
      <c r="G259" s="110">
        <v>38500</v>
      </c>
      <c r="H259" s="110">
        <v>46075.25</v>
      </c>
      <c r="I259" s="110">
        <v>0</v>
      </c>
      <c r="J259" s="110">
        <v>0</v>
      </c>
      <c r="K259" s="110">
        <v>0</v>
      </c>
      <c r="L259" s="110">
        <v>0</v>
      </c>
      <c r="M259" s="110">
        <v>46075.25</v>
      </c>
      <c r="N259" s="110">
        <v>66528.790000000008</v>
      </c>
      <c r="O259" s="110">
        <v>0</v>
      </c>
      <c r="P259" s="110">
        <v>0</v>
      </c>
      <c r="Q259" s="110">
        <v>13644.69</v>
      </c>
      <c r="R259" s="110">
        <v>0</v>
      </c>
      <c r="S259" s="110">
        <v>80173.48000000001</v>
      </c>
      <c r="T259" s="110">
        <v>-34098.230000000003</v>
      </c>
      <c r="U259" s="110">
        <v>0</v>
      </c>
      <c r="V259" s="110">
        <v>0</v>
      </c>
      <c r="W259" s="110">
        <v>0</v>
      </c>
      <c r="X259" s="111">
        <v>-34098.230000000003</v>
      </c>
      <c r="Y259" s="72" t="str">
        <f>VLOOKUP(D259,'TKP 终端汇总'!A:A,1,0)</f>
        <v>TCL</v>
      </c>
    </row>
    <row r="260" spans="1:25" x14ac:dyDescent="0.2">
      <c r="A260" s="107" t="s">
        <v>980</v>
      </c>
      <c r="B260" s="107" t="s">
        <v>981</v>
      </c>
      <c r="C260" s="108" t="s">
        <v>56</v>
      </c>
      <c r="D260" s="107" t="s">
        <v>1151</v>
      </c>
      <c r="E260" s="109">
        <v>45133</v>
      </c>
      <c r="F260" s="109"/>
      <c r="G260" s="110">
        <v>648900</v>
      </c>
      <c r="H260" s="110">
        <v>0</v>
      </c>
      <c r="I260" s="110">
        <v>0</v>
      </c>
      <c r="J260" s="110">
        <v>0</v>
      </c>
      <c r="K260" s="110">
        <v>0</v>
      </c>
      <c r="L260" s="110">
        <v>0</v>
      </c>
      <c r="M260" s="110">
        <v>0</v>
      </c>
      <c r="N260" s="110">
        <v>0</v>
      </c>
      <c r="O260" s="110">
        <v>0</v>
      </c>
      <c r="P260" s="110">
        <v>318030.03999999998</v>
      </c>
      <c r="Q260" s="110">
        <v>0</v>
      </c>
      <c r="R260" s="110">
        <v>0</v>
      </c>
      <c r="S260" s="110">
        <v>318030.03999999998</v>
      </c>
      <c r="T260" s="110">
        <v>-318030.03999999998</v>
      </c>
      <c r="U260" s="110">
        <v>0</v>
      </c>
      <c r="V260" s="110">
        <v>0</v>
      </c>
      <c r="W260" s="110">
        <v>0</v>
      </c>
      <c r="X260" s="111">
        <v>-318030.03999999998</v>
      </c>
      <c r="Y260" s="72" t="str">
        <f>VLOOKUP(D260,'TKP 终端汇总'!A:A,1,0)</f>
        <v>合元</v>
      </c>
    </row>
    <row r="261" spans="1:25" x14ac:dyDescent="0.2">
      <c r="A261" s="107" t="s">
        <v>982</v>
      </c>
      <c r="B261" s="107" t="s">
        <v>983</v>
      </c>
      <c r="C261" s="108">
        <v>404</v>
      </c>
      <c r="D261" s="107" t="s">
        <v>1153</v>
      </c>
      <c r="E261" s="109">
        <v>44226</v>
      </c>
      <c r="F261" s="109">
        <v>43430</v>
      </c>
      <c r="G261" s="110">
        <v>0</v>
      </c>
      <c r="H261" s="110">
        <v>0</v>
      </c>
      <c r="I261" s="110">
        <v>0</v>
      </c>
      <c r="J261" s="110">
        <v>0</v>
      </c>
      <c r="K261" s="110">
        <v>0</v>
      </c>
      <c r="L261" s="110">
        <v>0</v>
      </c>
      <c r="M261" s="110">
        <v>0</v>
      </c>
      <c r="N261" s="110">
        <v>0</v>
      </c>
      <c r="O261" s="110">
        <v>0</v>
      </c>
      <c r="P261" s="110">
        <v>0</v>
      </c>
      <c r="Q261" s="110">
        <v>0</v>
      </c>
      <c r="R261" s="110">
        <v>0</v>
      </c>
      <c r="S261" s="110">
        <v>0</v>
      </c>
      <c r="T261" s="110">
        <v>0</v>
      </c>
      <c r="U261" s="110">
        <v>0</v>
      </c>
      <c r="V261" s="110">
        <v>0</v>
      </c>
      <c r="W261" s="110">
        <v>0</v>
      </c>
      <c r="X261" s="111">
        <v>0</v>
      </c>
      <c r="Y261" s="72" t="str">
        <f>VLOOKUP(D261,'TKP 终端汇总'!A:A,1,0)</f>
        <v>Google</v>
      </c>
    </row>
    <row r="262" spans="1:25" x14ac:dyDescent="0.2">
      <c r="A262" s="107" t="s">
        <v>417</v>
      </c>
      <c r="B262" s="107" t="s">
        <v>418</v>
      </c>
      <c r="C262" s="108">
        <v>360</v>
      </c>
      <c r="D262" s="107" t="s">
        <v>1153</v>
      </c>
      <c r="E262" s="109">
        <v>44226</v>
      </c>
      <c r="F262" s="109">
        <v>43655</v>
      </c>
      <c r="G262" s="110">
        <v>0</v>
      </c>
      <c r="H262" s="110">
        <v>0</v>
      </c>
      <c r="I262" s="110">
        <v>0</v>
      </c>
      <c r="J262" s="110">
        <v>0</v>
      </c>
      <c r="K262" s="110">
        <v>0</v>
      </c>
      <c r="L262" s="110">
        <v>0</v>
      </c>
      <c r="M262" s="110">
        <v>0</v>
      </c>
      <c r="N262" s="110">
        <v>0</v>
      </c>
      <c r="O262" s="110">
        <v>0</v>
      </c>
      <c r="P262" s="110">
        <v>0</v>
      </c>
      <c r="Q262" s="110">
        <v>0</v>
      </c>
      <c r="R262" s="110">
        <v>0</v>
      </c>
      <c r="S262" s="110">
        <v>0</v>
      </c>
      <c r="T262" s="110">
        <v>0</v>
      </c>
      <c r="U262" s="110">
        <v>0</v>
      </c>
      <c r="V262" s="110">
        <v>0</v>
      </c>
      <c r="W262" s="110">
        <v>0</v>
      </c>
      <c r="X262" s="111">
        <v>0</v>
      </c>
      <c r="Y262" s="72" t="str">
        <f>VLOOKUP(D262,'TKP 终端汇总'!A:A,1,0)</f>
        <v>Google</v>
      </c>
    </row>
    <row r="263" spans="1:25" x14ac:dyDescent="0.2">
      <c r="A263" s="107" t="s">
        <v>986</v>
      </c>
      <c r="B263" s="107" t="s">
        <v>987</v>
      </c>
      <c r="C263" s="108">
        <v>360</v>
      </c>
      <c r="D263" s="107" t="s">
        <v>1153</v>
      </c>
      <c r="E263" s="109">
        <v>44226</v>
      </c>
      <c r="F263" s="109">
        <v>43761</v>
      </c>
      <c r="G263" s="110">
        <v>0</v>
      </c>
      <c r="H263" s="110">
        <v>0</v>
      </c>
      <c r="I263" s="110">
        <v>0</v>
      </c>
      <c r="J263" s="110">
        <v>0</v>
      </c>
      <c r="K263" s="110">
        <v>0</v>
      </c>
      <c r="L263" s="110">
        <v>0</v>
      </c>
      <c r="M263" s="110">
        <v>0</v>
      </c>
      <c r="N263" s="110">
        <v>0</v>
      </c>
      <c r="O263" s="110">
        <v>0</v>
      </c>
      <c r="P263" s="110">
        <v>7221.4400000000005</v>
      </c>
      <c r="Q263" s="110">
        <v>0</v>
      </c>
      <c r="R263" s="110">
        <v>0</v>
      </c>
      <c r="S263" s="110">
        <v>7221.4400000000005</v>
      </c>
      <c r="T263" s="110">
        <v>-7221.4400000000005</v>
      </c>
      <c r="U263" s="110">
        <v>0</v>
      </c>
      <c r="V263" s="110">
        <v>0</v>
      </c>
      <c r="W263" s="110">
        <v>0</v>
      </c>
      <c r="X263" s="111">
        <v>-7221.4400000000005</v>
      </c>
      <c r="Y263" s="72" t="str">
        <f>VLOOKUP(D263,'TKP 终端汇总'!A:A,1,0)</f>
        <v>Google</v>
      </c>
    </row>
    <row r="264" spans="1:25" x14ac:dyDescent="0.2">
      <c r="A264" s="107" t="s">
        <v>988</v>
      </c>
      <c r="B264" s="107" t="s">
        <v>989</v>
      </c>
      <c r="C264" s="108">
        <v>360</v>
      </c>
      <c r="D264" s="107" t="s">
        <v>1153</v>
      </c>
      <c r="E264" s="109">
        <v>44226</v>
      </c>
      <c r="F264" s="109">
        <v>43038</v>
      </c>
      <c r="G264" s="110">
        <v>0</v>
      </c>
      <c r="H264" s="110">
        <v>0</v>
      </c>
      <c r="I264" s="110">
        <v>0</v>
      </c>
      <c r="J264" s="110">
        <v>0</v>
      </c>
      <c r="K264" s="110">
        <v>0</v>
      </c>
      <c r="L264" s="110">
        <v>0</v>
      </c>
      <c r="M264" s="110">
        <v>0</v>
      </c>
      <c r="N264" s="110">
        <v>0</v>
      </c>
      <c r="O264" s="110">
        <v>0</v>
      </c>
      <c r="P264" s="110">
        <v>0</v>
      </c>
      <c r="Q264" s="110">
        <v>0</v>
      </c>
      <c r="R264" s="110">
        <v>0</v>
      </c>
      <c r="S264" s="110">
        <v>0</v>
      </c>
      <c r="T264" s="110">
        <v>0</v>
      </c>
      <c r="U264" s="110">
        <v>0</v>
      </c>
      <c r="V264" s="110">
        <v>0</v>
      </c>
      <c r="W264" s="110">
        <v>0</v>
      </c>
      <c r="X264" s="111">
        <v>0</v>
      </c>
      <c r="Y264" s="72" t="str">
        <f>VLOOKUP(D264,'TKP 终端汇总'!A:A,1,0)</f>
        <v>Google</v>
      </c>
    </row>
    <row r="265" spans="1:25" x14ac:dyDescent="0.2">
      <c r="A265" s="107" t="s">
        <v>456</v>
      </c>
      <c r="B265" s="107" t="s">
        <v>457</v>
      </c>
      <c r="C265" s="108" t="s">
        <v>208</v>
      </c>
      <c r="D265" s="107" t="s">
        <v>1177</v>
      </c>
      <c r="E265" s="109">
        <v>44226</v>
      </c>
      <c r="F265" s="109">
        <v>42811</v>
      </c>
      <c r="G265" s="110">
        <v>0</v>
      </c>
      <c r="H265" s="110">
        <v>0</v>
      </c>
      <c r="I265" s="110">
        <v>0</v>
      </c>
      <c r="J265" s="110">
        <v>0</v>
      </c>
      <c r="K265" s="110">
        <v>0</v>
      </c>
      <c r="L265" s="110">
        <v>0</v>
      </c>
      <c r="M265" s="110">
        <v>0</v>
      </c>
      <c r="N265" s="110">
        <v>0</v>
      </c>
      <c r="O265" s="110">
        <v>0</v>
      </c>
      <c r="P265" s="110">
        <v>0</v>
      </c>
      <c r="Q265" s="110">
        <v>0</v>
      </c>
      <c r="R265" s="110">
        <v>0</v>
      </c>
      <c r="S265" s="110">
        <v>0</v>
      </c>
      <c r="T265" s="110">
        <v>0</v>
      </c>
      <c r="U265" s="110">
        <v>0</v>
      </c>
      <c r="V265" s="110">
        <v>0</v>
      </c>
      <c r="W265" s="110">
        <v>0</v>
      </c>
      <c r="X265" s="111">
        <v>0</v>
      </c>
      <c r="Y265" s="72" t="str">
        <f>VLOOKUP(D265,'TKP 终端汇总'!A:A,1,0)</f>
        <v>POLYCOM</v>
      </c>
    </row>
    <row r="266" spans="1:25" x14ac:dyDescent="0.2">
      <c r="A266" s="107" t="s">
        <v>253</v>
      </c>
      <c r="B266" s="107" t="s">
        <v>254</v>
      </c>
      <c r="C266" s="108">
        <v>438</v>
      </c>
      <c r="D266" s="107" t="s">
        <v>1157</v>
      </c>
      <c r="E266" s="109">
        <v>44302</v>
      </c>
      <c r="F266" s="109">
        <v>44364</v>
      </c>
      <c r="G266" s="110">
        <v>523426.2</v>
      </c>
      <c r="H266" s="110">
        <v>0</v>
      </c>
      <c r="I266" s="110">
        <v>0</v>
      </c>
      <c r="J266" s="110">
        <v>0</v>
      </c>
      <c r="K266" s="110">
        <v>0</v>
      </c>
      <c r="L266" s="110">
        <v>0</v>
      </c>
      <c r="M266" s="110">
        <v>0</v>
      </c>
      <c r="N266" s="110">
        <v>0</v>
      </c>
      <c r="O266" s="110">
        <v>0</v>
      </c>
      <c r="P266" s="110">
        <v>0</v>
      </c>
      <c r="Q266" s="110">
        <v>0</v>
      </c>
      <c r="R266" s="110">
        <v>0</v>
      </c>
      <c r="S266" s="110">
        <v>0</v>
      </c>
      <c r="T266" s="110">
        <v>0</v>
      </c>
      <c r="U266" s="110">
        <v>0</v>
      </c>
      <c r="V266" s="110">
        <v>0</v>
      </c>
      <c r="W266" s="110">
        <v>0</v>
      </c>
      <c r="X266" s="111">
        <v>0</v>
      </c>
      <c r="Y266" s="72" t="str">
        <f>VLOOKUP(D266,'TKP 终端汇总'!A:A,1,0)</f>
        <v>PHILIPS</v>
      </c>
    </row>
    <row r="267" spans="1:25" x14ac:dyDescent="0.2">
      <c r="A267" s="107" t="s">
        <v>512</v>
      </c>
      <c r="B267" s="107" t="s">
        <v>513</v>
      </c>
      <c r="C267" s="108">
        <v>330</v>
      </c>
      <c r="D267" s="107" t="s">
        <v>1148</v>
      </c>
      <c r="E267" s="109">
        <v>44226</v>
      </c>
      <c r="F267" s="109">
        <v>42306</v>
      </c>
      <c r="G267" s="110">
        <v>0</v>
      </c>
      <c r="H267" s="110">
        <v>0</v>
      </c>
      <c r="I267" s="110">
        <v>0</v>
      </c>
      <c r="J267" s="110">
        <v>0</v>
      </c>
      <c r="K267" s="110">
        <v>0</v>
      </c>
      <c r="L267" s="110">
        <v>0</v>
      </c>
      <c r="M267" s="110">
        <v>0</v>
      </c>
      <c r="N267" s="110">
        <v>0</v>
      </c>
      <c r="O267" s="110">
        <v>0</v>
      </c>
      <c r="P267" s="110">
        <v>0</v>
      </c>
      <c r="Q267" s="110">
        <v>0</v>
      </c>
      <c r="R267" s="110">
        <v>0</v>
      </c>
      <c r="S267" s="110">
        <v>0</v>
      </c>
      <c r="T267" s="110">
        <v>0</v>
      </c>
      <c r="U267" s="110">
        <v>0</v>
      </c>
      <c r="V267" s="110">
        <v>0</v>
      </c>
      <c r="W267" s="110">
        <v>0</v>
      </c>
      <c r="X267" s="111">
        <v>0</v>
      </c>
      <c r="Y267" s="72" t="str">
        <f>VLOOKUP(D267,'TKP 终端汇总'!A:A,1,0)</f>
        <v>GN</v>
      </c>
    </row>
    <row r="268" spans="1:25" x14ac:dyDescent="0.2">
      <c r="A268" s="107" t="s">
        <v>993</v>
      </c>
      <c r="B268" s="107" t="s">
        <v>994</v>
      </c>
      <c r="C268" s="108">
        <v>404</v>
      </c>
      <c r="D268" s="107" t="s">
        <v>1153</v>
      </c>
      <c r="E268" s="109">
        <v>44226</v>
      </c>
      <c r="F268" s="109">
        <v>42208</v>
      </c>
      <c r="G268" s="110">
        <v>0</v>
      </c>
      <c r="H268" s="110">
        <v>0</v>
      </c>
      <c r="I268" s="110">
        <v>0</v>
      </c>
      <c r="J268" s="110">
        <v>0</v>
      </c>
      <c r="K268" s="110">
        <v>0</v>
      </c>
      <c r="L268" s="110">
        <v>0</v>
      </c>
      <c r="M268" s="110">
        <v>0</v>
      </c>
      <c r="N268" s="110">
        <v>0</v>
      </c>
      <c r="O268" s="110">
        <v>0</v>
      </c>
      <c r="P268" s="110">
        <v>0</v>
      </c>
      <c r="Q268" s="110">
        <v>0</v>
      </c>
      <c r="R268" s="110">
        <v>0</v>
      </c>
      <c r="S268" s="110">
        <v>0</v>
      </c>
      <c r="T268" s="110">
        <v>0</v>
      </c>
      <c r="U268" s="110">
        <v>0</v>
      </c>
      <c r="V268" s="110">
        <v>0</v>
      </c>
      <c r="W268" s="110">
        <v>0</v>
      </c>
      <c r="X268" s="111">
        <v>0</v>
      </c>
      <c r="Y268" s="72" t="str">
        <f>VLOOKUP(D268,'TKP 终端汇总'!A:A,1,0)</f>
        <v>Google</v>
      </c>
    </row>
    <row r="269" spans="1:25" x14ac:dyDescent="0.2">
      <c r="A269" s="107" t="s">
        <v>998</v>
      </c>
      <c r="B269" s="107" t="s">
        <v>999</v>
      </c>
      <c r="C269" s="108">
        <v>440</v>
      </c>
      <c r="D269" s="107" t="s">
        <v>1161</v>
      </c>
      <c r="E269" s="109">
        <v>44226</v>
      </c>
      <c r="F269" s="109">
        <v>43606</v>
      </c>
      <c r="G269" s="110">
        <v>0</v>
      </c>
      <c r="H269" s="110">
        <v>-9800</v>
      </c>
      <c r="I269" s="110">
        <v>0</v>
      </c>
      <c r="J269" s="110">
        <v>0</v>
      </c>
      <c r="K269" s="110">
        <v>0</v>
      </c>
      <c r="L269" s="110">
        <v>0</v>
      </c>
      <c r="M269" s="110">
        <v>-9800</v>
      </c>
      <c r="N269" s="110">
        <v>0</v>
      </c>
      <c r="O269" s="110">
        <v>0</v>
      </c>
      <c r="P269" s="110">
        <v>0</v>
      </c>
      <c r="Q269" s="110">
        <v>0</v>
      </c>
      <c r="R269" s="110">
        <v>0</v>
      </c>
      <c r="S269" s="110">
        <v>0</v>
      </c>
      <c r="T269" s="110">
        <v>-9800</v>
      </c>
      <c r="U269" s="110">
        <v>0</v>
      </c>
      <c r="V269" s="110">
        <v>0</v>
      </c>
      <c r="W269" s="110">
        <v>0</v>
      </c>
      <c r="X269" s="111">
        <v>-9800</v>
      </c>
      <c r="Y269" s="72" t="str">
        <f>VLOOKUP(D269,'TKP 终端汇总'!A:A,1,0)</f>
        <v>OTTERBOX</v>
      </c>
    </row>
    <row r="270" spans="1:25" x14ac:dyDescent="0.2">
      <c r="A270" s="107" t="s">
        <v>450</v>
      </c>
      <c r="B270" s="107" t="s">
        <v>451</v>
      </c>
      <c r="C270" s="108" t="s">
        <v>208</v>
      </c>
      <c r="D270" s="107" t="s">
        <v>1177</v>
      </c>
      <c r="E270" s="109">
        <v>44226</v>
      </c>
      <c r="F270" s="109">
        <v>43644</v>
      </c>
      <c r="G270" s="110">
        <v>0</v>
      </c>
      <c r="H270" s="110">
        <v>0</v>
      </c>
      <c r="I270" s="110">
        <v>0</v>
      </c>
      <c r="J270" s="110">
        <v>0</v>
      </c>
      <c r="K270" s="110">
        <v>0</v>
      </c>
      <c r="L270" s="110">
        <v>0</v>
      </c>
      <c r="M270" s="110">
        <v>0</v>
      </c>
      <c r="N270" s="110">
        <v>0</v>
      </c>
      <c r="O270" s="110">
        <v>0</v>
      </c>
      <c r="P270" s="110">
        <v>0</v>
      </c>
      <c r="Q270" s="110">
        <v>0</v>
      </c>
      <c r="R270" s="110">
        <v>0</v>
      </c>
      <c r="S270" s="110">
        <v>0</v>
      </c>
      <c r="T270" s="110">
        <v>0</v>
      </c>
      <c r="U270" s="110">
        <v>0</v>
      </c>
      <c r="V270" s="110">
        <v>0</v>
      </c>
      <c r="W270" s="110">
        <v>0</v>
      </c>
      <c r="X270" s="111">
        <v>0</v>
      </c>
      <c r="Y270" s="72" t="str">
        <f>VLOOKUP(D270,'TKP 终端汇总'!A:A,1,0)</f>
        <v>POLYCOM</v>
      </c>
    </row>
    <row r="271" spans="1:25" x14ac:dyDescent="0.2">
      <c r="A271" s="107" t="s">
        <v>1004</v>
      </c>
      <c r="B271" s="107" t="s">
        <v>1005</v>
      </c>
      <c r="C271" s="108" t="s">
        <v>122</v>
      </c>
      <c r="D271" s="107" t="s">
        <v>1370</v>
      </c>
      <c r="E271" s="109">
        <v>45124</v>
      </c>
      <c r="F271" s="109"/>
      <c r="G271" s="110">
        <v>1480000</v>
      </c>
      <c r="H271" s="110">
        <v>1163690</v>
      </c>
      <c r="I271" s="110">
        <v>0</v>
      </c>
      <c r="J271" s="110">
        <v>0</v>
      </c>
      <c r="K271" s="110">
        <v>0</v>
      </c>
      <c r="L271" s="110">
        <v>0</v>
      </c>
      <c r="M271" s="110">
        <v>1163690</v>
      </c>
      <c r="N271" s="110">
        <v>887665.2</v>
      </c>
      <c r="O271" s="110">
        <v>0</v>
      </c>
      <c r="P271" s="110">
        <v>0</v>
      </c>
      <c r="Q271" s="110">
        <v>0</v>
      </c>
      <c r="R271" s="110">
        <v>0</v>
      </c>
      <c r="S271" s="110">
        <v>887665.2</v>
      </c>
      <c r="T271" s="110">
        <v>276024.80000000005</v>
      </c>
      <c r="U271" s="110">
        <v>0</v>
      </c>
      <c r="V271" s="110">
        <v>0</v>
      </c>
      <c r="W271" s="110">
        <v>0</v>
      </c>
      <c r="X271" s="111">
        <v>276024.80000000005</v>
      </c>
      <c r="Y271" s="72" t="str">
        <f>VLOOKUP(D271,'TKP 终端汇总'!A:A,1,0)</f>
        <v>Meta</v>
      </c>
    </row>
    <row r="272" spans="1:25" x14ac:dyDescent="0.2">
      <c r="A272" s="107" t="s">
        <v>1006</v>
      </c>
      <c r="B272" s="107" t="s">
        <v>1007</v>
      </c>
      <c r="C272" s="108" t="s">
        <v>5</v>
      </c>
      <c r="D272" s="107" t="s">
        <v>1162</v>
      </c>
      <c r="E272" s="109">
        <v>45107</v>
      </c>
      <c r="F272" s="109"/>
      <c r="G272" s="110">
        <v>78155</v>
      </c>
      <c r="H272" s="110">
        <v>0</v>
      </c>
      <c r="I272" s="110">
        <v>0</v>
      </c>
      <c r="J272" s="110">
        <v>0</v>
      </c>
      <c r="K272" s="110">
        <v>0</v>
      </c>
      <c r="L272" s="110">
        <v>0</v>
      </c>
      <c r="M272" s="110">
        <v>0</v>
      </c>
      <c r="N272" s="110">
        <v>0</v>
      </c>
      <c r="O272" s="110">
        <v>0</v>
      </c>
      <c r="P272" s="110">
        <v>0</v>
      </c>
      <c r="Q272" s="110">
        <v>0</v>
      </c>
      <c r="R272" s="110">
        <v>2532.94</v>
      </c>
      <c r="S272" s="110">
        <v>2532.94</v>
      </c>
      <c r="T272" s="110">
        <v>-2532.94</v>
      </c>
      <c r="U272" s="110">
        <v>0</v>
      </c>
      <c r="V272" s="110">
        <v>5.8</v>
      </c>
      <c r="W272" s="110">
        <v>5.8</v>
      </c>
      <c r="X272" s="111">
        <v>-2538.7400000000002</v>
      </c>
      <c r="Y272" s="72" t="str">
        <f>VLOOKUP(D272,'TKP 终端汇总'!A:A,1,0)</f>
        <v xml:space="preserve">August </v>
      </c>
    </row>
    <row r="273" spans="1:25" x14ac:dyDescent="0.2">
      <c r="A273" s="107" t="s">
        <v>429</v>
      </c>
      <c r="B273" s="107" t="s">
        <v>430</v>
      </c>
      <c r="C273" s="108">
        <v>330</v>
      </c>
      <c r="D273" s="107" t="s">
        <v>1148</v>
      </c>
      <c r="E273" s="109">
        <v>0</v>
      </c>
      <c r="F273" s="109">
        <v>0</v>
      </c>
      <c r="G273" s="110">
        <v>0</v>
      </c>
      <c r="H273" s="110">
        <v>142202.84</v>
      </c>
      <c r="I273" s="110">
        <v>0</v>
      </c>
      <c r="J273" s="110">
        <v>0</v>
      </c>
      <c r="K273" s="110">
        <v>0</v>
      </c>
      <c r="L273" s="110">
        <v>0</v>
      </c>
      <c r="M273" s="110">
        <v>142202.84</v>
      </c>
      <c r="N273" s="110">
        <v>115144</v>
      </c>
      <c r="O273" s="110">
        <v>0</v>
      </c>
      <c r="P273" s="110">
        <v>0</v>
      </c>
      <c r="Q273" s="110">
        <v>0</v>
      </c>
      <c r="R273" s="110">
        <v>0</v>
      </c>
      <c r="S273" s="110">
        <v>115144</v>
      </c>
      <c r="T273" s="110">
        <v>27058.839999999997</v>
      </c>
      <c r="U273" s="110">
        <v>0</v>
      </c>
      <c r="V273" s="110">
        <v>2763.2000000000003</v>
      </c>
      <c r="W273" s="110">
        <v>2763.2000000000003</v>
      </c>
      <c r="X273" s="111">
        <v>24295.639999999996</v>
      </c>
      <c r="Y273" s="72" t="str">
        <f>VLOOKUP(D273,'TKP 终端汇总'!A:A,1,0)</f>
        <v>GN</v>
      </c>
    </row>
    <row r="274" spans="1:25" x14ac:dyDescent="0.2">
      <c r="A274" s="107" t="s">
        <v>425</v>
      </c>
      <c r="B274" s="107" t="s">
        <v>426</v>
      </c>
      <c r="C274" s="108">
        <v>330</v>
      </c>
      <c r="D274" s="107" t="s">
        <v>1148</v>
      </c>
      <c r="E274" s="109">
        <v>0</v>
      </c>
      <c r="F274" s="109">
        <v>0</v>
      </c>
      <c r="G274" s="110">
        <v>0</v>
      </c>
      <c r="H274" s="110">
        <v>0</v>
      </c>
      <c r="I274" s="110">
        <v>0</v>
      </c>
      <c r="J274" s="110">
        <v>0</v>
      </c>
      <c r="K274" s="110">
        <v>0</v>
      </c>
      <c r="L274" s="110">
        <v>0</v>
      </c>
      <c r="M274" s="110">
        <v>0</v>
      </c>
      <c r="N274" s="110">
        <v>0</v>
      </c>
      <c r="O274" s="110">
        <v>0</v>
      </c>
      <c r="P274" s="110">
        <v>8788.130000000001</v>
      </c>
      <c r="Q274" s="110">
        <v>0</v>
      </c>
      <c r="R274" s="110">
        <v>0</v>
      </c>
      <c r="S274" s="110">
        <v>8788.130000000001</v>
      </c>
      <c r="T274" s="110">
        <v>-8788.130000000001</v>
      </c>
      <c r="U274" s="110">
        <v>0</v>
      </c>
      <c r="V274" s="110">
        <v>0</v>
      </c>
      <c r="W274" s="110">
        <v>0</v>
      </c>
      <c r="X274" s="111">
        <v>-8788.130000000001</v>
      </c>
      <c r="Y274" s="72" t="str">
        <f>VLOOKUP(D274,'TKP 终端汇总'!A:A,1,0)</f>
        <v>GN</v>
      </c>
    </row>
    <row r="275" spans="1:25" x14ac:dyDescent="0.2">
      <c r="A275" s="107" t="s">
        <v>984</v>
      </c>
      <c r="B275" s="107" t="s">
        <v>985</v>
      </c>
      <c r="C275" s="108">
        <v>360</v>
      </c>
      <c r="D275" s="107" t="s">
        <v>1153</v>
      </c>
      <c r="E275" s="109">
        <v>0</v>
      </c>
      <c r="F275" s="109">
        <v>0</v>
      </c>
      <c r="G275" s="110">
        <v>0</v>
      </c>
      <c r="H275" s="110">
        <v>0</v>
      </c>
      <c r="I275" s="110">
        <v>0</v>
      </c>
      <c r="J275" s="110">
        <v>0</v>
      </c>
      <c r="K275" s="110">
        <v>0</v>
      </c>
      <c r="L275" s="110">
        <v>0</v>
      </c>
      <c r="M275" s="110">
        <v>0</v>
      </c>
      <c r="N275" s="110">
        <v>0</v>
      </c>
      <c r="O275" s="110">
        <v>0</v>
      </c>
      <c r="P275" s="110">
        <v>0</v>
      </c>
      <c r="Q275" s="110">
        <v>0</v>
      </c>
      <c r="R275" s="110">
        <v>0</v>
      </c>
      <c r="S275" s="110">
        <v>0</v>
      </c>
      <c r="T275" s="110">
        <v>0</v>
      </c>
      <c r="U275" s="110">
        <v>0</v>
      </c>
      <c r="V275" s="110">
        <v>0</v>
      </c>
      <c r="W275" s="110">
        <v>0</v>
      </c>
      <c r="X275" s="111">
        <v>0</v>
      </c>
      <c r="Y275" s="72" t="str">
        <f>VLOOKUP(D275,'TKP 终端汇总'!A:A,1,0)</f>
        <v>Google</v>
      </c>
    </row>
    <row r="276" spans="1:25" x14ac:dyDescent="0.2">
      <c r="A276" s="107" t="s">
        <v>1017</v>
      </c>
      <c r="B276" s="107" t="s">
        <v>1018</v>
      </c>
      <c r="C276" s="108">
        <v>437</v>
      </c>
      <c r="D276" s="107" t="s">
        <v>1150</v>
      </c>
      <c r="E276" s="109">
        <v>0</v>
      </c>
      <c r="F276" s="109">
        <v>0</v>
      </c>
      <c r="G276" s="110">
        <v>0</v>
      </c>
      <c r="H276" s="110">
        <v>0</v>
      </c>
      <c r="I276" s="110">
        <v>0</v>
      </c>
      <c r="J276" s="110">
        <v>0</v>
      </c>
      <c r="K276" s="110">
        <v>0</v>
      </c>
      <c r="L276" s="110">
        <v>0</v>
      </c>
      <c r="M276" s="110">
        <v>0</v>
      </c>
      <c r="N276" s="110">
        <v>0</v>
      </c>
      <c r="O276" s="110">
        <v>0</v>
      </c>
      <c r="P276" s="110">
        <v>0</v>
      </c>
      <c r="Q276" s="110">
        <v>0</v>
      </c>
      <c r="R276" s="110">
        <v>0</v>
      </c>
      <c r="S276" s="110">
        <v>0</v>
      </c>
      <c r="T276" s="110">
        <v>0</v>
      </c>
      <c r="U276" s="110">
        <v>0</v>
      </c>
      <c r="V276" s="110">
        <v>0</v>
      </c>
      <c r="W276" s="110">
        <v>0</v>
      </c>
      <c r="X276" s="111">
        <v>0</v>
      </c>
      <c r="Y276" s="72" t="str">
        <f>VLOOKUP(D276,'TKP 终端汇总'!A:A,1,0)</f>
        <v>FITBIT</v>
      </c>
    </row>
    <row r="277" spans="1:25" x14ac:dyDescent="0.2">
      <c r="A277" s="107" t="s">
        <v>1019</v>
      </c>
      <c r="B277" s="107" t="s">
        <v>1020</v>
      </c>
      <c r="C277" s="108">
        <v>440</v>
      </c>
      <c r="D277" s="107" t="s">
        <v>1161</v>
      </c>
      <c r="E277" s="109">
        <v>0</v>
      </c>
      <c r="F277" s="109">
        <v>0</v>
      </c>
      <c r="G277" s="110">
        <v>0</v>
      </c>
      <c r="H277" s="110">
        <v>0</v>
      </c>
      <c r="I277" s="110">
        <v>0</v>
      </c>
      <c r="J277" s="110">
        <v>0</v>
      </c>
      <c r="K277" s="110">
        <v>0</v>
      </c>
      <c r="L277" s="110">
        <v>0</v>
      </c>
      <c r="M277" s="110">
        <v>0</v>
      </c>
      <c r="N277" s="110">
        <v>0</v>
      </c>
      <c r="O277" s="110">
        <v>0</v>
      </c>
      <c r="P277" s="110">
        <v>0</v>
      </c>
      <c r="Q277" s="110">
        <v>0</v>
      </c>
      <c r="R277" s="110">
        <v>0</v>
      </c>
      <c r="S277" s="110">
        <v>0</v>
      </c>
      <c r="T277" s="110">
        <v>0</v>
      </c>
      <c r="U277" s="110">
        <v>0</v>
      </c>
      <c r="V277" s="110">
        <v>0</v>
      </c>
      <c r="W277" s="110">
        <v>0</v>
      </c>
      <c r="X277" s="111">
        <v>0</v>
      </c>
      <c r="Y277" s="72" t="str">
        <f>VLOOKUP(D277,'TKP 终端汇总'!A:A,1,0)</f>
        <v>OTTERBOX</v>
      </c>
    </row>
    <row r="278" spans="1:25" x14ac:dyDescent="0.2">
      <c r="A278" s="107" t="s">
        <v>1021</v>
      </c>
      <c r="B278" s="107" t="s">
        <v>1022</v>
      </c>
      <c r="C278" s="108">
        <v>40406</v>
      </c>
      <c r="D278" s="107" t="s">
        <v>1153</v>
      </c>
      <c r="E278" s="109">
        <v>0</v>
      </c>
      <c r="F278" s="109">
        <v>0</v>
      </c>
      <c r="G278" s="110">
        <v>0</v>
      </c>
      <c r="H278" s="110">
        <v>0</v>
      </c>
      <c r="I278" s="110">
        <v>0</v>
      </c>
      <c r="J278" s="110">
        <v>0</v>
      </c>
      <c r="K278" s="110">
        <v>0</v>
      </c>
      <c r="L278" s="110">
        <v>0</v>
      </c>
      <c r="M278" s="110">
        <v>0</v>
      </c>
      <c r="N278" s="110">
        <v>0</v>
      </c>
      <c r="O278" s="110">
        <v>0</v>
      </c>
      <c r="P278" s="110">
        <v>0</v>
      </c>
      <c r="Q278" s="110">
        <v>0</v>
      </c>
      <c r="R278" s="110">
        <v>0</v>
      </c>
      <c r="S278" s="110">
        <v>0</v>
      </c>
      <c r="T278" s="110">
        <v>0</v>
      </c>
      <c r="U278" s="110">
        <v>0</v>
      </c>
      <c r="V278" s="110">
        <v>0</v>
      </c>
      <c r="W278" s="110">
        <v>0</v>
      </c>
      <c r="X278" s="111">
        <v>0</v>
      </c>
      <c r="Y278" s="72" t="str">
        <f>VLOOKUP(D278,'TKP 终端汇总'!A:A,1,0)</f>
        <v>Google</v>
      </c>
    </row>
    <row r="279" spans="1:25" x14ac:dyDescent="0.2">
      <c r="A279" s="107" t="s">
        <v>1023</v>
      </c>
      <c r="B279" s="107" t="s">
        <v>1024</v>
      </c>
      <c r="C279" s="108" t="s">
        <v>56</v>
      </c>
      <c r="D279" s="107" t="s">
        <v>1151</v>
      </c>
      <c r="E279" s="109">
        <v>45141</v>
      </c>
      <c r="F279" s="109"/>
      <c r="G279" s="110">
        <v>55000</v>
      </c>
      <c r="H279" s="110">
        <v>0</v>
      </c>
      <c r="I279" s="110">
        <v>0</v>
      </c>
      <c r="J279" s="110">
        <v>0</v>
      </c>
      <c r="K279" s="110">
        <v>0</v>
      </c>
      <c r="L279" s="110">
        <v>0</v>
      </c>
      <c r="M279" s="110">
        <v>0</v>
      </c>
      <c r="N279" s="110">
        <v>4969.66</v>
      </c>
      <c r="O279" s="110">
        <v>0</v>
      </c>
      <c r="P279" s="110">
        <v>0</v>
      </c>
      <c r="Q279" s="110">
        <v>0</v>
      </c>
      <c r="R279" s="110">
        <v>10115.66</v>
      </c>
      <c r="S279" s="110">
        <v>15085.32</v>
      </c>
      <c r="T279" s="110">
        <v>-15085.32</v>
      </c>
      <c r="U279" s="110">
        <v>0</v>
      </c>
      <c r="V279" s="110">
        <v>0</v>
      </c>
      <c r="W279" s="110">
        <v>0</v>
      </c>
      <c r="X279" s="111">
        <v>-15085.32</v>
      </c>
      <c r="Y279" s="72" t="str">
        <f>VLOOKUP(D279,'TKP 终端汇总'!A:A,1,0)</f>
        <v>合元</v>
      </c>
    </row>
    <row r="280" spans="1:25" x14ac:dyDescent="0.2">
      <c r="A280" s="107" t="s">
        <v>1025</v>
      </c>
      <c r="B280" s="107" t="s">
        <v>1026</v>
      </c>
      <c r="C280" s="108" t="s">
        <v>122</v>
      </c>
      <c r="D280" s="107" t="s">
        <v>1370</v>
      </c>
      <c r="E280" s="109">
        <v>45149</v>
      </c>
      <c r="F280" s="109"/>
      <c r="G280" s="110">
        <v>715000</v>
      </c>
      <c r="H280" s="110">
        <v>622214.89</v>
      </c>
      <c r="I280" s="110">
        <v>0</v>
      </c>
      <c r="J280" s="110">
        <v>0</v>
      </c>
      <c r="K280" s="110">
        <v>57715.9</v>
      </c>
      <c r="L280" s="110">
        <v>0</v>
      </c>
      <c r="M280" s="110">
        <v>679930.79</v>
      </c>
      <c r="N280" s="110">
        <v>553646.64</v>
      </c>
      <c r="O280" s="110">
        <v>0</v>
      </c>
      <c r="P280" s="110">
        <v>0</v>
      </c>
      <c r="Q280" s="110">
        <v>56155.41</v>
      </c>
      <c r="R280" s="110">
        <v>48650.879999999997</v>
      </c>
      <c r="S280" s="110">
        <v>658452.93000000005</v>
      </c>
      <c r="T280" s="110">
        <v>21477.859999999986</v>
      </c>
      <c r="U280" s="110">
        <v>0</v>
      </c>
      <c r="V280" s="110">
        <v>0</v>
      </c>
      <c r="W280" s="110">
        <v>0</v>
      </c>
      <c r="X280" s="111">
        <v>21477.859999999986</v>
      </c>
      <c r="Y280" s="72" t="str">
        <f>VLOOKUP(D280,'TKP 终端汇总'!A:A,1,0)</f>
        <v>Meta</v>
      </c>
    </row>
    <row r="281" spans="1:25" x14ac:dyDescent="0.2">
      <c r="A281" s="107" t="s">
        <v>1027</v>
      </c>
      <c r="B281" s="107" t="s">
        <v>945</v>
      </c>
      <c r="C281" s="108" t="s">
        <v>1028</v>
      </c>
      <c r="D281" s="107" t="s">
        <v>1180</v>
      </c>
      <c r="E281" s="109">
        <v>45265</v>
      </c>
      <c r="F281" s="109"/>
      <c r="G281" s="110">
        <v>372900</v>
      </c>
      <c r="H281" s="110">
        <v>0</v>
      </c>
      <c r="I281" s="110">
        <v>0</v>
      </c>
      <c r="J281" s="110">
        <v>0</v>
      </c>
      <c r="K281" s="110">
        <v>0</v>
      </c>
      <c r="L281" s="110">
        <v>0</v>
      </c>
      <c r="M281" s="110">
        <v>0</v>
      </c>
      <c r="N281" s="110">
        <v>9438.17</v>
      </c>
      <c r="O281" s="110">
        <v>0</v>
      </c>
      <c r="P281" s="110">
        <v>13505.65</v>
      </c>
      <c r="Q281" s="110">
        <v>0</v>
      </c>
      <c r="R281" s="110">
        <v>13020.789999999999</v>
      </c>
      <c r="S281" s="110">
        <v>35964.61</v>
      </c>
      <c r="T281" s="110">
        <v>-35964.61</v>
      </c>
      <c r="U281" s="110">
        <v>0</v>
      </c>
      <c r="V281" s="110">
        <v>18309.54</v>
      </c>
      <c r="W281" s="110">
        <v>18309.54</v>
      </c>
      <c r="X281" s="111">
        <v>-54274.15</v>
      </c>
      <c r="Y281" s="72" t="str">
        <f>VLOOKUP(D281,'TKP 终端汇总'!A:A,1,0)</f>
        <v>TCL王牌电器</v>
      </c>
    </row>
    <row r="282" spans="1:25" x14ac:dyDescent="0.2">
      <c r="A282" s="107" t="s">
        <v>1030</v>
      </c>
      <c r="B282" s="107" t="s">
        <v>1031</v>
      </c>
      <c r="C282" s="108" t="s">
        <v>1032</v>
      </c>
      <c r="D282" s="107" t="s">
        <v>1033</v>
      </c>
      <c r="E282" s="109">
        <v>45260</v>
      </c>
      <c r="F282" s="109"/>
      <c r="G282" s="110">
        <v>0</v>
      </c>
      <c r="H282" s="110">
        <v>0</v>
      </c>
      <c r="I282" s="110">
        <v>0</v>
      </c>
      <c r="J282" s="110">
        <v>0</v>
      </c>
      <c r="K282" s="110">
        <v>0</v>
      </c>
      <c r="L282" s="110">
        <v>0</v>
      </c>
      <c r="M282" s="110">
        <v>0</v>
      </c>
      <c r="N282" s="110">
        <v>0</v>
      </c>
      <c r="O282" s="110">
        <v>0</v>
      </c>
      <c r="P282" s="110">
        <v>0</v>
      </c>
      <c r="Q282" s="110">
        <v>0</v>
      </c>
      <c r="R282" s="110">
        <v>0</v>
      </c>
      <c r="S282" s="110">
        <v>0</v>
      </c>
      <c r="T282" s="110">
        <v>0</v>
      </c>
      <c r="U282" s="110">
        <v>0</v>
      </c>
      <c r="V282" s="110">
        <v>0</v>
      </c>
      <c r="W282" s="110">
        <v>0</v>
      </c>
      <c r="X282" s="111">
        <v>0</v>
      </c>
      <c r="Y282" s="72" t="str">
        <f>VLOOKUP(D282,'TKP 终端汇总'!A:A,1,0)</f>
        <v>索尼电子</v>
      </c>
    </row>
    <row r="283" spans="1:25" x14ac:dyDescent="0.2">
      <c r="A283" s="107" t="s">
        <v>1034</v>
      </c>
      <c r="B283" s="107" t="s">
        <v>1035</v>
      </c>
      <c r="C283" s="108" t="s">
        <v>208</v>
      </c>
      <c r="D283" s="107" t="s">
        <v>1177</v>
      </c>
      <c r="E283" s="109">
        <v>45140</v>
      </c>
      <c r="F283" s="109"/>
      <c r="G283" s="110">
        <v>2030000</v>
      </c>
      <c r="H283" s="110">
        <v>0</v>
      </c>
      <c r="I283" s="110">
        <v>0</v>
      </c>
      <c r="J283" s="110">
        <v>72829.539999999994</v>
      </c>
      <c r="K283" s="110">
        <v>0</v>
      </c>
      <c r="L283" s="110">
        <v>0</v>
      </c>
      <c r="M283" s="110">
        <v>72829.539999999994</v>
      </c>
      <c r="N283" s="110">
        <v>0</v>
      </c>
      <c r="O283" s="110">
        <v>0</v>
      </c>
      <c r="P283" s="110">
        <v>0</v>
      </c>
      <c r="Q283" s="110">
        <v>157085.34</v>
      </c>
      <c r="R283" s="110">
        <v>86344.55</v>
      </c>
      <c r="S283" s="110">
        <v>243429.89</v>
      </c>
      <c r="T283" s="110">
        <v>-170600.35</v>
      </c>
      <c r="U283" s="110">
        <v>3147.37</v>
      </c>
      <c r="V283" s="110">
        <v>906.57</v>
      </c>
      <c r="W283" s="110">
        <v>4053.94</v>
      </c>
      <c r="X283" s="111">
        <v>-174654.29</v>
      </c>
      <c r="Y283" s="72" t="str">
        <f>VLOOKUP(D283,'TKP 终端汇总'!A:A,1,0)</f>
        <v>POLYCOM</v>
      </c>
    </row>
    <row r="284" spans="1:25" x14ac:dyDescent="0.2">
      <c r="A284" s="107" t="s">
        <v>1036</v>
      </c>
      <c r="B284" s="107" t="s">
        <v>1037</v>
      </c>
      <c r="C284" s="108" t="s">
        <v>1038</v>
      </c>
      <c r="D284" s="107" t="s">
        <v>1245</v>
      </c>
      <c r="E284" s="109">
        <v>45161</v>
      </c>
      <c r="F284" s="109"/>
      <c r="G284" s="110">
        <v>22000</v>
      </c>
      <c r="H284" s="110">
        <v>0</v>
      </c>
      <c r="I284" s="110">
        <v>0</v>
      </c>
      <c r="J284" s="110">
        <v>0</v>
      </c>
      <c r="K284" s="110">
        <v>0</v>
      </c>
      <c r="L284" s="110">
        <v>0</v>
      </c>
      <c r="M284" s="110">
        <v>0</v>
      </c>
      <c r="N284" s="110">
        <v>572.78</v>
      </c>
      <c r="O284" s="110">
        <v>0</v>
      </c>
      <c r="P284" s="110">
        <v>0</v>
      </c>
      <c r="Q284" s="110">
        <v>0</v>
      </c>
      <c r="R284" s="110">
        <v>0</v>
      </c>
      <c r="S284" s="110">
        <v>572.78</v>
      </c>
      <c r="T284" s="110">
        <v>-572.78</v>
      </c>
      <c r="U284" s="110">
        <v>0</v>
      </c>
      <c r="V284" s="110">
        <v>0</v>
      </c>
      <c r="W284" s="110">
        <v>0</v>
      </c>
      <c r="X284" s="111">
        <v>-572.78</v>
      </c>
      <c r="Y284" s="72" t="str">
        <f>VLOOKUP(D284,'TKP 终端汇总'!A:A,1,0)</f>
        <v>华电照明</v>
      </c>
    </row>
    <row r="285" spans="1:25" x14ac:dyDescent="0.2">
      <c r="A285" s="107" t="s">
        <v>1040</v>
      </c>
      <c r="B285" s="107" t="s">
        <v>1041</v>
      </c>
      <c r="C285" s="108" t="s">
        <v>1042</v>
      </c>
      <c r="D285" s="107" t="s">
        <v>1190</v>
      </c>
      <c r="E285" s="109">
        <v>45210</v>
      </c>
      <c r="F285" s="109"/>
      <c r="G285" s="110">
        <v>187500</v>
      </c>
      <c r="H285" s="110">
        <v>20047.54</v>
      </c>
      <c r="I285" s="110">
        <v>0</v>
      </c>
      <c r="J285" s="110">
        <v>0</v>
      </c>
      <c r="K285" s="110">
        <v>0</v>
      </c>
      <c r="L285" s="110">
        <v>0</v>
      </c>
      <c r="M285" s="110">
        <v>20047.54</v>
      </c>
      <c r="N285" s="110">
        <v>213052.86</v>
      </c>
      <c r="O285" s="110">
        <v>0</v>
      </c>
      <c r="P285" s="110">
        <v>0</v>
      </c>
      <c r="Q285" s="110">
        <v>0</v>
      </c>
      <c r="R285" s="110">
        <v>-22762.149999999998</v>
      </c>
      <c r="S285" s="110">
        <v>190290.71</v>
      </c>
      <c r="T285" s="110">
        <v>-170243.16999999998</v>
      </c>
      <c r="U285" s="110">
        <v>0</v>
      </c>
      <c r="V285" s="110">
        <v>0</v>
      </c>
      <c r="W285" s="110">
        <v>0</v>
      </c>
      <c r="X285" s="111">
        <v>-170243.16999999998</v>
      </c>
      <c r="Y285" s="72" t="str">
        <f>VLOOKUP(D285,'TKP 终端汇总'!A:A,1,0)</f>
        <v>嘉树医疗</v>
      </c>
    </row>
    <row r="286" spans="1:25" x14ac:dyDescent="0.2">
      <c r="A286" s="107" t="s">
        <v>1044</v>
      </c>
      <c r="B286" s="107" t="s">
        <v>1045</v>
      </c>
      <c r="C286" s="108" t="s">
        <v>56</v>
      </c>
      <c r="D286" s="107" t="s">
        <v>1151</v>
      </c>
      <c r="E286" s="109">
        <v>45226</v>
      </c>
      <c r="F286" s="109"/>
      <c r="G286" s="110">
        <v>267800</v>
      </c>
      <c r="H286" s="110">
        <v>0</v>
      </c>
      <c r="I286" s="110">
        <v>0</v>
      </c>
      <c r="J286" s="110">
        <v>1934.7199999999998</v>
      </c>
      <c r="K286" s="110">
        <v>0</v>
      </c>
      <c r="L286" s="110">
        <v>0</v>
      </c>
      <c r="M286" s="110">
        <v>1934.7199999999998</v>
      </c>
      <c r="N286" s="110">
        <v>429.59</v>
      </c>
      <c r="O286" s="110">
        <v>0</v>
      </c>
      <c r="P286" s="110">
        <v>0</v>
      </c>
      <c r="Q286" s="110">
        <v>3054.87</v>
      </c>
      <c r="R286" s="110">
        <v>40171.1</v>
      </c>
      <c r="S286" s="110">
        <v>43655.56</v>
      </c>
      <c r="T286" s="110">
        <v>-41720.840000000004</v>
      </c>
      <c r="U286" s="110">
        <v>0</v>
      </c>
      <c r="V286" s="110">
        <v>818.63</v>
      </c>
      <c r="W286" s="110">
        <v>818.63</v>
      </c>
      <c r="X286" s="111">
        <v>-42539.47</v>
      </c>
      <c r="Y286" s="72" t="str">
        <f>VLOOKUP(D286,'TKP 终端汇总'!A:A,1,0)</f>
        <v>合元</v>
      </c>
    </row>
    <row r="287" spans="1:25" x14ac:dyDescent="0.2">
      <c r="A287" s="107" t="s">
        <v>1046</v>
      </c>
      <c r="B287" s="107" t="s">
        <v>1047</v>
      </c>
      <c r="C287" s="108">
        <v>437</v>
      </c>
      <c r="D287" s="107" t="s">
        <v>1150</v>
      </c>
      <c r="E287" s="109">
        <v>45237</v>
      </c>
      <c r="F287" s="109"/>
      <c r="G287" s="110">
        <v>98000</v>
      </c>
      <c r="H287" s="110">
        <v>126036</v>
      </c>
      <c r="I287" s="110">
        <v>0</v>
      </c>
      <c r="J287" s="110">
        <v>0</v>
      </c>
      <c r="K287" s="110">
        <v>0</v>
      </c>
      <c r="L287" s="110">
        <v>0</v>
      </c>
      <c r="M287" s="110">
        <v>126036</v>
      </c>
      <c r="N287" s="110">
        <v>61841.26</v>
      </c>
      <c r="O287" s="110">
        <v>0</v>
      </c>
      <c r="P287" s="110">
        <v>1019.95</v>
      </c>
      <c r="Q287" s="110">
        <v>4009.5</v>
      </c>
      <c r="R287" s="110">
        <v>532.15</v>
      </c>
      <c r="S287" s="110">
        <v>67402.86</v>
      </c>
      <c r="T287" s="110">
        <v>58633.14</v>
      </c>
      <c r="U287" s="110">
        <v>0</v>
      </c>
      <c r="V287" s="110">
        <v>0</v>
      </c>
      <c r="W287" s="110">
        <v>0</v>
      </c>
      <c r="X287" s="111">
        <v>58633.14</v>
      </c>
      <c r="Y287" s="72" t="str">
        <f>VLOOKUP(D287,'TKP 终端汇总'!A:A,1,0)</f>
        <v>FITBIT</v>
      </c>
    </row>
    <row r="288" spans="1:25" x14ac:dyDescent="0.2">
      <c r="A288" s="107" t="s">
        <v>1052</v>
      </c>
      <c r="B288" s="107" t="s">
        <v>1053</v>
      </c>
      <c r="C288" s="108" t="s">
        <v>122</v>
      </c>
      <c r="D288" s="107" t="s">
        <v>1370</v>
      </c>
      <c r="E288" s="109">
        <v>45243</v>
      </c>
      <c r="F288" s="109"/>
      <c r="G288" s="110">
        <v>318000</v>
      </c>
      <c r="H288" s="110">
        <v>260775.86</v>
      </c>
      <c r="I288" s="110">
        <v>0</v>
      </c>
      <c r="J288" s="110">
        <v>0</v>
      </c>
      <c r="K288" s="110">
        <v>0</v>
      </c>
      <c r="L288" s="110">
        <v>1349.51</v>
      </c>
      <c r="M288" s="110">
        <v>262125.37</v>
      </c>
      <c r="N288" s="110">
        <v>301724.14</v>
      </c>
      <c r="O288" s="110">
        <v>0</v>
      </c>
      <c r="P288" s="110">
        <v>0</v>
      </c>
      <c r="Q288" s="110">
        <v>0</v>
      </c>
      <c r="R288" s="110">
        <v>2364.63</v>
      </c>
      <c r="S288" s="110">
        <v>304088.77</v>
      </c>
      <c r="T288" s="110">
        <v>-41963.400000000031</v>
      </c>
      <c r="U288" s="110">
        <v>0</v>
      </c>
      <c r="V288" s="110">
        <v>0</v>
      </c>
      <c r="W288" s="110">
        <v>0</v>
      </c>
      <c r="X288" s="111">
        <v>-41963.400000000031</v>
      </c>
      <c r="Y288" s="72" t="str">
        <f>VLOOKUP(D288,'TKP 终端汇总'!A:A,1,0)</f>
        <v>Meta</v>
      </c>
    </row>
    <row r="289" spans="1:25" x14ac:dyDescent="0.2">
      <c r="A289" s="107" t="s">
        <v>1054</v>
      </c>
      <c r="B289" s="107" t="s">
        <v>1055</v>
      </c>
      <c r="C289" s="108" t="s">
        <v>1056</v>
      </c>
      <c r="D289" s="107" t="s">
        <v>1185</v>
      </c>
      <c r="E289" s="109">
        <v>45266</v>
      </c>
      <c r="F289" s="109"/>
      <c r="G289" s="110">
        <v>0</v>
      </c>
      <c r="H289" s="110">
        <v>0</v>
      </c>
      <c r="I289" s="110">
        <v>0</v>
      </c>
      <c r="J289" s="110">
        <v>0</v>
      </c>
      <c r="K289" s="110">
        <v>0</v>
      </c>
      <c r="L289" s="110">
        <v>0</v>
      </c>
      <c r="M289" s="110">
        <v>0</v>
      </c>
      <c r="N289" s="110">
        <v>837.86</v>
      </c>
      <c r="O289" s="110">
        <v>0</v>
      </c>
      <c r="P289" s="110">
        <v>0</v>
      </c>
      <c r="Q289" s="110">
        <v>6659.12</v>
      </c>
      <c r="R289" s="110">
        <v>3154.16</v>
      </c>
      <c r="S289" s="110">
        <v>10651.140000000001</v>
      </c>
      <c r="T289" s="110">
        <v>-10651.140000000001</v>
      </c>
      <c r="U289" s="110">
        <v>0</v>
      </c>
      <c r="V289" s="110">
        <v>2219.59</v>
      </c>
      <c r="W289" s="110">
        <v>2219.59</v>
      </c>
      <c r="X289" s="111">
        <v>-12870.730000000001</v>
      </c>
      <c r="Y289" s="72" t="str">
        <f>VLOOKUP(D289,'TKP 终端汇总'!A:A,1,0)</f>
        <v>恩雅乐器</v>
      </c>
    </row>
    <row r="290" spans="1:25" x14ac:dyDescent="0.2">
      <c r="A290" s="107" t="s">
        <v>1058</v>
      </c>
      <c r="B290" s="107" t="s">
        <v>1059</v>
      </c>
      <c r="C290" s="108">
        <v>330</v>
      </c>
      <c r="D290" s="107" t="s">
        <v>1148</v>
      </c>
      <c r="E290" s="109">
        <v>45247</v>
      </c>
      <c r="F290" s="109"/>
      <c r="G290" s="110">
        <v>690000</v>
      </c>
      <c r="H290" s="110">
        <v>19859.55</v>
      </c>
      <c r="I290" s="110">
        <v>0</v>
      </c>
      <c r="J290" s="110">
        <v>4825.47</v>
      </c>
      <c r="K290" s="110">
        <v>0</v>
      </c>
      <c r="L290" s="110">
        <v>0</v>
      </c>
      <c r="M290" s="110">
        <v>24685.02</v>
      </c>
      <c r="N290" s="110">
        <v>9130</v>
      </c>
      <c r="O290" s="110">
        <v>0</v>
      </c>
      <c r="P290" s="110">
        <v>388.01</v>
      </c>
      <c r="Q290" s="110">
        <v>0</v>
      </c>
      <c r="R290" s="110">
        <v>12263.689999999999</v>
      </c>
      <c r="S290" s="110">
        <v>21781.7</v>
      </c>
      <c r="T290" s="110">
        <v>2903.3200000000011</v>
      </c>
      <c r="U290" s="110">
        <v>0</v>
      </c>
      <c r="V290" s="110">
        <v>975.2</v>
      </c>
      <c r="W290" s="110">
        <v>975.2</v>
      </c>
      <c r="X290" s="111">
        <v>1928.120000000001</v>
      </c>
      <c r="Y290" s="72" t="str">
        <f>VLOOKUP(D290,'TKP 终端汇总'!A:A,1,0)</f>
        <v>GN</v>
      </c>
    </row>
    <row r="291" spans="1:25" x14ac:dyDescent="0.2">
      <c r="A291" s="107" t="s">
        <v>1060</v>
      </c>
      <c r="B291" s="107" t="s">
        <v>1061</v>
      </c>
      <c r="C291" s="108" t="s">
        <v>1062</v>
      </c>
      <c r="D291" s="107" t="s">
        <v>1176</v>
      </c>
      <c r="E291" s="109">
        <v>45251</v>
      </c>
      <c r="F291" s="109"/>
      <c r="G291" s="110">
        <v>547967.19999999995</v>
      </c>
      <c r="H291" s="110">
        <v>190944</v>
      </c>
      <c r="I291" s="110">
        <v>0</v>
      </c>
      <c r="J291" s="110">
        <v>107856.65</v>
      </c>
      <c r="K291" s="110">
        <v>0</v>
      </c>
      <c r="L291" s="110">
        <v>0</v>
      </c>
      <c r="M291" s="110">
        <v>298800.65000000002</v>
      </c>
      <c r="N291" s="110">
        <v>184080</v>
      </c>
      <c r="O291" s="110">
        <v>4725.49</v>
      </c>
      <c r="P291" s="110">
        <v>0</v>
      </c>
      <c r="Q291" s="110">
        <v>18991.23</v>
      </c>
      <c r="R291" s="110">
        <v>10560.1</v>
      </c>
      <c r="S291" s="110">
        <v>218356.82</v>
      </c>
      <c r="T291" s="110">
        <v>80443.830000000031</v>
      </c>
      <c r="U291" s="110">
        <v>0</v>
      </c>
      <c r="V291" s="110">
        <v>0</v>
      </c>
      <c r="W291" s="110">
        <v>0</v>
      </c>
      <c r="X291" s="111">
        <v>80443.830000000031</v>
      </c>
      <c r="Y291" s="72" t="str">
        <f>VLOOKUP(D291,'TKP 终端汇总'!A:A,1,0)</f>
        <v>Opal Camera</v>
      </c>
    </row>
    <row r="292" spans="1:25" x14ac:dyDescent="0.2">
      <c r="A292" s="107" t="s">
        <v>1064</v>
      </c>
      <c r="B292" s="107" t="s">
        <v>1065</v>
      </c>
      <c r="C292" s="108" t="s">
        <v>56</v>
      </c>
      <c r="D292" s="107" t="s">
        <v>1151</v>
      </c>
      <c r="E292" s="109">
        <v>45219</v>
      </c>
      <c r="F292" s="109"/>
      <c r="G292" s="110">
        <v>562900</v>
      </c>
      <c r="H292" s="110">
        <v>0</v>
      </c>
      <c r="I292" s="110">
        <v>0</v>
      </c>
      <c r="J292" s="110">
        <v>61185.32</v>
      </c>
      <c r="K292" s="110">
        <v>0</v>
      </c>
      <c r="L292" s="110">
        <v>0</v>
      </c>
      <c r="M292" s="110">
        <v>61185.32</v>
      </c>
      <c r="N292" s="110">
        <v>2693.35</v>
      </c>
      <c r="O292" s="110">
        <v>0</v>
      </c>
      <c r="P292" s="110">
        <v>0</v>
      </c>
      <c r="Q292" s="110">
        <v>4473.97</v>
      </c>
      <c r="R292" s="110">
        <v>12389.94</v>
      </c>
      <c r="S292" s="110">
        <v>19557.260000000002</v>
      </c>
      <c r="T292" s="110">
        <v>41628.06</v>
      </c>
      <c r="U292" s="110">
        <v>0</v>
      </c>
      <c r="V292" s="110">
        <v>0</v>
      </c>
      <c r="W292" s="110">
        <v>0</v>
      </c>
      <c r="X292" s="111">
        <v>41628.06</v>
      </c>
      <c r="Y292" s="72" t="str">
        <f>VLOOKUP(D292,'TKP 终端汇总'!A:A,1,0)</f>
        <v>合元</v>
      </c>
    </row>
    <row r="293" spans="1:25" x14ac:dyDescent="0.2">
      <c r="A293" s="107" t="s">
        <v>1066</v>
      </c>
      <c r="B293" s="107" t="s">
        <v>300</v>
      </c>
      <c r="C293" s="108">
        <v>330</v>
      </c>
      <c r="D293" s="107" t="s">
        <v>1148</v>
      </c>
      <c r="E293" s="109">
        <v>44226</v>
      </c>
      <c r="F293" s="109">
        <v>43941</v>
      </c>
      <c r="G293" s="110">
        <v>0</v>
      </c>
      <c r="H293" s="110">
        <v>0</v>
      </c>
      <c r="I293" s="110">
        <v>0</v>
      </c>
      <c r="J293" s="110">
        <v>0</v>
      </c>
      <c r="K293" s="110">
        <v>0</v>
      </c>
      <c r="L293" s="110">
        <v>0</v>
      </c>
      <c r="M293" s="110">
        <v>0</v>
      </c>
      <c r="N293" s="110">
        <v>0</v>
      </c>
      <c r="O293" s="110">
        <v>0</v>
      </c>
      <c r="P293" s="110">
        <v>134595.54</v>
      </c>
      <c r="Q293" s="110">
        <v>0</v>
      </c>
      <c r="R293" s="110">
        <v>0</v>
      </c>
      <c r="S293" s="110">
        <v>134595.54</v>
      </c>
      <c r="T293" s="110">
        <v>-134595.54</v>
      </c>
      <c r="U293" s="110">
        <v>0</v>
      </c>
      <c r="V293" s="110">
        <v>0</v>
      </c>
      <c r="W293" s="110">
        <v>0</v>
      </c>
      <c r="X293" s="111">
        <v>-134595.54</v>
      </c>
      <c r="Y293" s="72" t="str">
        <f>VLOOKUP(D293,'TKP 终端汇总'!A:A,1,0)</f>
        <v>GN</v>
      </c>
    </row>
    <row r="294" spans="1:25" x14ac:dyDescent="0.2">
      <c r="A294" s="107" t="s">
        <v>1077</v>
      </c>
      <c r="B294" s="107" t="s">
        <v>1078</v>
      </c>
      <c r="C294" s="108" t="s">
        <v>933</v>
      </c>
      <c r="D294" s="107" t="s">
        <v>1238</v>
      </c>
      <c r="E294" s="109">
        <v>45076</v>
      </c>
      <c r="F294" s="109"/>
      <c r="G294" s="110">
        <v>15910.4</v>
      </c>
      <c r="H294" s="110">
        <v>0</v>
      </c>
      <c r="I294" s="110">
        <v>0</v>
      </c>
      <c r="J294" s="110">
        <v>0</v>
      </c>
      <c r="K294" s="110">
        <v>0</v>
      </c>
      <c r="L294" s="110">
        <v>0</v>
      </c>
      <c r="M294" s="110">
        <v>0</v>
      </c>
      <c r="N294" s="110">
        <v>0</v>
      </c>
      <c r="O294" s="110">
        <v>0</v>
      </c>
      <c r="P294" s="110">
        <v>0</v>
      </c>
      <c r="Q294" s="110">
        <v>0</v>
      </c>
      <c r="R294" s="110">
        <v>0</v>
      </c>
      <c r="S294" s="110">
        <v>0</v>
      </c>
      <c r="T294" s="110">
        <v>0</v>
      </c>
      <c r="U294" s="110">
        <v>0</v>
      </c>
      <c r="V294" s="110">
        <v>0</v>
      </c>
      <c r="W294" s="110">
        <v>0</v>
      </c>
      <c r="X294" s="111">
        <v>0</v>
      </c>
      <c r="Y294" s="72" t="str">
        <f>VLOOKUP(D294,'TKP 终端汇总'!A:A,1,0)</f>
        <v>陆逊梯卡</v>
      </c>
    </row>
    <row r="295" spans="1:25" x14ac:dyDescent="0.2">
      <c r="A295" s="107" t="s">
        <v>41</v>
      </c>
      <c r="B295" s="107" t="s">
        <v>42</v>
      </c>
      <c r="C295" s="108">
        <v>440</v>
      </c>
      <c r="D295" s="107" t="s">
        <v>1161</v>
      </c>
      <c r="E295" s="109">
        <v>44371</v>
      </c>
      <c r="F295" s="109"/>
      <c r="G295" s="110">
        <v>3193960</v>
      </c>
      <c r="H295" s="110">
        <v>0</v>
      </c>
      <c r="I295" s="110">
        <v>0</v>
      </c>
      <c r="J295" s="110">
        <v>0</v>
      </c>
      <c r="K295" s="110">
        <v>0</v>
      </c>
      <c r="L295" s="110">
        <v>0</v>
      </c>
      <c r="M295" s="110">
        <v>0</v>
      </c>
      <c r="N295" s="110">
        <v>0</v>
      </c>
      <c r="O295" s="110">
        <v>0</v>
      </c>
      <c r="P295" s="110">
        <v>0</v>
      </c>
      <c r="Q295" s="110">
        <v>0</v>
      </c>
      <c r="R295" s="110">
        <v>0</v>
      </c>
      <c r="S295" s="110">
        <v>0</v>
      </c>
      <c r="T295" s="110">
        <v>0</v>
      </c>
      <c r="U295" s="110">
        <v>0</v>
      </c>
      <c r="V295" s="110">
        <v>0</v>
      </c>
      <c r="W295" s="110">
        <v>0</v>
      </c>
      <c r="X295" s="111">
        <v>0</v>
      </c>
      <c r="Y295" s="72" t="str">
        <f>VLOOKUP(D295,'TKP 终端汇总'!A:A,1,0)</f>
        <v>OTTERBOX</v>
      </c>
    </row>
    <row r="296" spans="1:25" x14ac:dyDescent="0.2">
      <c r="A296" s="107" t="s">
        <v>1091</v>
      </c>
      <c r="B296" s="107" t="s">
        <v>1092</v>
      </c>
      <c r="C296" s="108">
        <v>330</v>
      </c>
      <c r="D296" s="107" t="s">
        <v>1148</v>
      </c>
      <c r="E296" s="109">
        <v>45086</v>
      </c>
      <c r="F296" s="109"/>
      <c r="G296" s="110">
        <v>589600</v>
      </c>
      <c r="H296" s="110">
        <v>598527.16</v>
      </c>
      <c r="I296" s="110">
        <v>0</v>
      </c>
      <c r="J296" s="110">
        <v>0</v>
      </c>
      <c r="K296" s="110">
        <v>0</v>
      </c>
      <c r="L296" s="110">
        <v>0</v>
      </c>
      <c r="M296" s="110">
        <v>598527.16</v>
      </c>
      <c r="N296" s="110">
        <v>574816</v>
      </c>
      <c r="O296" s="110">
        <v>0</v>
      </c>
      <c r="P296" s="110">
        <v>0</v>
      </c>
      <c r="Q296" s="110">
        <v>0</v>
      </c>
      <c r="R296" s="110">
        <v>0</v>
      </c>
      <c r="S296" s="110">
        <v>574816</v>
      </c>
      <c r="T296" s="110">
        <v>23711.160000000033</v>
      </c>
      <c r="U296" s="110">
        <v>0</v>
      </c>
      <c r="V296" s="110">
        <v>127.34</v>
      </c>
      <c r="W296" s="110">
        <v>127.34</v>
      </c>
      <c r="X296" s="111">
        <v>23583.820000000032</v>
      </c>
      <c r="Y296" s="72" t="str">
        <f>VLOOKUP(D296,'TKP 终端汇总'!A:A,1,0)</f>
        <v>GN</v>
      </c>
    </row>
    <row r="297" spans="1:25" x14ac:dyDescent="0.2">
      <c r="A297" s="107" t="s">
        <v>1071</v>
      </c>
      <c r="B297" s="107" t="s">
        <v>1072</v>
      </c>
      <c r="C297" s="108" t="s">
        <v>1073</v>
      </c>
      <c r="D297" s="107" t="s">
        <v>1182</v>
      </c>
      <c r="E297" s="109">
        <v>45133</v>
      </c>
      <c r="F297" s="109"/>
      <c r="G297" s="110">
        <v>1634140</v>
      </c>
      <c r="H297" s="110">
        <v>0</v>
      </c>
      <c r="I297" s="110">
        <v>0</v>
      </c>
      <c r="J297" s="110">
        <v>0</v>
      </c>
      <c r="K297" s="110">
        <v>0</v>
      </c>
      <c r="L297" s="110">
        <v>0</v>
      </c>
      <c r="M297" s="110">
        <v>0</v>
      </c>
      <c r="N297" s="110">
        <v>0</v>
      </c>
      <c r="O297" s="110">
        <v>0</v>
      </c>
      <c r="P297" s="110">
        <v>0</v>
      </c>
      <c r="Q297" s="110">
        <v>34738.89</v>
      </c>
      <c r="R297" s="110">
        <v>156473.33000000002</v>
      </c>
      <c r="S297" s="110">
        <v>191212.22000000003</v>
      </c>
      <c r="T297" s="110">
        <v>-191212.22000000003</v>
      </c>
      <c r="U297" s="110">
        <v>7153.9699999999993</v>
      </c>
      <c r="V297" s="110">
        <v>0</v>
      </c>
      <c r="W297" s="110">
        <v>7153.9699999999993</v>
      </c>
      <c r="X297" s="111">
        <v>-198366.19000000003</v>
      </c>
      <c r="Y297" s="72" t="str">
        <f>VLOOKUP(D297,'TKP 终端汇总'!A:A,1,0)</f>
        <v>Whoop</v>
      </c>
    </row>
    <row r="298" spans="1:25" x14ac:dyDescent="0.2">
      <c r="A298" s="107" t="s">
        <v>1079</v>
      </c>
      <c r="B298" s="107" t="s">
        <v>1080</v>
      </c>
      <c r="C298" s="108">
        <v>330</v>
      </c>
      <c r="D298" s="107" t="s">
        <v>1148</v>
      </c>
      <c r="E298" s="109">
        <v>45133</v>
      </c>
      <c r="F298" s="109"/>
      <c r="G298" s="110">
        <v>1815592.9</v>
      </c>
      <c r="H298" s="110">
        <v>0</v>
      </c>
      <c r="I298" s="110">
        <v>0</v>
      </c>
      <c r="J298" s="110">
        <v>49904.95</v>
      </c>
      <c r="K298" s="110">
        <v>0</v>
      </c>
      <c r="L298" s="110">
        <v>0</v>
      </c>
      <c r="M298" s="110">
        <v>49904.95</v>
      </c>
      <c r="N298" s="110">
        <v>0</v>
      </c>
      <c r="O298" s="110">
        <v>0</v>
      </c>
      <c r="P298" s="110">
        <v>0</v>
      </c>
      <c r="Q298" s="110">
        <v>17047.400000000001</v>
      </c>
      <c r="R298" s="110">
        <v>43503.890000000007</v>
      </c>
      <c r="S298" s="110">
        <v>60551.290000000008</v>
      </c>
      <c r="T298" s="110">
        <v>-10646.340000000002</v>
      </c>
      <c r="U298" s="110">
        <v>6582.59</v>
      </c>
      <c r="V298" s="110">
        <v>11772.53</v>
      </c>
      <c r="W298" s="110">
        <v>18355.120000000003</v>
      </c>
      <c r="X298" s="111">
        <v>-29001.460000000006</v>
      </c>
      <c r="Y298" s="72" t="str">
        <f>VLOOKUP(D298,'TKP 终端汇总'!A:A,1,0)</f>
        <v>GN</v>
      </c>
    </row>
    <row r="299" spans="1:25" x14ac:dyDescent="0.2">
      <c r="A299" s="107" t="s">
        <v>1093</v>
      </c>
      <c r="B299" s="107" t="s">
        <v>1094</v>
      </c>
      <c r="C299" s="108" t="s">
        <v>5</v>
      </c>
      <c r="D299" s="107" t="s">
        <v>1162</v>
      </c>
      <c r="E299" s="109">
        <v>45173</v>
      </c>
      <c r="F299" s="109"/>
      <c r="G299" s="110">
        <v>756800</v>
      </c>
      <c r="H299" s="110">
        <v>0</v>
      </c>
      <c r="I299" s="110">
        <v>0</v>
      </c>
      <c r="J299" s="110">
        <v>16440.37</v>
      </c>
      <c r="K299" s="110">
        <v>15560</v>
      </c>
      <c r="L299" s="110">
        <v>0</v>
      </c>
      <c r="M299" s="110">
        <v>32000.37</v>
      </c>
      <c r="N299" s="110">
        <v>471.29</v>
      </c>
      <c r="O299" s="110">
        <v>0</v>
      </c>
      <c r="P299" s="110">
        <v>0</v>
      </c>
      <c r="Q299" s="110">
        <v>12149.730000000001</v>
      </c>
      <c r="R299" s="110">
        <v>174051.15</v>
      </c>
      <c r="S299" s="110">
        <v>186672.17</v>
      </c>
      <c r="T299" s="110">
        <v>-154671.79999999999</v>
      </c>
      <c r="U299" s="110">
        <v>0</v>
      </c>
      <c r="V299" s="110">
        <v>0</v>
      </c>
      <c r="W299" s="110">
        <v>0</v>
      </c>
      <c r="X299" s="111">
        <v>-154671.79999999999</v>
      </c>
      <c r="Y299" s="72" t="str">
        <f>VLOOKUP(D299,'TKP 终端汇总'!A:A,1,0)</f>
        <v xml:space="preserve">August </v>
      </c>
    </row>
    <row r="300" spans="1:25" x14ac:dyDescent="0.2">
      <c r="A300" s="107" t="s">
        <v>1069</v>
      </c>
      <c r="B300" s="107" t="s">
        <v>1070</v>
      </c>
      <c r="C300" s="108" t="s">
        <v>166</v>
      </c>
      <c r="D300" s="107" t="s">
        <v>475</v>
      </c>
      <c r="E300" s="109">
        <v>45175</v>
      </c>
      <c r="F300" s="109"/>
      <c r="G300" s="110">
        <v>1030000</v>
      </c>
      <c r="H300" s="110">
        <v>0</v>
      </c>
      <c r="I300" s="110">
        <v>0</v>
      </c>
      <c r="J300" s="110">
        <v>3774.12</v>
      </c>
      <c r="K300" s="110">
        <v>0</v>
      </c>
      <c r="L300" s="110">
        <v>0</v>
      </c>
      <c r="M300" s="110">
        <v>3774.12</v>
      </c>
      <c r="N300" s="110">
        <v>0</v>
      </c>
      <c r="O300" s="110">
        <v>0</v>
      </c>
      <c r="P300" s="110">
        <v>0</v>
      </c>
      <c r="Q300" s="110">
        <v>28274.23</v>
      </c>
      <c r="R300" s="110">
        <v>184057.16</v>
      </c>
      <c r="S300" s="110">
        <v>212331.39</v>
      </c>
      <c r="T300" s="110">
        <v>-208557.27</v>
      </c>
      <c r="U300" s="110">
        <v>725.55</v>
      </c>
      <c r="V300" s="110">
        <v>39742.550000000003</v>
      </c>
      <c r="W300" s="110">
        <v>40468.1</v>
      </c>
      <c r="X300" s="111">
        <v>-249025.37</v>
      </c>
      <c r="Y300" s="72" t="str">
        <f>VLOOKUP(D300,'TKP 终端汇总'!A:A,1,0)</f>
        <v>韶音</v>
      </c>
    </row>
    <row r="301" spans="1:25" x14ac:dyDescent="0.2">
      <c r="A301" s="107" t="s">
        <v>1081</v>
      </c>
      <c r="B301" s="107" t="s">
        <v>1082</v>
      </c>
      <c r="C301" s="108" t="s">
        <v>56</v>
      </c>
      <c r="D301" s="107" t="s">
        <v>1151</v>
      </c>
      <c r="E301" s="109">
        <v>45183</v>
      </c>
      <c r="F301" s="109"/>
      <c r="G301" s="110">
        <v>458500</v>
      </c>
      <c r="H301" s="110">
        <v>0</v>
      </c>
      <c r="I301" s="110">
        <v>0</v>
      </c>
      <c r="J301" s="110">
        <v>0</v>
      </c>
      <c r="K301" s="110">
        <v>0</v>
      </c>
      <c r="L301" s="110">
        <v>0</v>
      </c>
      <c r="M301" s="110">
        <v>0</v>
      </c>
      <c r="N301" s="110">
        <v>0</v>
      </c>
      <c r="O301" s="110">
        <v>0</v>
      </c>
      <c r="P301" s="110">
        <v>0</v>
      </c>
      <c r="Q301" s="110">
        <v>0</v>
      </c>
      <c r="R301" s="110">
        <v>0</v>
      </c>
      <c r="S301" s="110">
        <v>0</v>
      </c>
      <c r="T301" s="110">
        <v>0</v>
      </c>
      <c r="U301" s="110">
        <v>0</v>
      </c>
      <c r="V301" s="110">
        <v>0</v>
      </c>
      <c r="W301" s="110">
        <v>0</v>
      </c>
      <c r="X301" s="111">
        <v>0</v>
      </c>
      <c r="Y301" s="72" t="str">
        <f>VLOOKUP(D301,'TKP 终端汇总'!A:A,1,0)</f>
        <v>合元</v>
      </c>
    </row>
    <row r="302" spans="1:25" x14ac:dyDescent="0.2">
      <c r="A302" s="107" t="s">
        <v>1083</v>
      </c>
      <c r="B302" s="107" t="s">
        <v>1084</v>
      </c>
      <c r="C302" s="108" t="s">
        <v>1085</v>
      </c>
      <c r="D302" s="107" t="s">
        <v>1191</v>
      </c>
      <c r="E302" s="109">
        <v>45187</v>
      </c>
      <c r="F302" s="109"/>
      <c r="G302" s="110">
        <v>231000</v>
      </c>
      <c r="H302" s="110">
        <v>237916.6</v>
      </c>
      <c r="I302" s="110">
        <v>0</v>
      </c>
      <c r="J302" s="110">
        <v>0</v>
      </c>
      <c r="K302" s="110">
        <v>0</v>
      </c>
      <c r="L302" s="110">
        <v>0</v>
      </c>
      <c r="M302" s="110">
        <v>237916.6</v>
      </c>
      <c r="N302" s="110">
        <v>3341.26</v>
      </c>
      <c r="O302" s="110">
        <v>0</v>
      </c>
      <c r="P302" s="110">
        <v>0</v>
      </c>
      <c r="Q302" s="110">
        <v>6005.42</v>
      </c>
      <c r="R302" s="110">
        <v>-2653.37</v>
      </c>
      <c r="S302" s="110">
        <v>6693.31</v>
      </c>
      <c r="T302" s="110">
        <v>231223.29</v>
      </c>
      <c r="U302" s="110">
        <v>0</v>
      </c>
      <c r="V302" s="110">
        <v>0</v>
      </c>
      <c r="W302" s="110">
        <v>0</v>
      </c>
      <c r="X302" s="111">
        <v>231223.29</v>
      </c>
      <c r="Y302" s="72" t="str">
        <f>VLOOKUP(D302,'TKP 终端汇总'!A:A,1,0)</f>
        <v>联影微</v>
      </c>
    </row>
    <row r="303" spans="1:25" x14ac:dyDescent="0.2">
      <c r="A303" s="107" t="s">
        <v>1095</v>
      </c>
      <c r="B303" s="107" t="s">
        <v>1096</v>
      </c>
      <c r="C303" s="108" t="s">
        <v>1085</v>
      </c>
      <c r="D303" s="107" t="s">
        <v>1191</v>
      </c>
      <c r="E303" s="109">
        <v>45191</v>
      </c>
      <c r="F303" s="109"/>
      <c r="G303" s="110">
        <v>885335</v>
      </c>
      <c r="H303" s="110">
        <v>418965.51</v>
      </c>
      <c r="I303" s="110">
        <v>0</v>
      </c>
      <c r="J303" s="110">
        <v>0</v>
      </c>
      <c r="K303" s="110">
        <v>0</v>
      </c>
      <c r="L303" s="110">
        <v>0</v>
      </c>
      <c r="M303" s="110">
        <v>418965.51</v>
      </c>
      <c r="N303" s="110">
        <v>453987.07</v>
      </c>
      <c r="O303" s="110">
        <v>0</v>
      </c>
      <c r="P303" s="110">
        <v>0</v>
      </c>
      <c r="Q303" s="110">
        <v>11403.08</v>
      </c>
      <c r="R303" s="110">
        <v>98638.939999999988</v>
      </c>
      <c r="S303" s="110">
        <v>564029.09</v>
      </c>
      <c r="T303" s="110">
        <v>-145063.57999999999</v>
      </c>
      <c r="U303" s="110">
        <v>3926.51</v>
      </c>
      <c r="V303" s="110">
        <v>0</v>
      </c>
      <c r="W303" s="110">
        <v>3926.51</v>
      </c>
      <c r="X303" s="111">
        <v>-148990.09</v>
      </c>
      <c r="Y303" s="72" t="str">
        <f>VLOOKUP(D303,'TKP 终端汇总'!A:A,1,0)</f>
        <v>联影微</v>
      </c>
    </row>
    <row r="304" spans="1:25" x14ac:dyDescent="0.2">
      <c r="A304" s="107" t="s">
        <v>1097</v>
      </c>
      <c r="B304" s="107" t="s">
        <v>1098</v>
      </c>
      <c r="C304" s="108" t="s">
        <v>166</v>
      </c>
      <c r="D304" s="107" t="s">
        <v>475</v>
      </c>
      <c r="E304" s="109">
        <v>45212</v>
      </c>
      <c r="F304" s="109"/>
      <c r="G304" s="110">
        <v>1554800</v>
      </c>
      <c r="H304" s="110">
        <v>0</v>
      </c>
      <c r="I304" s="110">
        <v>0</v>
      </c>
      <c r="J304" s="110">
        <v>174366.45</v>
      </c>
      <c r="K304" s="110">
        <v>0</v>
      </c>
      <c r="L304" s="110">
        <v>0</v>
      </c>
      <c r="M304" s="110">
        <v>174366.45</v>
      </c>
      <c r="N304" s="110">
        <v>0</v>
      </c>
      <c r="O304" s="110">
        <v>0</v>
      </c>
      <c r="P304" s="110">
        <v>0</v>
      </c>
      <c r="Q304" s="110">
        <v>102237.08</v>
      </c>
      <c r="R304" s="110">
        <v>891281.91999999993</v>
      </c>
      <c r="S304" s="110">
        <v>993519</v>
      </c>
      <c r="T304" s="110">
        <v>-819152.55</v>
      </c>
      <c r="U304" s="110">
        <v>240.31</v>
      </c>
      <c r="V304" s="110">
        <v>0</v>
      </c>
      <c r="W304" s="110">
        <v>240.31</v>
      </c>
      <c r="X304" s="111">
        <v>-819392.8600000001</v>
      </c>
      <c r="Y304" s="72" t="str">
        <f>VLOOKUP(D304,'TKP 终端汇总'!A:A,1,0)</f>
        <v>韶音</v>
      </c>
    </row>
    <row r="305" spans="1:25" x14ac:dyDescent="0.2">
      <c r="A305" s="107" t="s">
        <v>1099</v>
      </c>
      <c r="B305" s="107" t="s">
        <v>1100</v>
      </c>
      <c r="C305" s="108" t="s">
        <v>166</v>
      </c>
      <c r="D305" s="107" t="s">
        <v>475</v>
      </c>
      <c r="E305" s="109">
        <v>45212</v>
      </c>
      <c r="F305" s="109"/>
      <c r="G305" s="110">
        <v>188500</v>
      </c>
      <c r="H305" s="110">
        <v>139224.13</v>
      </c>
      <c r="I305" s="110">
        <v>0</v>
      </c>
      <c r="J305" s="110">
        <v>33402.65</v>
      </c>
      <c r="K305" s="110">
        <v>11455.74</v>
      </c>
      <c r="L305" s="110">
        <v>0</v>
      </c>
      <c r="M305" s="110">
        <v>184082.52000000002</v>
      </c>
      <c r="N305" s="110">
        <v>146681.03</v>
      </c>
      <c r="O305" s="110">
        <v>0</v>
      </c>
      <c r="P305" s="110">
        <v>0</v>
      </c>
      <c r="Q305" s="110">
        <v>27466.91</v>
      </c>
      <c r="R305" s="110">
        <v>44149.130000000005</v>
      </c>
      <c r="S305" s="110">
        <v>218297.06999999998</v>
      </c>
      <c r="T305" s="110">
        <v>-34214.549999999974</v>
      </c>
      <c r="U305" s="110">
        <v>0</v>
      </c>
      <c r="V305" s="110">
        <v>5388.42</v>
      </c>
      <c r="W305" s="110">
        <v>5388.42</v>
      </c>
      <c r="X305" s="111">
        <v>-39602.969999999972</v>
      </c>
      <c r="Y305" s="72" t="str">
        <f>VLOOKUP(D305,'TKP 终端汇总'!A:A,1,0)</f>
        <v>韶音</v>
      </c>
    </row>
    <row r="306" spans="1:25" x14ac:dyDescent="0.2">
      <c r="A306" s="107" t="s">
        <v>1101</v>
      </c>
      <c r="B306" s="107" t="s">
        <v>1102</v>
      </c>
      <c r="C306" s="108" t="s">
        <v>62</v>
      </c>
      <c r="D306" s="107" t="s">
        <v>1152</v>
      </c>
      <c r="E306" s="109">
        <v>45219</v>
      </c>
      <c r="F306" s="109"/>
      <c r="G306" s="110">
        <v>5755200</v>
      </c>
      <c r="H306" s="110">
        <v>0</v>
      </c>
      <c r="I306" s="110">
        <v>0</v>
      </c>
      <c r="J306" s="110">
        <v>448457.07</v>
      </c>
      <c r="K306" s="110">
        <v>0</v>
      </c>
      <c r="L306" s="110">
        <v>0</v>
      </c>
      <c r="M306" s="110">
        <v>448457.07</v>
      </c>
      <c r="N306" s="110">
        <v>1236473.73</v>
      </c>
      <c r="O306" s="110">
        <v>0</v>
      </c>
      <c r="P306" s="110">
        <v>556672.05000000005</v>
      </c>
      <c r="Q306" s="110">
        <v>209911.12</v>
      </c>
      <c r="R306" s="110">
        <v>180908.71000000002</v>
      </c>
      <c r="S306" s="110">
        <v>2183965.61</v>
      </c>
      <c r="T306" s="110">
        <v>-1735508.54</v>
      </c>
      <c r="U306" s="110">
        <v>3815.5</v>
      </c>
      <c r="V306" s="110">
        <v>4031.31</v>
      </c>
      <c r="W306" s="110">
        <v>7846.8099999999995</v>
      </c>
      <c r="X306" s="111">
        <v>-1743355.35</v>
      </c>
      <c r="Y306" s="72" t="str">
        <f>VLOOKUP(D306,'TKP 终端汇总'!A:A,1,0)</f>
        <v>BAT</v>
      </c>
    </row>
    <row r="307" spans="1:25" x14ac:dyDescent="0.2">
      <c r="A307" s="107" t="s">
        <v>1103</v>
      </c>
      <c r="B307" s="107" t="s">
        <v>1104</v>
      </c>
      <c r="C307" s="108" t="s">
        <v>281</v>
      </c>
      <c r="D307" s="107" t="s">
        <v>1164</v>
      </c>
      <c r="E307" s="109">
        <v>45222</v>
      </c>
      <c r="F307" s="109"/>
      <c r="G307" s="110">
        <v>865000</v>
      </c>
      <c r="H307" s="110">
        <v>0</v>
      </c>
      <c r="I307" s="110">
        <v>0</v>
      </c>
      <c r="J307" s="110">
        <v>48163.009999999995</v>
      </c>
      <c r="K307" s="110">
        <v>0</v>
      </c>
      <c r="L307" s="110">
        <v>0</v>
      </c>
      <c r="M307" s="110">
        <v>48163.009999999995</v>
      </c>
      <c r="N307" s="110">
        <v>52505.47</v>
      </c>
      <c r="O307" s="110">
        <v>53460.11</v>
      </c>
      <c r="P307" s="110">
        <v>1264.47</v>
      </c>
      <c r="Q307" s="110">
        <v>29394.120000000003</v>
      </c>
      <c r="R307" s="110">
        <v>56534.26</v>
      </c>
      <c r="S307" s="110">
        <v>193158.43</v>
      </c>
      <c r="T307" s="110">
        <v>-144995.41999999998</v>
      </c>
      <c r="U307" s="110">
        <v>0</v>
      </c>
      <c r="V307" s="110">
        <v>0</v>
      </c>
      <c r="W307" s="110">
        <v>0</v>
      </c>
      <c r="X307" s="111">
        <v>-144995.41999999998</v>
      </c>
      <c r="Y307" s="72" t="str">
        <f>VLOOKUP(D307,'TKP 终端汇总'!A:A,1,0)</f>
        <v>歌尔</v>
      </c>
    </row>
    <row r="308" spans="1:25" x14ac:dyDescent="0.2">
      <c r="A308" s="107" t="s">
        <v>1105</v>
      </c>
      <c r="B308" s="107" t="s">
        <v>1106</v>
      </c>
      <c r="C308" s="108" t="s">
        <v>1107</v>
      </c>
      <c r="D308" s="107" t="s">
        <v>1248</v>
      </c>
      <c r="E308" s="109">
        <v>45218</v>
      </c>
      <c r="F308" s="109"/>
      <c r="G308" s="110">
        <v>64636</v>
      </c>
      <c r="H308" s="110">
        <v>0</v>
      </c>
      <c r="I308" s="110">
        <v>0</v>
      </c>
      <c r="J308" s="110">
        <v>0</v>
      </c>
      <c r="K308" s="110">
        <v>0</v>
      </c>
      <c r="L308" s="110">
        <v>0</v>
      </c>
      <c r="M308" s="110">
        <v>0</v>
      </c>
      <c r="N308" s="110">
        <v>14444.33</v>
      </c>
      <c r="O308" s="110">
        <v>0</v>
      </c>
      <c r="P308" s="110">
        <v>0</v>
      </c>
      <c r="Q308" s="110">
        <v>0</v>
      </c>
      <c r="R308" s="110">
        <v>677.68</v>
      </c>
      <c r="S308" s="110">
        <v>15122.01</v>
      </c>
      <c r="T308" s="110">
        <v>-15122.01</v>
      </c>
      <c r="U308" s="110">
        <v>0</v>
      </c>
      <c r="V308" s="110">
        <v>0</v>
      </c>
      <c r="W308" s="110">
        <v>0</v>
      </c>
      <c r="X308" s="111">
        <v>-15122.01</v>
      </c>
      <c r="Y308" s="72" t="str">
        <f>VLOOKUP(D308,'TKP 终端汇总'!A:A,1,0)</f>
        <v>中光工业</v>
      </c>
    </row>
    <row r="309" spans="1:25" x14ac:dyDescent="0.2">
      <c r="A309" s="107" t="s">
        <v>1109</v>
      </c>
      <c r="B309" s="107" t="s">
        <v>1110</v>
      </c>
      <c r="C309" s="108" t="s">
        <v>62</v>
      </c>
      <c r="D309" s="107" t="s">
        <v>1152</v>
      </c>
      <c r="E309" s="109">
        <v>45230</v>
      </c>
      <c r="F309" s="109"/>
      <c r="G309" s="110">
        <v>748000</v>
      </c>
      <c r="H309" s="110">
        <v>0</v>
      </c>
      <c r="I309" s="110">
        <v>0</v>
      </c>
      <c r="J309" s="110">
        <v>490821.75999999995</v>
      </c>
      <c r="K309" s="110">
        <v>0</v>
      </c>
      <c r="L309" s="110">
        <v>0</v>
      </c>
      <c r="M309" s="110">
        <v>490821.75999999995</v>
      </c>
      <c r="N309" s="110">
        <v>890122.74</v>
      </c>
      <c r="O309" s="110">
        <v>0</v>
      </c>
      <c r="P309" s="110">
        <v>245869.2799999991</v>
      </c>
      <c r="Q309" s="110">
        <v>201791.2699999999</v>
      </c>
      <c r="R309" s="110">
        <v>241779.70000000022</v>
      </c>
      <c r="S309" s="110">
        <v>1579562.9899999991</v>
      </c>
      <c r="T309" s="110">
        <v>-1088741.2299999995</v>
      </c>
      <c r="U309" s="110">
        <v>3089.72</v>
      </c>
      <c r="V309" s="110">
        <v>43566.549999999996</v>
      </c>
      <c r="W309" s="110">
        <v>46656.27</v>
      </c>
      <c r="X309" s="111">
        <v>-1135397.4999999995</v>
      </c>
      <c r="Y309" s="72" t="str">
        <f>VLOOKUP(D309,'TKP 终端汇总'!A:A,1,0)</f>
        <v>BAT</v>
      </c>
    </row>
    <row r="310" spans="1:25" x14ac:dyDescent="0.2">
      <c r="A310" s="107" t="s">
        <v>1111</v>
      </c>
      <c r="B310" s="107" t="s">
        <v>1112</v>
      </c>
      <c r="C310" s="108" t="s">
        <v>62</v>
      </c>
      <c r="D310" s="107" t="s">
        <v>1152</v>
      </c>
      <c r="E310" s="109">
        <v>45230</v>
      </c>
      <c r="F310" s="109"/>
      <c r="G310" s="110">
        <v>447700</v>
      </c>
      <c r="H310" s="110">
        <v>0</v>
      </c>
      <c r="I310" s="110">
        <v>0</v>
      </c>
      <c r="J310" s="110">
        <v>223341.81000000003</v>
      </c>
      <c r="K310" s="110">
        <v>0</v>
      </c>
      <c r="L310" s="110">
        <v>0</v>
      </c>
      <c r="M310" s="110">
        <v>223341.81000000003</v>
      </c>
      <c r="N310" s="110">
        <v>320542.31</v>
      </c>
      <c r="O310" s="110">
        <v>0</v>
      </c>
      <c r="P310" s="110">
        <v>75610.64</v>
      </c>
      <c r="Q310" s="110">
        <v>37731.200000000004</v>
      </c>
      <c r="R310" s="110">
        <v>-22588.91</v>
      </c>
      <c r="S310" s="110">
        <v>411295.23999999993</v>
      </c>
      <c r="T310" s="110">
        <v>-187953.43</v>
      </c>
      <c r="U310" s="110">
        <v>3086.86</v>
      </c>
      <c r="V310" s="110">
        <v>5117.6299999999992</v>
      </c>
      <c r="W310" s="110">
        <v>8204.49</v>
      </c>
      <c r="X310" s="111">
        <v>-196157.91999999998</v>
      </c>
      <c r="Y310" s="72" t="str">
        <f>VLOOKUP(D310,'TKP 终端汇总'!A:A,1,0)</f>
        <v>BAT</v>
      </c>
    </row>
    <row r="311" spans="1:25" x14ac:dyDescent="0.2">
      <c r="A311" s="107" t="s">
        <v>1113</v>
      </c>
      <c r="B311" s="107" t="s">
        <v>1114</v>
      </c>
      <c r="C311" s="108" t="s">
        <v>56</v>
      </c>
      <c r="D311" s="107" t="s">
        <v>1151</v>
      </c>
      <c r="E311" s="109">
        <v>45233</v>
      </c>
      <c r="F311" s="109"/>
      <c r="G311" s="110">
        <v>410000</v>
      </c>
      <c r="H311" s="110">
        <v>0</v>
      </c>
      <c r="I311" s="110">
        <v>0</v>
      </c>
      <c r="J311" s="110">
        <v>0</v>
      </c>
      <c r="K311" s="110">
        <v>0</v>
      </c>
      <c r="L311" s="110">
        <v>0</v>
      </c>
      <c r="M311" s="110">
        <v>0</v>
      </c>
      <c r="N311" s="110">
        <v>1047.32</v>
      </c>
      <c r="O311" s="110">
        <v>17660.93</v>
      </c>
      <c r="P311" s="110">
        <v>0</v>
      </c>
      <c r="Q311" s="110">
        <v>11757.32</v>
      </c>
      <c r="R311" s="110">
        <v>45578.37</v>
      </c>
      <c r="S311" s="110">
        <v>76043.94</v>
      </c>
      <c r="T311" s="110">
        <v>-76043.94</v>
      </c>
      <c r="U311" s="110">
        <v>0</v>
      </c>
      <c r="V311" s="110">
        <v>180.25</v>
      </c>
      <c r="W311" s="110">
        <v>180.25</v>
      </c>
      <c r="X311" s="111">
        <v>-76224.19</v>
      </c>
      <c r="Y311" s="72" t="str">
        <f>VLOOKUP(D311,'TKP 终端汇总'!A:A,1,0)</f>
        <v>合元</v>
      </c>
    </row>
    <row r="312" spans="1:25" x14ac:dyDescent="0.2">
      <c r="A312" s="107" t="s">
        <v>1115</v>
      </c>
      <c r="B312" s="107" t="s">
        <v>1116</v>
      </c>
      <c r="C312" s="108" t="s">
        <v>56</v>
      </c>
      <c r="D312" s="107" t="s">
        <v>1151</v>
      </c>
      <c r="E312" s="109">
        <v>45240</v>
      </c>
      <c r="F312" s="109"/>
      <c r="G312" s="110">
        <v>1542670</v>
      </c>
      <c r="H312" s="110">
        <v>0</v>
      </c>
      <c r="I312" s="110">
        <v>0</v>
      </c>
      <c r="J312" s="110">
        <v>307472.31</v>
      </c>
      <c r="K312" s="110">
        <v>0</v>
      </c>
      <c r="L312" s="110">
        <v>0</v>
      </c>
      <c r="M312" s="110">
        <v>307472.31</v>
      </c>
      <c r="N312" s="110">
        <v>492750.38</v>
      </c>
      <c r="O312" s="110">
        <v>0</v>
      </c>
      <c r="P312" s="110">
        <v>556.57999999999993</v>
      </c>
      <c r="Q312" s="110">
        <v>5852.9800000000005</v>
      </c>
      <c r="R312" s="110">
        <v>199385.19</v>
      </c>
      <c r="S312" s="110">
        <v>698545.13000000012</v>
      </c>
      <c r="T312" s="110">
        <v>-391072.82000000007</v>
      </c>
      <c r="U312" s="110">
        <v>0</v>
      </c>
      <c r="V312" s="110">
        <v>0</v>
      </c>
      <c r="W312" s="110">
        <v>0</v>
      </c>
      <c r="X312" s="111">
        <v>-391072.82000000007</v>
      </c>
      <c r="Y312" s="72" t="str">
        <f>VLOOKUP(D312,'TKP 终端汇总'!A:A,1,0)</f>
        <v>合元</v>
      </c>
    </row>
    <row r="313" spans="1:25" x14ac:dyDescent="0.2">
      <c r="A313" s="107" t="s">
        <v>1067</v>
      </c>
      <c r="B313" s="107" t="s">
        <v>1068</v>
      </c>
      <c r="C313" s="108">
        <v>330</v>
      </c>
      <c r="D313" s="107" t="s">
        <v>1148</v>
      </c>
      <c r="E313" s="109">
        <v>44226</v>
      </c>
      <c r="F313" s="109">
        <v>43277</v>
      </c>
      <c r="G313" s="110">
        <v>2201000</v>
      </c>
      <c r="H313" s="110">
        <v>105107.8</v>
      </c>
      <c r="I313" s="110">
        <v>0</v>
      </c>
      <c r="J313" s="110">
        <v>0</v>
      </c>
      <c r="K313" s="110">
        <v>0</v>
      </c>
      <c r="L313" s="110">
        <v>0</v>
      </c>
      <c r="M313" s="110">
        <v>105107.8</v>
      </c>
      <c r="N313" s="110">
        <v>85424.4</v>
      </c>
      <c r="O313" s="110">
        <v>0</v>
      </c>
      <c r="P313" s="110">
        <v>0</v>
      </c>
      <c r="Q313" s="110">
        <v>0</v>
      </c>
      <c r="R313" s="110">
        <v>0</v>
      </c>
      <c r="S313" s="110">
        <v>85424.4</v>
      </c>
      <c r="T313" s="110">
        <v>19683.400000000009</v>
      </c>
      <c r="U313" s="110">
        <v>0</v>
      </c>
      <c r="V313" s="110">
        <v>0</v>
      </c>
      <c r="W313" s="110">
        <v>0</v>
      </c>
      <c r="X313" s="111">
        <v>19683.400000000009</v>
      </c>
      <c r="Y313" s="72" t="str">
        <f>VLOOKUP(D313,'TKP 终端汇总'!A:A,1,0)</f>
        <v>GN</v>
      </c>
    </row>
    <row r="314" spans="1:25" x14ac:dyDescent="0.2">
      <c r="A314" s="107" t="s">
        <v>1075</v>
      </c>
      <c r="B314" s="107" t="s">
        <v>1076</v>
      </c>
      <c r="C314" s="108" t="s">
        <v>56</v>
      </c>
      <c r="D314" s="107" t="s">
        <v>1151</v>
      </c>
      <c r="E314" s="109">
        <v>45167</v>
      </c>
      <c r="F314" s="109">
        <v>45343</v>
      </c>
      <c r="G314" s="110">
        <v>3258000</v>
      </c>
      <c r="H314" s="110">
        <v>2596633.92</v>
      </c>
      <c r="I314" s="110">
        <v>0</v>
      </c>
      <c r="J314" s="110">
        <v>0</v>
      </c>
      <c r="K314" s="110">
        <v>0</v>
      </c>
      <c r="L314" s="110">
        <v>0</v>
      </c>
      <c r="M314" s="110">
        <v>2596633.92</v>
      </c>
      <c r="N314" s="110">
        <v>3340512.63</v>
      </c>
      <c r="O314" s="110">
        <v>0</v>
      </c>
      <c r="P314" s="110">
        <v>0</v>
      </c>
      <c r="Q314" s="110">
        <v>33731.64</v>
      </c>
      <c r="R314" s="110">
        <v>2432.2600000000002</v>
      </c>
      <c r="S314" s="110">
        <v>3376676.5300000003</v>
      </c>
      <c r="T314" s="110">
        <v>-780042.61000000057</v>
      </c>
      <c r="U314" s="110">
        <v>60441.270000000004</v>
      </c>
      <c r="V314" s="110">
        <v>13895.76</v>
      </c>
      <c r="W314" s="110">
        <v>74337.03</v>
      </c>
      <c r="X314" s="111">
        <v>-854379.6400000006</v>
      </c>
      <c r="Y314" s="72" t="str">
        <f>VLOOKUP(D314,'TKP 终端汇总'!A:A,1,0)</f>
        <v>合元</v>
      </c>
    </row>
    <row r="315" spans="1:25" x14ac:dyDescent="0.2">
      <c r="A315" s="107" t="s">
        <v>325</v>
      </c>
      <c r="B315" s="107" t="s">
        <v>326</v>
      </c>
      <c r="C315" s="108" t="s">
        <v>327</v>
      </c>
      <c r="D315" s="107" t="s">
        <v>1166</v>
      </c>
      <c r="E315" s="109">
        <v>44226</v>
      </c>
      <c r="F315" s="109">
        <v>44226</v>
      </c>
      <c r="G315" s="110">
        <v>0</v>
      </c>
      <c r="H315" s="110">
        <v>0</v>
      </c>
      <c r="I315" s="110">
        <v>0</v>
      </c>
      <c r="J315" s="110">
        <v>0</v>
      </c>
      <c r="K315" s="110">
        <v>0</v>
      </c>
      <c r="L315" s="110">
        <v>0</v>
      </c>
      <c r="M315" s="110">
        <v>0</v>
      </c>
      <c r="N315" s="110">
        <v>0</v>
      </c>
      <c r="O315" s="110">
        <v>0</v>
      </c>
      <c r="P315" s="110">
        <v>0</v>
      </c>
      <c r="Q315" s="110">
        <v>1033.0899999999999</v>
      </c>
      <c r="R315" s="110">
        <v>0</v>
      </c>
      <c r="S315" s="110">
        <v>1033.0899999999999</v>
      </c>
      <c r="T315" s="110">
        <v>-1033.0899999999999</v>
      </c>
      <c r="U315" s="110">
        <v>0</v>
      </c>
      <c r="V315" s="110">
        <v>0</v>
      </c>
      <c r="W315" s="110">
        <v>0</v>
      </c>
      <c r="X315" s="111">
        <v>-1033.0899999999999</v>
      </c>
      <c r="Y315" s="72" t="str">
        <f>VLOOKUP(D315,'TKP 终端汇总'!A:A,1,0)</f>
        <v xml:space="preserve">Mobileye </v>
      </c>
    </row>
    <row r="316" spans="1:25" x14ac:dyDescent="0.2">
      <c r="A316" s="107" t="s">
        <v>1133</v>
      </c>
      <c r="B316" s="107" t="s">
        <v>1134</v>
      </c>
      <c r="C316" s="108" t="s">
        <v>1056</v>
      </c>
      <c r="D316" s="107" t="s">
        <v>1185</v>
      </c>
      <c r="E316" s="109">
        <v>45267</v>
      </c>
      <c r="F316" s="109"/>
      <c r="G316" s="110">
        <v>0</v>
      </c>
      <c r="H316" s="110">
        <v>0</v>
      </c>
      <c r="I316" s="110">
        <v>0</v>
      </c>
      <c r="J316" s="110">
        <v>0</v>
      </c>
      <c r="K316" s="110">
        <v>0</v>
      </c>
      <c r="L316" s="110">
        <v>0</v>
      </c>
      <c r="M316" s="110">
        <v>0</v>
      </c>
      <c r="N316" s="110">
        <v>0</v>
      </c>
      <c r="O316" s="110">
        <v>0</v>
      </c>
      <c r="P316" s="110">
        <v>0</v>
      </c>
      <c r="Q316" s="110">
        <v>1502.57</v>
      </c>
      <c r="R316" s="110">
        <v>8980.14</v>
      </c>
      <c r="S316" s="110">
        <v>10482.709999999999</v>
      </c>
      <c r="T316" s="110">
        <v>-10482.709999999999</v>
      </c>
      <c r="U316" s="110">
        <v>0</v>
      </c>
      <c r="V316" s="110">
        <v>0</v>
      </c>
      <c r="W316" s="110">
        <v>0</v>
      </c>
      <c r="X316" s="111">
        <v>-10482.709999999999</v>
      </c>
      <c r="Y316" s="72" t="str">
        <f>VLOOKUP(D316,'TKP 终端汇总'!A:A,1,0)</f>
        <v>恩雅乐器</v>
      </c>
    </row>
    <row r="317" spans="1:25" x14ac:dyDescent="0.2">
      <c r="A317" s="107" t="s">
        <v>1120</v>
      </c>
      <c r="B317" s="107" t="s">
        <v>1121</v>
      </c>
      <c r="C317" s="108">
        <v>440</v>
      </c>
      <c r="D317" s="107" t="s">
        <v>1161</v>
      </c>
      <c r="E317" s="109">
        <v>45282</v>
      </c>
      <c r="F317" s="109"/>
      <c r="G317" s="110">
        <v>660000</v>
      </c>
      <c r="H317" s="110">
        <v>0</v>
      </c>
      <c r="I317" s="110">
        <v>0</v>
      </c>
      <c r="J317" s="110">
        <v>0</v>
      </c>
      <c r="K317" s="110">
        <v>226200</v>
      </c>
      <c r="L317" s="110">
        <v>0</v>
      </c>
      <c r="M317" s="110">
        <v>226200</v>
      </c>
      <c r="N317" s="110">
        <v>0</v>
      </c>
      <c r="O317" s="110">
        <v>35651.22</v>
      </c>
      <c r="P317" s="110">
        <v>0</v>
      </c>
      <c r="Q317" s="110">
        <v>12347.16</v>
      </c>
      <c r="R317" s="110">
        <v>0</v>
      </c>
      <c r="S317" s="110">
        <v>47998.38</v>
      </c>
      <c r="T317" s="110">
        <v>178201.62</v>
      </c>
      <c r="U317" s="110">
        <v>591.88</v>
      </c>
      <c r="V317" s="110">
        <v>0</v>
      </c>
      <c r="W317" s="110">
        <v>591.88</v>
      </c>
      <c r="X317" s="111">
        <v>177609.74</v>
      </c>
      <c r="Y317" s="72" t="str">
        <f>VLOOKUP(D317,'TKP 终端汇总'!A:A,1,0)</f>
        <v>OTTERBOX</v>
      </c>
    </row>
    <row r="318" spans="1:25" x14ac:dyDescent="0.2">
      <c r="A318" s="107" t="s">
        <v>1131</v>
      </c>
      <c r="B318" s="107" t="s">
        <v>1132</v>
      </c>
      <c r="C318" s="108" t="s">
        <v>1028</v>
      </c>
      <c r="D318" s="107" t="s">
        <v>1180</v>
      </c>
      <c r="E318" s="109">
        <v>45265</v>
      </c>
      <c r="F318" s="109"/>
      <c r="G318" s="110">
        <v>401489</v>
      </c>
      <c r="H318" s="110">
        <v>0</v>
      </c>
      <c r="I318" s="110">
        <v>0</v>
      </c>
      <c r="J318" s="110">
        <v>0</v>
      </c>
      <c r="K318" s="110">
        <v>0</v>
      </c>
      <c r="L318" s="110">
        <v>0</v>
      </c>
      <c r="M318" s="110">
        <v>0</v>
      </c>
      <c r="N318" s="110">
        <v>3559.07</v>
      </c>
      <c r="O318" s="110">
        <v>0</v>
      </c>
      <c r="P318" s="110">
        <v>0</v>
      </c>
      <c r="Q318" s="110">
        <v>0</v>
      </c>
      <c r="R318" s="110">
        <v>10909.099999999999</v>
      </c>
      <c r="S318" s="110">
        <v>14468.169999999998</v>
      </c>
      <c r="T318" s="110">
        <v>-14468.169999999998</v>
      </c>
      <c r="U318" s="110">
        <v>0</v>
      </c>
      <c r="V318" s="110">
        <v>4911.43</v>
      </c>
      <c r="W318" s="110">
        <v>4911.43</v>
      </c>
      <c r="X318" s="111">
        <v>-19379.599999999999</v>
      </c>
      <c r="Y318" s="72" t="str">
        <f>VLOOKUP(D318,'TKP 终端汇总'!A:A,1,0)</f>
        <v>TCL王牌电器</v>
      </c>
    </row>
    <row r="319" spans="1:25" x14ac:dyDescent="0.2">
      <c r="A319" s="107" t="s">
        <v>1135</v>
      </c>
      <c r="B319" s="107" t="s">
        <v>1136</v>
      </c>
      <c r="C319" s="108" t="s">
        <v>80</v>
      </c>
      <c r="D319" s="107" t="s">
        <v>1151</v>
      </c>
      <c r="E319" s="109">
        <v>45279</v>
      </c>
      <c r="F319" s="109"/>
      <c r="G319" s="110">
        <v>209000</v>
      </c>
      <c r="H319" s="110">
        <v>0</v>
      </c>
      <c r="I319" s="110">
        <v>0</v>
      </c>
      <c r="J319" s="110">
        <v>0</v>
      </c>
      <c r="K319" s="110">
        <v>0</v>
      </c>
      <c r="L319" s="110">
        <v>0</v>
      </c>
      <c r="M319" s="110">
        <v>0</v>
      </c>
      <c r="N319" s="110">
        <v>22816.02</v>
      </c>
      <c r="O319" s="110">
        <v>0</v>
      </c>
      <c r="P319" s="110">
        <v>0</v>
      </c>
      <c r="Q319" s="110">
        <v>0</v>
      </c>
      <c r="R319" s="110">
        <v>29648.74</v>
      </c>
      <c r="S319" s="110">
        <v>52464.76</v>
      </c>
      <c r="T319" s="110">
        <v>-52464.76</v>
      </c>
      <c r="U319" s="110">
        <v>0</v>
      </c>
      <c r="V319" s="110">
        <v>1565.89</v>
      </c>
      <c r="W319" s="110">
        <v>1565.89</v>
      </c>
      <c r="X319" s="111">
        <v>-54030.65</v>
      </c>
      <c r="Y319" s="72" t="str">
        <f>VLOOKUP(D319,'TKP 终端汇总'!A:A,1,0)</f>
        <v>合元</v>
      </c>
    </row>
    <row r="320" spans="1:25" x14ac:dyDescent="0.2">
      <c r="A320" s="107" t="s">
        <v>1124</v>
      </c>
      <c r="B320" s="107" t="s">
        <v>1125</v>
      </c>
      <c r="C320" s="108">
        <v>438</v>
      </c>
      <c r="D320" s="107" t="s">
        <v>1157</v>
      </c>
      <c r="E320" s="109">
        <v>45301</v>
      </c>
      <c r="F320" s="109"/>
      <c r="G320" s="110">
        <v>78309</v>
      </c>
      <c r="H320" s="110">
        <v>8629.99</v>
      </c>
      <c r="I320" s="110">
        <v>0</v>
      </c>
      <c r="J320" s="110">
        <v>18619.2</v>
      </c>
      <c r="K320" s="110">
        <v>0</v>
      </c>
      <c r="L320" s="110">
        <v>0</v>
      </c>
      <c r="M320" s="110">
        <v>27249.19</v>
      </c>
      <c r="N320" s="110">
        <v>5366.81</v>
      </c>
      <c r="O320" s="110">
        <v>0</v>
      </c>
      <c r="P320" s="110">
        <v>0</v>
      </c>
      <c r="Q320" s="110">
        <v>2529.81</v>
      </c>
      <c r="R320" s="110">
        <v>10765.35</v>
      </c>
      <c r="S320" s="110">
        <v>18661.97</v>
      </c>
      <c r="T320" s="110">
        <v>8587.2199999999975</v>
      </c>
      <c r="U320" s="110">
        <v>0</v>
      </c>
      <c r="V320" s="110">
        <v>1013.03</v>
      </c>
      <c r="W320" s="110">
        <v>1013.03</v>
      </c>
      <c r="X320" s="111">
        <v>7574.1899999999978</v>
      </c>
      <c r="Y320" s="72" t="str">
        <f>VLOOKUP(D320,'TKP 终端汇总'!A:A,1,0)</f>
        <v>PHILIPS</v>
      </c>
    </row>
    <row r="321" spans="1:25" x14ac:dyDescent="0.2">
      <c r="A321" s="107" t="s">
        <v>1126</v>
      </c>
      <c r="B321" s="107" t="s">
        <v>1127</v>
      </c>
      <c r="C321" s="108" t="s">
        <v>62</v>
      </c>
      <c r="D321" s="107" t="s">
        <v>1152</v>
      </c>
      <c r="E321" s="109">
        <v>45257</v>
      </c>
      <c r="F321" s="109"/>
      <c r="G321" s="110">
        <v>2673000</v>
      </c>
      <c r="H321" s="110">
        <v>0</v>
      </c>
      <c r="I321" s="110">
        <v>0</v>
      </c>
      <c r="J321" s="110">
        <v>10124.76</v>
      </c>
      <c r="K321" s="110">
        <v>0</v>
      </c>
      <c r="L321" s="110">
        <v>0</v>
      </c>
      <c r="M321" s="110">
        <v>10124.76</v>
      </c>
      <c r="N321" s="110">
        <v>47808.820000000007</v>
      </c>
      <c r="O321" s="110">
        <v>0</v>
      </c>
      <c r="P321" s="110">
        <v>0</v>
      </c>
      <c r="Q321" s="110">
        <v>90569.79</v>
      </c>
      <c r="R321" s="110">
        <v>-4197.6899999999987</v>
      </c>
      <c r="S321" s="110">
        <v>134180.91999999998</v>
      </c>
      <c r="T321" s="110">
        <v>-124056.16</v>
      </c>
      <c r="U321" s="110">
        <v>12213.36</v>
      </c>
      <c r="V321" s="110">
        <v>60466.75</v>
      </c>
      <c r="W321" s="110">
        <v>72680.11</v>
      </c>
      <c r="X321" s="111">
        <v>-196736.27000000002</v>
      </c>
      <c r="Y321" s="72" t="str">
        <f>VLOOKUP(D321,'TKP 终端汇总'!A:A,1,0)</f>
        <v>BAT</v>
      </c>
    </row>
    <row r="322" spans="1:25" x14ac:dyDescent="0.2">
      <c r="A322" s="107" t="s">
        <v>1137</v>
      </c>
      <c r="B322" s="107" t="s">
        <v>1138</v>
      </c>
      <c r="C322" s="108" t="s">
        <v>1056</v>
      </c>
      <c r="D322" s="107" t="s">
        <v>1185</v>
      </c>
      <c r="E322" s="109">
        <v>45275</v>
      </c>
      <c r="F322" s="109"/>
      <c r="G322" s="110">
        <v>1404480</v>
      </c>
      <c r="H322" s="110">
        <v>0</v>
      </c>
      <c r="I322" s="110">
        <v>0</v>
      </c>
      <c r="J322" s="110">
        <v>69384.42</v>
      </c>
      <c r="K322" s="110">
        <v>0</v>
      </c>
      <c r="L322" s="110">
        <v>0</v>
      </c>
      <c r="M322" s="110">
        <v>69384.42</v>
      </c>
      <c r="N322" s="110">
        <v>9822.24</v>
      </c>
      <c r="O322" s="110">
        <v>0</v>
      </c>
      <c r="P322" s="110">
        <v>0</v>
      </c>
      <c r="Q322" s="110">
        <v>803.81</v>
      </c>
      <c r="R322" s="110">
        <v>178305.35</v>
      </c>
      <c r="S322" s="110">
        <v>188931.4</v>
      </c>
      <c r="T322" s="110">
        <v>-119546.98</v>
      </c>
      <c r="U322" s="110">
        <v>0</v>
      </c>
      <c r="V322" s="110">
        <v>8207.92</v>
      </c>
      <c r="W322" s="110">
        <v>8207.92</v>
      </c>
      <c r="X322" s="111">
        <v>-127754.9</v>
      </c>
      <c r="Y322" s="72" t="str">
        <f>VLOOKUP(D322,'TKP 终端汇总'!A:A,1,0)</f>
        <v>恩雅乐器</v>
      </c>
    </row>
    <row r="323" spans="1:25" x14ac:dyDescent="0.2">
      <c r="A323" s="107" t="s">
        <v>1128</v>
      </c>
      <c r="B323" s="107" t="s">
        <v>239</v>
      </c>
      <c r="C323" s="108" t="s">
        <v>1129</v>
      </c>
      <c r="D323" s="107" t="s">
        <v>1249</v>
      </c>
      <c r="E323" s="109">
        <v>45314</v>
      </c>
      <c r="F323" s="109"/>
      <c r="G323" s="110">
        <v>160000</v>
      </c>
      <c r="H323" s="110">
        <v>0</v>
      </c>
      <c r="I323" s="110">
        <v>0</v>
      </c>
      <c r="J323" s="110">
        <v>62625.69</v>
      </c>
      <c r="K323" s="110">
        <v>91693.62</v>
      </c>
      <c r="L323" s="110">
        <v>0</v>
      </c>
      <c r="M323" s="110">
        <v>154319.31</v>
      </c>
      <c r="N323" s="110">
        <v>45483.68</v>
      </c>
      <c r="O323" s="110">
        <v>0</v>
      </c>
      <c r="P323" s="110">
        <v>0</v>
      </c>
      <c r="Q323" s="110">
        <v>155337.76</v>
      </c>
      <c r="R323" s="110">
        <v>81862.509999999995</v>
      </c>
      <c r="S323" s="110">
        <v>282683.95</v>
      </c>
      <c r="T323" s="110">
        <v>-128364.64000000003</v>
      </c>
      <c r="U323" s="110">
        <v>2195.69</v>
      </c>
      <c r="V323" s="110">
        <v>0</v>
      </c>
      <c r="W323" s="110">
        <v>2195.69</v>
      </c>
      <c r="X323" s="111">
        <v>-130560.33000000003</v>
      </c>
      <c r="Y323" s="72" t="str">
        <f>VLOOKUP(D323,'TKP 终端汇总'!A:A,1,0)</f>
        <v>玩出梦想</v>
      </c>
    </row>
    <row r="324" spans="1:25" x14ac:dyDescent="0.2">
      <c r="A324" s="107" t="s">
        <v>1122</v>
      </c>
      <c r="B324" s="107" t="s">
        <v>1123</v>
      </c>
      <c r="C324" s="108" t="s">
        <v>136</v>
      </c>
      <c r="D324" s="107" t="s">
        <v>1178</v>
      </c>
      <c r="E324" s="109">
        <v>45273</v>
      </c>
      <c r="F324" s="109"/>
      <c r="G324" s="110">
        <v>803000</v>
      </c>
      <c r="H324" s="110">
        <v>0</v>
      </c>
      <c r="I324" s="110">
        <v>0</v>
      </c>
      <c r="J324" s="110">
        <v>0</v>
      </c>
      <c r="K324" s="110">
        <v>0</v>
      </c>
      <c r="L324" s="110">
        <v>0</v>
      </c>
      <c r="M324" s="110">
        <v>0</v>
      </c>
      <c r="N324" s="110">
        <v>0</v>
      </c>
      <c r="O324" s="110">
        <v>0</v>
      </c>
      <c r="P324" s="110">
        <v>0</v>
      </c>
      <c r="Q324" s="110">
        <v>2040.42</v>
      </c>
      <c r="R324" s="110">
        <v>23113.85</v>
      </c>
      <c r="S324" s="110">
        <v>25154.27</v>
      </c>
      <c r="T324" s="110">
        <v>-25154.27</v>
      </c>
      <c r="U324" s="110">
        <v>0</v>
      </c>
      <c r="V324" s="110">
        <v>970.84</v>
      </c>
      <c r="W324" s="110">
        <v>970.84</v>
      </c>
      <c r="X324" s="111">
        <v>-26125.11</v>
      </c>
      <c r="Y324" s="72" t="str">
        <f>VLOOKUP(D324,'TKP 终端汇总'!A:A,1,0)</f>
        <v>Square</v>
      </c>
    </row>
    <row r="325" spans="1:25" x14ac:dyDescent="0.2">
      <c r="A325" s="107" t="s">
        <v>1119</v>
      </c>
      <c r="B325" s="107">
        <v>668</v>
      </c>
      <c r="C325" s="108" t="s">
        <v>1032</v>
      </c>
      <c r="D325" s="107" t="s">
        <v>1033</v>
      </c>
      <c r="E325" s="109">
        <v>45282</v>
      </c>
      <c r="F325" s="109"/>
      <c r="G325" s="110">
        <v>1140000</v>
      </c>
      <c r="H325" s="110">
        <v>999025.87</v>
      </c>
      <c r="I325" s="110">
        <v>0</v>
      </c>
      <c r="J325" s="110">
        <v>33272.32</v>
      </c>
      <c r="K325" s="110">
        <v>0</v>
      </c>
      <c r="L325" s="110">
        <v>0</v>
      </c>
      <c r="M325" s="110">
        <v>1032298.19</v>
      </c>
      <c r="N325" s="110">
        <v>1063793.1600000008</v>
      </c>
      <c r="O325" s="110">
        <v>0</v>
      </c>
      <c r="P325" s="110">
        <v>2810.7</v>
      </c>
      <c r="Q325" s="110">
        <v>15597.95</v>
      </c>
      <c r="R325" s="110">
        <v>242539.83000000002</v>
      </c>
      <c r="S325" s="110">
        <v>1324741.6400000008</v>
      </c>
      <c r="T325" s="110">
        <v>-292443.45000000077</v>
      </c>
      <c r="U325" s="110">
        <v>0</v>
      </c>
      <c r="V325" s="110">
        <v>0</v>
      </c>
      <c r="W325" s="110">
        <v>0</v>
      </c>
      <c r="X325" s="111">
        <v>-292443.45000000077</v>
      </c>
      <c r="Y325" s="72" t="str">
        <f>VLOOKUP(D325,'TKP 终端汇总'!A:A,1,0)</f>
        <v>索尼电子</v>
      </c>
    </row>
    <row r="326" spans="1:25" x14ac:dyDescent="0.2">
      <c r="A326" s="107" t="s">
        <v>1200</v>
      </c>
      <c r="B326" s="107" t="s">
        <v>1201</v>
      </c>
      <c r="C326" s="108" t="s">
        <v>1202</v>
      </c>
      <c r="D326" s="107" t="s">
        <v>1252</v>
      </c>
      <c r="E326" s="109">
        <v>45300</v>
      </c>
      <c r="F326" s="109"/>
      <c r="G326" s="110">
        <v>44000</v>
      </c>
      <c r="H326" s="110">
        <v>0</v>
      </c>
      <c r="I326" s="110">
        <v>0</v>
      </c>
      <c r="J326" s="110">
        <v>1157.47</v>
      </c>
      <c r="K326" s="110">
        <v>0</v>
      </c>
      <c r="L326" s="110">
        <v>0</v>
      </c>
      <c r="M326" s="110">
        <v>1157.47</v>
      </c>
      <c r="N326" s="110">
        <v>0</v>
      </c>
      <c r="O326" s="110">
        <v>0</v>
      </c>
      <c r="P326" s="110">
        <v>0</v>
      </c>
      <c r="Q326" s="110">
        <v>0</v>
      </c>
      <c r="R326" s="110">
        <v>2600.6499999999996</v>
      </c>
      <c r="S326" s="110">
        <v>2600.6499999999996</v>
      </c>
      <c r="T326" s="110">
        <v>-1443.1799999999998</v>
      </c>
      <c r="U326" s="110">
        <v>0</v>
      </c>
      <c r="V326" s="110">
        <v>0</v>
      </c>
      <c r="W326" s="110">
        <v>0</v>
      </c>
      <c r="X326" s="111">
        <v>-1443.1799999999998</v>
      </c>
      <c r="Y326" s="72" t="str">
        <f>VLOOKUP(D326,'TKP 终端汇总'!A:A,1,0)</f>
        <v>鸿利智汇</v>
      </c>
    </row>
    <row r="327" spans="1:25" x14ac:dyDescent="0.2">
      <c r="A327" s="107" t="s">
        <v>1204</v>
      </c>
      <c r="B327" s="107" t="s">
        <v>1205</v>
      </c>
      <c r="C327" s="108" t="s">
        <v>62</v>
      </c>
      <c r="D327" s="107" t="s">
        <v>1152</v>
      </c>
      <c r="E327" s="109">
        <v>45271</v>
      </c>
      <c r="F327" s="109"/>
      <c r="G327" s="110">
        <v>989000</v>
      </c>
      <c r="H327" s="110">
        <v>0</v>
      </c>
      <c r="I327" s="110">
        <v>0</v>
      </c>
      <c r="J327" s="110">
        <v>50354.720000000001</v>
      </c>
      <c r="K327" s="110">
        <v>0</v>
      </c>
      <c r="L327" s="110">
        <v>0</v>
      </c>
      <c r="M327" s="110">
        <v>50354.720000000001</v>
      </c>
      <c r="N327" s="110">
        <v>402478.44</v>
      </c>
      <c r="O327" s="110">
        <v>0</v>
      </c>
      <c r="P327" s="110">
        <v>125.72</v>
      </c>
      <c r="Q327" s="110">
        <v>859.18</v>
      </c>
      <c r="R327" s="110">
        <v>3663.6099999999997</v>
      </c>
      <c r="S327" s="110">
        <v>407126.94999999995</v>
      </c>
      <c r="T327" s="110">
        <v>-356772.23</v>
      </c>
      <c r="U327" s="110">
        <v>0</v>
      </c>
      <c r="V327" s="110">
        <v>0</v>
      </c>
      <c r="W327" s="110">
        <v>0</v>
      </c>
      <c r="X327" s="111">
        <v>-356772.23</v>
      </c>
      <c r="Y327" s="72" t="str">
        <f>VLOOKUP(D327,'TKP 终端汇总'!A:A,1,0)</f>
        <v>BAT</v>
      </c>
    </row>
    <row r="328" spans="1:25" x14ac:dyDescent="0.2">
      <c r="A328" s="107" t="s">
        <v>1206</v>
      </c>
      <c r="B328" s="107" t="s">
        <v>1207</v>
      </c>
      <c r="C328" s="108" t="s">
        <v>122</v>
      </c>
      <c r="D328" s="107" t="s">
        <v>1370</v>
      </c>
      <c r="E328" s="109">
        <v>45280</v>
      </c>
      <c r="F328" s="109"/>
      <c r="G328" s="110">
        <v>1600000</v>
      </c>
      <c r="H328" s="110">
        <v>1039870.69</v>
      </c>
      <c r="I328" s="110">
        <v>0</v>
      </c>
      <c r="J328" s="110">
        <v>84912.82</v>
      </c>
      <c r="K328" s="110">
        <v>0</v>
      </c>
      <c r="L328" s="110">
        <v>0</v>
      </c>
      <c r="M328" s="110">
        <v>1124783.5099999998</v>
      </c>
      <c r="N328" s="110">
        <v>828663.79</v>
      </c>
      <c r="O328" s="110">
        <v>0</v>
      </c>
      <c r="P328" s="110">
        <v>475.94</v>
      </c>
      <c r="Q328" s="110">
        <v>15022.11</v>
      </c>
      <c r="R328" s="110">
        <v>26445.86</v>
      </c>
      <c r="S328" s="110">
        <v>870607.70000000007</v>
      </c>
      <c r="T328" s="110">
        <v>254175.80999999979</v>
      </c>
      <c r="U328" s="110">
        <v>0</v>
      </c>
      <c r="V328" s="110">
        <v>0</v>
      </c>
      <c r="W328" s="110">
        <v>0</v>
      </c>
      <c r="X328" s="111">
        <v>254175.80999999979</v>
      </c>
      <c r="Y328" s="72" t="str">
        <f>VLOOKUP(D328,'TKP 终端汇总'!A:A,1,0)</f>
        <v>Meta</v>
      </c>
    </row>
    <row r="329" spans="1:25" x14ac:dyDescent="0.2">
      <c r="A329" s="107" t="s">
        <v>1208</v>
      </c>
      <c r="B329" s="107" t="s">
        <v>1127</v>
      </c>
      <c r="C329" s="108" t="s">
        <v>96</v>
      </c>
      <c r="D329" s="107" t="s">
        <v>1194</v>
      </c>
      <c r="E329" s="109">
        <v>45296</v>
      </c>
      <c r="F329" s="109"/>
      <c r="G329" s="110">
        <v>480000</v>
      </c>
      <c r="H329" s="110">
        <v>0</v>
      </c>
      <c r="I329" s="110">
        <v>0</v>
      </c>
      <c r="J329" s="110">
        <v>5071.53</v>
      </c>
      <c r="K329" s="110">
        <v>0</v>
      </c>
      <c r="L329" s="110">
        <v>0</v>
      </c>
      <c r="M329" s="110">
        <v>5071.53</v>
      </c>
      <c r="N329" s="110">
        <v>22328.52</v>
      </c>
      <c r="O329" s="110">
        <v>0</v>
      </c>
      <c r="P329" s="110">
        <v>0</v>
      </c>
      <c r="Q329" s="110">
        <v>51782.69</v>
      </c>
      <c r="R329" s="110">
        <v>-6107.87</v>
      </c>
      <c r="S329" s="110">
        <v>68003.34</v>
      </c>
      <c r="T329" s="110">
        <v>-62931.81</v>
      </c>
      <c r="U329" s="110">
        <v>0</v>
      </c>
      <c r="V329" s="110">
        <v>0</v>
      </c>
      <c r="W329" s="110">
        <v>0</v>
      </c>
      <c r="X329" s="111">
        <v>-62931.81</v>
      </c>
      <c r="Y329" s="72" t="str">
        <f>VLOOKUP(D329,'TKP 终端汇总'!A:A,1,0)</f>
        <v>通力</v>
      </c>
    </row>
    <row r="330" spans="1:25" x14ac:dyDescent="0.2">
      <c r="A330" s="107" t="s">
        <v>1209</v>
      </c>
      <c r="B330" s="107" t="s">
        <v>1210</v>
      </c>
      <c r="C330" s="108" t="s">
        <v>1211</v>
      </c>
      <c r="D330" s="107" t="s">
        <v>1253</v>
      </c>
      <c r="E330" s="109">
        <v>45282</v>
      </c>
      <c r="F330" s="109"/>
      <c r="G330" s="110">
        <v>106700</v>
      </c>
      <c r="H330" s="110">
        <v>0</v>
      </c>
      <c r="I330" s="110">
        <v>0</v>
      </c>
      <c r="J330" s="110">
        <v>0</v>
      </c>
      <c r="K330" s="110">
        <v>0</v>
      </c>
      <c r="L330" s="110">
        <v>0</v>
      </c>
      <c r="M330" s="110">
        <v>0</v>
      </c>
      <c r="N330" s="110">
        <v>3818.58</v>
      </c>
      <c r="O330" s="110">
        <v>0</v>
      </c>
      <c r="P330" s="110">
        <v>0</v>
      </c>
      <c r="Q330" s="110">
        <v>0</v>
      </c>
      <c r="R330" s="110">
        <v>8996.67</v>
      </c>
      <c r="S330" s="110">
        <v>12815.25</v>
      </c>
      <c r="T330" s="110">
        <v>-12815.25</v>
      </c>
      <c r="U330" s="110">
        <v>0</v>
      </c>
      <c r="V330" s="110">
        <v>0</v>
      </c>
      <c r="W330" s="110">
        <v>0</v>
      </c>
      <c r="X330" s="111">
        <v>-12815.25</v>
      </c>
      <c r="Y330" s="72" t="str">
        <f>VLOOKUP(D330,'TKP 终端汇总'!A:A,1,0)</f>
        <v>富穎電子</v>
      </c>
    </row>
    <row r="331" spans="1:25" x14ac:dyDescent="0.2">
      <c r="A331" s="107" t="s">
        <v>1213</v>
      </c>
      <c r="B331" s="107" t="s">
        <v>1214</v>
      </c>
      <c r="C331" s="108" t="s">
        <v>9</v>
      </c>
      <c r="D331" s="107" t="s">
        <v>1197</v>
      </c>
      <c r="E331" s="109">
        <v>45268</v>
      </c>
      <c r="F331" s="109"/>
      <c r="G331" s="110">
        <v>183964</v>
      </c>
      <c r="H331" s="110">
        <v>0</v>
      </c>
      <c r="I331" s="110">
        <v>0</v>
      </c>
      <c r="J331" s="110">
        <v>0</v>
      </c>
      <c r="K331" s="110">
        <v>0</v>
      </c>
      <c r="L331" s="110">
        <v>0</v>
      </c>
      <c r="M331" s="110">
        <v>0</v>
      </c>
      <c r="N331" s="110">
        <v>0</v>
      </c>
      <c r="O331" s="110">
        <v>0</v>
      </c>
      <c r="P331" s="110">
        <v>0</v>
      </c>
      <c r="Q331" s="110">
        <v>14304.24</v>
      </c>
      <c r="R331" s="110">
        <v>1157.6399999999999</v>
      </c>
      <c r="S331" s="110">
        <v>15461.88</v>
      </c>
      <c r="T331" s="110">
        <v>-15461.88</v>
      </c>
      <c r="U331" s="110">
        <v>0</v>
      </c>
      <c r="V331" s="110">
        <v>0</v>
      </c>
      <c r="W331" s="110">
        <v>0</v>
      </c>
      <c r="X331" s="111">
        <v>-15461.88</v>
      </c>
      <c r="Y331" s="72" t="str">
        <f>VLOOKUP(D331,'TKP 终端汇总'!A:A,1,0)</f>
        <v>新产业</v>
      </c>
    </row>
    <row r="332" spans="1:25" x14ac:dyDescent="0.2">
      <c r="A332" s="107" t="s">
        <v>1215</v>
      </c>
      <c r="B332" s="107" t="s">
        <v>1216</v>
      </c>
      <c r="C332" s="108" t="s">
        <v>122</v>
      </c>
      <c r="D332" s="107" t="s">
        <v>1370</v>
      </c>
      <c r="E332" s="109">
        <v>45303</v>
      </c>
      <c r="F332" s="109"/>
      <c r="G332" s="110">
        <v>103000</v>
      </c>
      <c r="H332" s="110">
        <v>0</v>
      </c>
      <c r="I332" s="110">
        <v>0</v>
      </c>
      <c r="J332" s="110">
        <v>0</v>
      </c>
      <c r="K332" s="110">
        <v>0</v>
      </c>
      <c r="L332" s="110">
        <v>0</v>
      </c>
      <c r="M332" s="110">
        <v>0</v>
      </c>
      <c r="N332" s="110">
        <v>0</v>
      </c>
      <c r="O332" s="110">
        <v>0</v>
      </c>
      <c r="P332" s="110">
        <v>0</v>
      </c>
      <c r="Q332" s="110">
        <v>3466.64</v>
      </c>
      <c r="R332" s="110">
        <v>356.96000000000004</v>
      </c>
      <c r="S332" s="110">
        <v>3823.6</v>
      </c>
      <c r="T332" s="110">
        <v>-3823.6</v>
      </c>
      <c r="U332" s="110">
        <v>0</v>
      </c>
      <c r="V332" s="110">
        <v>0</v>
      </c>
      <c r="W332" s="110">
        <v>0</v>
      </c>
      <c r="X332" s="111">
        <v>-3823.6</v>
      </c>
      <c r="Y332" s="72" t="str">
        <f>VLOOKUP(D332,'TKP 终端汇总'!A:A,1,0)</f>
        <v>Meta</v>
      </c>
    </row>
    <row r="333" spans="1:25" x14ac:dyDescent="0.2">
      <c r="A333" s="107" t="s">
        <v>1255</v>
      </c>
      <c r="B333" s="107" t="s">
        <v>1256</v>
      </c>
      <c r="C333" s="108">
        <v>330</v>
      </c>
      <c r="D333" s="107" t="s">
        <v>1148</v>
      </c>
      <c r="E333" s="109">
        <v>45286</v>
      </c>
      <c r="F333" s="109"/>
      <c r="G333" s="110">
        <v>4360000</v>
      </c>
      <c r="H333" s="110">
        <v>0</v>
      </c>
      <c r="I333" s="110">
        <v>0</v>
      </c>
      <c r="J333" s="110">
        <v>0</v>
      </c>
      <c r="K333" s="110">
        <v>0</v>
      </c>
      <c r="L333" s="110">
        <v>0</v>
      </c>
      <c r="M333" s="110">
        <v>0</v>
      </c>
      <c r="N333" s="110">
        <v>0</v>
      </c>
      <c r="O333" s="110">
        <v>0</v>
      </c>
      <c r="P333" s="110">
        <v>0</v>
      </c>
      <c r="Q333" s="110">
        <v>34720.17</v>
      </c>
      <c r="R333" s="110">
        <v>79894.570000000007</v>
      </c>
      <c r="S333" s="110">
        <v>114614.74</v>
      </c>
      <c r="T333" s="110">
        <v>-114614.74</v>
      </c>
      <c r="U333" s="110">
        <v>0</v>
      </c>
      <c r="V333" s="110">
        <v>3858.2200000000003</v>
      </c>
      <c r="W333" s="110">
        <v>3858.2200000000003</v>
      </c>
      <c r="X333" s="111">
        <v>-118472.96000000001</v>
      </c>
      <c r="Y333" s="72" t="str">
        <f>VLOOKUP(D333,'TKP 终端汇总'!A:A,1,0)</f>
        <v>GN</v>
      </c>
    </row>
    <row r="334" spans="1:25" x14ac:dyDescent="0.2">
      <c r="A334" s="107" t="s">
        <v>1257</v>
      </c>
      <c r="B334" s="107" t="s">
        <v>1258</v>
      </c>
      <c r="C334" s="108" t="s">
        <v>1259</v>
      </c>
      <c r="D334" s="107" t="s">
        <v>1321</v>
      </c>
      <c r="E334" s="109">
        <v>45280</v>
      </c>
      <c r="F334" s="109"/>
      <c r="G334" s="110">
        <v>60000</v>
      </c>
      <c r="H334" s="110">
        <v>0</v>
      </c>
      <c r="I334" s="110">
        <v>0</v>
      </c>
      <c r="J334" s="110">
        <v>0</v>
      </c>
      <c r="K334" s="110">
        <v>0</v>
      </c>
      <c r="L334" s="110">
        <v>0</v>
      </c>
      <c r="M334" s="110">
        <v>0</v>
      </c>
      <c r="N334" s="110">
        <v>0</v>
      </c>
      <c r="O334" s="110">
        <v>0</v>
      </c>
      <c r="P334" s="110">
        <v>0</v>
      </c>
      <c r="Q334" s="110">
        <v>11509.24</v>
      </c>
      <c r="R334" s="110">
        <v>4817.46</v>
      </c>
      <c r="S334" s="110">
        <v>16326.699999999999</v>
      </c>
      <c r="T334" s="110">
        <v>-16326.699999999999</v>
      </c>
      <c r="U334" s="110">
        <v>9955.75</v>
      </c>
      <c r="V334" s="110">
        <v>9563.0999999999985</v>
      </c>
      <c r="W334" s="110">
        <v>19518.849999999999</v>
      </c>
      <c r="X334" s="111">
        <v>-35845.549999999996</v>
      </c>
      <c r="Y334" s="72" t="str">
        <f>VLOOKUP(D334,'TKP 终端汇总'!A:A,1,0)</f>
        <v>大悦创新</v>
      </c>
    </row>
    <row r="335" spans="1:25" x14ac:dyDescent="0.2">
      <c r="A335" s="107" t="s">
        <v>1261</v>
      </c>
      <c r="B335" s="107" t="s">
        <v>1262</v>
      </c>
      <c r="C335" s="108" t="s">
        <v>933</v>
      </c>
      <c r="D335" s="107" t="s">
        <v>1238</v>
      </c>
      <c r="E335" s="109">
        <v>45321</v>
      </c>
      <c r="F335" s="109"/>
      <c r="G335" s="110">
        <v>68200</v>
      </c>
      <c r="H335" s="110">
        <v>0</v>
      </c>
      <c r="I335" s="110">
        <v>0</v>
      </c>
      <c r="J335" s="110">
        <v>53916.97</v>
      </c>
      <c r="K335" s="110">
        <v>0</v>
      </c>
      <c r="L335" s="110">
        <v>0</v>
      </c>
      <c r="M335" s="110">
        <v>53916.97</v>
      </c>
      <c r="N335" s="110">
        <v>0</v>
      </c>
      <c r="O335" s="110">
        <v>0</v>
      </c>
      <c r="P335" s="110">
        <v>0</v>
      </c>
      <c r="Q335" s="110">
        <v>2016.14</v>
      </c>
      <c r="R335" s="110">
        <v>64773.070000000007</v>
      </c>
      <c r="S335" s="110">
        <v>66789.210000000006</v>
      </c>
      <c r="T335" s="110">
        <v>-12872.240000000002</v>
      </c>
      <c r="U335" s="110">
        <v>0</v>
      </c>
      <c r="V335" s="110">
        <v>0</v>
      </c>
      <c r="W335" s="110">
        <v>0</v>
      </c>
      <c r="X335" s="111">
        <v>-12872.240000000002</v>
      </c>
      <c r="Y335" s="72" t="str">
        <f>VLOOKUP(D335,'TKP 终端汇总'!A:A,1,0)</f>
        <v>陆逊梯卡</v>
      </c>
    </row>
    <row r="336" spans="1:25" x14ac:dyDescent="0.2">
      <c r="A336" s="107" t="s">
        <v>1263</v>
      </c>
      <c r="B336" s="107" t="s">
        <v>1136</v>
      </c>
      <c r="C336" s="108" t="s">
        <v>1264</v>
      </c>
      <c r="D336" s="107" t="s">
        <v>1322</v>
      </c>
      <c r="E336" s="109">
        <v>45365</v>
      </c>
      <c r="F336" s="109"/>
      <c r="G336" s="110">
        <v>0</v>
      </c>
      <c r="H336" s="110">
        <v>0</v>
      </c>
      <c r="I336" s="110">
        <v>0</v>
      </c>
      <c r="J336" s="110">
        <v>2561.2600000000002</v>
      </c>
      <c r="K336" s="110">
        <v>0</v>
      </c>
      <c r="L336" s="110">
        <v>0</v>
      </c>
      <c r="M336" s="110">
        <v>2561.2600000000002</v>
      </c>
      <c r="N336" s="110">
        <v>0</v>
      </c>
      <c r="O336" s="110">
        <v>0</v>
      </c>
      <c r="P336" s="110">
        <v>0</v>
      </c>
      <c r="Q336" s="110">
        <v>0</v>
      </c>
      <c r="R336" s="110">
        <v>0</v>
      </c>
      <c r="S336" s="110">
        <v>0</v>
      </c>
      <c r="T336" s="110">
        <v>2561.2600000000002</v>
      </c>
      <c r="U336" s="110">
        <v>0</v>
      </c>
      <c r="V336" s="110">
        <v>0</v>
      </c>
      <c r="W336" s="110">
        <v>0</v>
      </c>
      <c r="X336" s="111">
        <v>2561.2600000000002</v>
      </c>
      <c r="Y336" s="72" t="str">
        <f>VLOOKUP(D336,'TKP 终端汇总'!A:A,1,0)</f>
        <v>云普星河</v>
      </c>
    </row>
    <row r="337" spans="1:25" x14ac:dyDescent="0.2">
      <c r="A337" s="107" t="s">
        <v>1266</v>
      </c>
      <c r="B337" s="107" t="s">
        <v>1267</v>
      </c>
      <c r="C337" s="108">
        <v>360</v>
      </c>
      <c r="D337" s="107" t="s">
        <v>1153</v>
      </c>
      <c r="E337" s="109">
        <v>45348</v>
      </c>
      <c r="F337" s="109"/>
      <c r="G337" s="110">
        <v>953697</v>
      </c>
      <c r="H337" s="110">
        <v>0</v>
      </c>
      <c r="I337" s="110">
        <v>0</v>
      </c>
      <c r="J337" s="110">
        <v>63481.39</v>
      </c>
      <c r="K337" s="110">
        <v>0</v>
      </c>
      <c r="L337" s="110">
        <v>0</v>
      </c>
      <c r="M337" s="110">
        <v>63481.39</v>
      </c>
      <c r="N337" s="110">
        <v>3245.79</v>
      </c>
      <c r="O337" s="110">
        <v>0</v>
      </c>
      <c r="P337" s="110">
        <v>0</v>
      </c>
      <c r="Q337" s="110">
        <v>14610.82</v>
      </c>
      <c r="R337" s="110">
        <v>34560.980000000003</v>
      </c>
      <c r="S337" s="110">
        <v>52417.590000000004</v>
      </c>
      <c r="T337" s="110">
        <v>11063.799999999997</v>
      </c>
      <c r="U337" s="110">
        <v>0</v>
      </c>
      <c r="V337" s="110">
        <v>0</v>
      </c>
      <c r="W337" s="110">
        <v>0</v>
      </c>
      <c r="X337" s="111">
        <v>11063.799999999997</v>
      </c>
      <c r="Y337" s="72" t="str">
        <f>VLOOKUP(D337,'TKP 终端汇总'!A:A,1,0)</f>
        <v>Google</v>
      </c>
    </row>
    <row r="338" spans="1:25" x14ac:dyDescent="0.2">
      <c r="A338" s="107" t="s">
        <v>1268</v>
      </c>
      <c r="B338" s="107" t="s">
        <v>1269</v>
      </c>
      <c r="C338" s="108" t="s">
        <v>1032</v>
      </c>
      <c r="D338" s="107" t="s">
        <v>1033</v>
      </c>
      <c r="E338" s="109">
        <v>45320</v>
      </c>
      <c r="F338" s="109"/>
      <c r="G338" s="110">
        <v>412080</v>
      </c>
      <c r="H338" s="110">
        <v>0</v>
      </c>
      <c r="I338" s="110">
        <v>0</v>
      </c>
      <c r="J338" s="110">
        <v>0</v>
      </c>
      <c r="K338" s="110">
        <v>0</v>
      </c>
      <c r="L338" s="110">
        <v>0</v>
      </c>
      <c r="M338" s="110">
        <v>0</v>
      </c>
      <c r="N338" s="110">
        <v>0</v>
      </c>
      <c r="O338" s="110">
        <v>0</v>
      </c>
      <c r="P338" s="110">
        <v>286.23</v>
      </c>
      <c r="Q338" s="110">
        <v>2479.4</v>
      </c>
      <c r="R338" s="110">
        <v>2018.97</v>
      </c>
      <c r="S338" s="110">
        <v>4784.6000000000004</v>
      </c>
      <c r="T338" s="110">
        <v>-4784.6000000000004</v>
      </c>
      <c r="U338" s="110">
        <v>0</v>
      </c>
      <c r="V338" s="110">
        <v>0</v>
      </c>
      <c r="W338" s="110">
        <v>0</v>
      </c>
      <c r="X338" s="111">
        <v>-4784.6000000000004</v>
      </c>
      <c r="Y338" s="72" t="str">
        <f>VLOOKUP(D338,'TKP 终端汇总'!A:A,1,0)</f>
        <v>索尼电子</v>
      </c>
    </row>
    <row r="339" spans="1:25" x14ac:dyDescent="0.2">
      <c r="A339" s="107" t="s">
        <v>1270</v>
      </c>
      <c r="B339" s="107" t="s">
        <v>1271</v>
      </c>
      <c r="C339" s="108" t="s">
        <v>56</v>
      </c>
      <c r="D339" s="107" t="s">
        <v>1151</v>
      </c>
      <c r="E339" s="109">
        <v>44226</v>
      </c>
      <c r="F339" s="109">
        <v>44364</v>
      </c>
      <c r="G339" s="110">
        <v>0</v>
      </c>
      <c r="H339" s="110">
        <v>38185.79</v>
      </c>
      <c r="I339" s="110">
        <v>0</v>
      </c>
      <c r="J339" s="110">
        <v>0</v>
      </c>
      <c r="K339" s="110">
        <v>0</v>
      </c>
      <c r="L339" s="110">
        <v>0</v>
      </c>
      <c r="M339" s="110">
        <v>38185.79</v>
      </c>
      <c r="N339" s="110">
        <v>0</v>
      </c>
      <c r="O339" s="110">
        <v>0</v>
      </c>
      <c r="P339" s="110">
        <v>4079.78</v>
      </c>
      <c r="Q339" s="110">
        <v>0</v>
      </c>
      <c r="R339" s="110">
        <v>0</v>
      </c>
      <c r="S339" s="110">
        <v>4079.78</v>
      </c>
      <c r="T339" s="110">
        <v>34106.01</v>
      </c>
      <c r="U339" s="110">
        <v>0</v>
      </c>
      <c r="V339" s="110">
        <v>0</v>
      </c>
      <c r="W339" s="110">
        <v>0</v>
      </c>
      <c r="X339" s="111">
        <v>34106.01</v>
      </c>
      <c r="Y339" s="72" t="str">
        <f>VLOOKUP(D339,'TKP 终端汇总'!A:A,1,0)</f>
        <v>合元</v>
      </c>
    </row>
    <row r="340" spans="1:25" x14ac:dyDescent="0.2">
      <c r="A340" s="107" t="s">
        <v>1272</v>
      </c>
      <c r="B340" s="107" t="s">
        <v>1273</v>
      </c>
      <c r="C340" s="108">
        <v>438</v>
      </c>
      <c r="D340" s="107" t="s">
        <v>1157</v>
      </c>
      <c r="E340" s="109">
        <v>44298</v>
      </c>
      <c r="F340" s="109">
        <v>44405</v>
      </c>
      <c r="G340" s="110">
        <v>0</v>
      </c>
      <c r="H340" s="110">
        <v>0</v>
      </c>
      <c r="I340" s="110">
        <v>0</v>
      </c>
      <c r="J340" s="110">
        <v>2271.7399999999998</v>
      </c>
      <c r="K340" s="110">
        <v>0</v>
      </c>
      <c r="L340" s="110">
        <v>0</v>
      </c>
      <c r="M340" s="110">
        <v>2271.7399999999998</v>
      </c>
      <c r="N340" s="110">
        <v>0</v>
      </c>
      <c r="O340" s="110">
        <v>0</v>
      </c>
      <c r="P340" s="110">
        <v>0</v>
      </c>
      <c r="Q340" s="110">
        <v>0</v>
      </c>
      <c r="R340" s="110">
        <v>0</v>
      </c>
      <c r="S340" s="110">
        <v>0</v>
      </c>
      <c r="T340" s="110">
        <v>2271.7399999999998</v>
      </c>
      <c r="U340" s="110">
        <v>0</v>
      </c>
      <c r="V340" s="110">
        <v>1087.3900000000001</v>
      </c>
      <c r="W340" s="110">
        <v>1087.3900000000001</v>
      </c>
      <c r="X340" s="111">
        <v>1184.3499999999997</v>
      </c>
      <c r="Y340" s="72" t="str">
        <f>VLOOKUP(D340,'TKP 终端汇总'!A:A,1,0)</f>
        <v>PHILIPS</v>
      </c>
    </row>
    <row r="341" spans="1:25" x14ac:dyDescent="0.2">
      <c r="A341" s="107" t="s">
        <v>1274</v>
      </c>
      <c r="B341" s="107" t="s">
        <v>1275</v>
      </c>
      <c r="C341" s="108">
        <v>330</v>
      </c>
      <c r="D341" s="107" t="s">
        <v>1148</v>
      </c>
      <c r="E341" s="109">
        <v>44226</v>
      </c>
      <c r="F341" s="109">
        <v>44209</v>
      </c>
      <c r="G341" s="110">
        <v>0</v>
      </c>
      <c r="H341" s="110">
        <v>0</v>
      </c>
      <c r="I341" s="110">
        <v>0</v>
      </c>
      <c r="J341" s="110">
        <v>0</v>
      </c>
      <c r="K341" s="110">
        <v>0</v>
      </c>
      <c r="L341" s="110">
        <v>0</v>
      </c>
      <c r="M341" s="110">
        <v>0</v>
      </c>
      <c r="N341" s="110">
        <v>0</v>
      </c>
      <c r="O341" s="110">
        <v>0</v>
      </c>
      <c r="P341" s="110">
        <v>7923.7199999999993</v>
      </c>
      <c r="Q341" s="110">
        <v>0</v>
      </c>
      <c r="R341" s="110">
        <v>0</v>
      </c>
      <c r="S341" s="110">
        <v>7923.7199999999993</v>
      </c>
      <c r="T341" s="110">
        <v>-7923.7199999999993</v>
      </c>
      <c r="U341" s="110">
        <v>0</v>
      </c>
      <c r="V341" s="110">
        <v>0</v>
      </c>
      <c r="W341" s="110">
        <v>0</v>
      </c>
      <c r="X341" s="111">
        <v>-7923.7199999999993</v>
      </c>
      <c r="Y341" s="72" t="str">
        <f>VLOOKUP(D341,'TKP 终端汇总'!A:A,1,0)</f>
        <v>GN</v>
      </c>
    </row>
    <row r="342" spans="1:25" x14ac:dyDescent="0.2">
      <c r="A342" s="107" t="s">
        <v>460</v>
      </c>
      <c r="B342" s="107" t="s">
        <v>461</v>
      </c>
      <c r="C342" s="108" t="s">
        <v>208</v>
      </c>
      <c r="D342" s="107" t="s">
        <v>1177</v>
      </c>
      <c r="E342" s="109">
        <v>44226</v>
      </c>
      <c r="F342" s="109">
        <v>43430</v>
      </c>
      <c r="G342" s="110">
        <v>0</v>
      </c>
      <c r="H342" s="110">
        <v>0</v>
      </c>
      <c r="I342" s="110">
        <v>0</v>
      </c>
      <c r="J342" s="110">
        <v>0</v>
      </c>
      <c r="K342" s="110">
        <v>0</v>
      </c>
      <c r="L342" s="110">
        <v>0</v>
      </c>
      <c r="M342" s="110">
        <v>0</v>
      </c>
      <c r="N342" s="110">
        <v>0</v>
      </c>
      <c r="O342" s="110">
        <v>0</v>
      </c>
      <c r="P342" s="110">
        <v>0</v>
      </c>
      <c r="Q342" s="110">
        <v>0</v>
      </c>
      <c r="R342" s="110">
        <v>0</v>
      </c>
      <c r="S342" s="110">
        <v>0</v>
      </c>
      <c r="T342" s="110">
        <v>0</v>
      </c>
      <c r="U342" s="110">
        <v>11065.59</v>
      </c>
      <c r="V342" s="110">
        <v>0</v>
      </c>
      <c r="W342" s="110">
        <v>11065.59</v>
      </c>
      <c r="X342" s="111">
        <v>-11065.59</v>
      </c>
      <c r="Y342" s="72" t="str">
        <f>VLOOKUP(D342,'TKP 终端汇总'!A:A,1,0)</f>
        <v>POLYCOM</v>
      </c>
    </row>
    <row r="343" spans="1:25" x14ac:dyDescent="0.2">
      <c r="A343" s="107" t="s">
        <v>1276</v>
      </c>
      <c r="B343" s="107" t="s">
        <v>1277</v>
      </c>
      <c r="C343" s="108">
        <v>330</v>
      </c>
      <c r="D343" s="107" t="s">
        <v>1148</v>
      </c>
      <c r="E343" s="109">
        <v>44226</v>
      </c>
      <c r="F343" s="109">
        <v>42207</v>
      </c>
      <c r="G343" s="110">
        <v>0</v>
      </c>
      <c r="H343" s="110">
        <v>0</v>
      </c>
      <c r="I343" s="110">
        <v>0</v>
      </c>
      <c r="J343" s="110">
        <v>0</v>
      </c>
      <c r="K343" s="110">
        <v>0</v>
      </c>
      <c r="L343" s="110">
        <v>0</v>
      </c>
      <c r="M343" s="110">
        <v>0</v>
      </c>
      <c r="N343" s="110">
        <v>0</v>
      </c>
      <c r="O343" s="110">
        <v>0</v>
      </c>
      <c r="P343" s="110">
        <v>2341.13</v>
      </c>
      <c r="Q343" s="110">
        <v>0</v>
      </c>
      <c r="R343" s="110">
        <v>0</v>
      </c>
      <c r="S343" s="110">
        <v>2341.13</v>
      </c>
      <c r="T343" s="110">
        <v>-2341.13</v>
      </c>
      <c r="U343" s="110">
        <v>0</v>
      </c>
      <c r="V343" s="110">
        <v>0</v>
      </c>
      <c r="W343" s="110">
        <v>0</v>
      </c>
      <c r="X343" s="111">
        <v>-2341.13</v>
      </c>
      <c r="Y343" s="72" t="str">
        <f>VLOOKUP(D343,'TKP 终端汇总'!A:A,1,0)</f>
        <v>GN</v>
      </c>
    </row>
    <row r="344" spans="1:25" x14ac:dyDescent="0.2">
      <c r="A344" s="107" t="s">
        <v>279</v>
      </c>
      <c r="B344" s="107" t="s">
        <v>280</v>
      </c>
      <c r="C344" s="108" t="s">
        <v>281</v>
      </c>
      <c r="D344" s="107" t="s">
        <v>1164</v>
      </c>
      <c r="E344" s="109">
        <v>44226</v>
      </c>
      <c r="F344" s="109">
        <v>44151</v>
      </c>
      <c r="G344" s="110">
        <v>429000</v>
      </c>
      <c r="H344" s="110">
        <v>0</v>
      </c>
      <c r="I344" s="110">
        <v>0</v>
      </c>
      <c r="J344" s="110">
        <v>0</v>
      </c>
      <c r="K344" s="110">
        <v>0</v>
      </c>
      <c r="L344" s="110">
        <v>0</v>
      </c>
      <c r="M344" s="110">
        <v>0</v>
      </c>
      <c r="N344" s="110">
        <v>0</v>
      </c>
      <c r="O344" s="110">
        <v>0</v>
      </c>
      <c r="P344" s="110">
        <v>64290.349999999991</v>
      </c>
      <c r="Q344" s="110">
        <v>0</v>
      </c>
      <c r="R344" s="110">
        <v>0</v>
      </c>
      <c r="S344" s="110">
        <v>64290.349999999991</v>
      </c>
      <c r="T344" s="110">
        <v>-64290.349999999991</v>
      </c>
      <c r="U344" s="110">
        <v>0</v>
      </c>
      <c r="V344" s="110">
        <v>0</v>
      </c>
      <c r="W344" s="110">
        <v>0</v>
      </c>
      <c r="X344" s="111">
        <v>-64290.349999999991</v>
      </c>
      <c r="Y344" s="72" t="str">
        <f>VLOOKUP(D344,'TKP 终端汇总'!A:A,1,0)</f>
        <v>歌尔</v>
      </c>
    </row>
    <row r="345" spans="1:25" x14ac:dyDescent="0.2">
      <c r="A345" s="107" t="s">
        <v>1278</v>
      </c>
      <c r="B345" s="107" t="s">
        <v>1279</v>
      </c>
      <c r="C345" s="108" t="s">
        <v>62</v>
      </c>
      <c r="D345" s="107" t="s">
        <v>1152</v>
      </c>
      <c r="E345" s="109">
        <v>45304</v>
      </c>
      <c r="F345" s="109"/>
      <c r="G345" s="110">
        <v>7788000</v>
      </c>
      <c r="H345" s="110">
        <v>0</v>
      </c>
      <c r="I345" s="110">
        <v>0</v>
      </c>
      <c r="J345" s="110">
        <v>0</v>
      </c>
      <c r="K345" s="110">
        <v>0</v>
      </c>
      <c r="L345" s="110">
        <v>0</v>
      </c>
      <c r="M345" s="110">
        <v>0</v>
      </c>
      <c r="N345" s="110">
        <v>170682.99</v>
      </c>
      <c r="O345" s="110">
        <v>0</v>
      </c>
      <c r="P345" s="110">
        <v>203125</v>
      </c>
      <c r="Q345" s="110">
        <v>184500.17</v>
      </c>
      <c r="R345" s="110">
        <v>35266.129999999997</v>
      </c>
      <c r="S345" s="110">
        <v>593574.29</v>
      </c>
      <c r="T345" s="110">
        <v>-593574.29</v>
      </c>
      <c r="U345" s="110">
        <v>20884.189999999999</v>
      </c>
      <c r="V345" s="110">
        <v>0</v>
      </c>
      <c r="W345" s="110">
        <v>20884.189999999999</v>
      </c>
      <c r="X345" s="111">
        <v>-614458.48</v>
      </c>
      <c r="Y345" s="72" t="str">
        <f>VLOOKUP(D345,'TKP 终端汇总'!A:A,1,0)</f>
        <v>BAT</v>
      </c>
    </row>
    <row r="346" spans="1:25" x14ac:dyDescent="0.2">
      <c r="A346" s="107" t="s">
        <v>1280</v>
      </c>
      <c r="B346" s="107" t="s">
        <v>1281</v>
      </c>
      <c r="C346" s="108" t="s">
        <v>62</v>
      </c>
      <c r="D346" s="107" t="s">
        <v>1152</v>
      </c>
      <c r="E346" s="109">
        <v>45304</v>
      </c>
      <c r="F346" s="109"/>
      <c r="G346" s="110">
        <v>8698190</v>
      </c>
      <c r="H346" s="110">
        <v>0</v>
      </c>
      <c r="I346" s="110">
        <v>0</v>
      </c>
      <c r="J346" s="110">
        <v>11628.85</v>
      </c>
      <c r="K346" s="110">
        <v>0</v>
      </c>
      <c r="L346" s="110">
        <v>0</v>
      </c>
      <c r="M346" s="110">
        <v>11628.85</v>
      </c>
      <c r="N346" s="110">
        <v>18452.48</v>
      </c>
      <c r="O346" s="110">
        <v>0</v>
      </c>
      <c r="P346" s="110">
        <v>0</v>
      </c>
      <c r="Q346" s="110">
        <v>45133.69</v>
      </c>
      <c r="R346" s="110">
        <v>16331.070000000002</v>
      </c>
      <c r="S346" s="110">
        <v>79917.239999999991</v>
      </c>
      <c r="T346" s="110">
        <v>-68288.39</v>
      </c>
      <c r="U346" s="110">
        <v>0</v>
      </c>
      <c r="V346" s="110">
        <v>1562.28</v>
      </c>
      <c r="W346" s="110">
        <v>1562.28</v>
      </c>
      <c r="X346" s="111">
        <v>-69850.67</v>
      </c>
      <c r="Y346" s="72" t="str">
        <f>VLOOKUP(D346,'TKP 终端汇总'!A:A,1,0)</f>
        <v>BAT</v>
      </c>
    </row>
    <row r="347" spans="1:25" x14ac:dyDescent="0.2">
      <c r="A347" s="107" t="s">
        <v>1282</v>
      </c>
      <c r="B347" s="107" t="s">
        <v>1283</v>
      </c>
      <c r="C347" s="108" t="s">
        <v>62</v>
      </c>
      <c r="D347" s="107" t="s">
        <v>1152</v>
      </c>
      <c r="E347" s="109">
        <v>45304</v>
      </c>
      <c r="F347" s="109"/>
      <c r="G347" s="110">
        <v>640000</v>
      </c>
      <c r="H347" s="110">
        <v>0</v>
      </c>
      <c r="I347" s="110">
        <v>0</v>
      </c>
      <c r="J347" s="110">
        <v>9570.2999999999993</v>
      </c>
      <c r="K347" s="110">
        <v>0</v>
      </c>
      <c r="L347" s="110">
        <v>0</v>
      </c>
      <c r="M347" s="110">
        <v>9570.2999999999993</v>
      </c>
      <c r="N347" s="110">
        <v>0</v>
      </c>
      <c r="O347" s="110">
        <v>0</v>
      </c>
      <c r="P347" s="110">
        <v>0</v>
      </c>
      <c r="Q347" s="110">
        <v>0</v>
      </c>
      <c r="R347" s="110">
        <v>2056.58</v>
      </c>
      <c r="S347" s="110">
        <v>2056.58</v>
      </c>
      <c r="T347" s="110">
        <v>7513.7199999999993</v>
      </c>
      <c r="U347" s="110">
        <v>0</v>
      </c>
      <c r="V347" s="110">
        <v>0</v>
      </c>
      <c r="W347" s="110">
        <v>0</v>
      </c>
      <c r="X347" s="111">
        <v>7513.7199999999993</v>
      </c>
      <c r="Y347" s="72" t="str">
        <f>VLOOKUP(D347,'TKP 终端汇总'!A:A,1,0)</f>
        <v>BAT</v>
      </c>
    </row>
    <row r="348" spans="1:25" x14ac:dyDescent="0.2">
      <c r="A348" s="107" t="s">
        <v>1284</v>
      </c>
      <c r="B348" s="107" t="s">
        <v>1285</v>
      </c>
      <c r="C348" s="108" t="s">
        <v>1286</v>
      </c>
      <c r="D348" s="107" t="s">
        <v>1323</v>
      </c>
      <c r="E348" s="109">
        <v>45341</v>
      </c>
      <c r="F348" s="109"/>
      <c r="G348" s="110">
        <v>128200</v>
      </c>
      <c r="H348" s="110">
        <v>0</v>
      </c>
      <c r="I348" s="110">
        <v>0</v>
      </c>
      <c r="J348" s="110">
        <v>22047.52</v>
      </c>
      <c r="K348" s="110">
        <v>0</v>
      </c>
      <c r="L348" s="110">
        <v>0</v>
      </c>
      <c r="M348" s="110">
        <v>22047.52</v>
      </c>
      <c r="N348" s="110">
        <v>0</v>
      </c>
      <c r="O348" s="110">
        <v>0</v>
      </c>
      <c r="P348" s="110">
        <v>0</v>
      </c>
      <c r="Q348" s="110">
        <v>1622.9</v>
      </c>
      <c r="R348" s="110">
        <v>22672.5</v>
      </c>
      <c r="S348" s="110">
        <v>24295.4</v>
      </c>
      <c r="T348" s="110">
        <v>-2247.8799999999987</v>
      </c>
      <c r="U348" s="110">
        <v>0</v>
      </c>
      <c r="V348" s="110">
        <v>0</v>
      </c>
      <c r="W348" s="110">
        <v>0</v>
      </c>
      <c r="X348" s="111">
        <v>-2247.8799999999987</v>
      </c>
      <c r="Y348" s="72" t="str">
        <f>VLOOKUP(D348,'TKP 终端汇总'!A:A,1,0)</f>
        <v>汉朔</v>
      </c>
    </row>
    <row r="349" spans="1:25" x14ac:dyDescent="0.2">
      <c r="A349" s="107" t="s">
        <v>1288</v>
      </c>
      <c r="B349" s="107" t="s">
        <v>1289</v>
      </c>
      <c r="C349" s="108">
        <v>781</v>
      </c>
      <c r="D349" s="107" t="s">
        <v>1170</v>
      </c>
      <c r="E349" s="109">
        <v>45345</v>
      </c>
      <c r="F349" s="109"/>
      <c r="G349" s="110">
        <v>875600</v>
      </c>
      <c r="H349" s="110">
        <v>0</v>
      </c>
      <c r="I349" s="110">
        <v>0</v>
      </c>
      <c r="J349" s="110">
        <v>0</v>
      </c>
      <c r="K349" s="110">
        <v>0</v>
      </c>
      <c r="L349" s="110">
        <v>0</v>
      </c>
      <c r="M349" s="110">
        <v>0</v>
      </c>
      <c r="N349" s="110">
        <v>0</v>
      </c>
      <c r="O349" s="110">
        <v>0</v>
      </c>
      <c r="P349" s="110">
        <v>0</v>
      </c>
      <c r="Q349" s="110">
        <v>5050.01</v>
      </c>
      <c r="R349" s="110">
        <v>7494.6600000000008</v>
      </c>
      <c r="S349" s="110">
        <v>12544.669999999998</v>
      </c>
      <c r="T349" s="110">
        <v>-12544.669999999998</v>
      </c>
      <c r="U349" s="110">
        <v>0</v>
      </c>
      <c r="V349" s="110">
        <v>0</v>
      </c>
      <c r="W349" s="110">
        <v>0</v>
      </c>
      <c r="X349" s="111">
        <v>-12544.669999999998</v>
      </c>
      <c r="Y349" s="72" t="str">
        <f>VLOOKUP(D349,'TKP 终端汇总'!A:A,1,0)</f>
        <v>ECOBEE</v>
      </c>
    </row>
    <row r="350" spans="1:25" x14ac:dyDescent="0.2">
      <c r="A350" s="107" t="s">
        <v>1325</v>
      </c>
      <c r="B350" s="107" t="s">
        <v>1326</v>
      </c>
      <c r="C350" s="108" t="s">
        <v>122</v>
      </c>
      <c r="D350" s="107" t="s">
        <v>1370</v>
      </c>
      <c r="E350" s="109">
        <v>45384</v>
      </c>
      <c r="F350" s="109"/>
      <c r="G350" s="110">
        <v>1150000</v>
      </c>
      <c r="H350" s="110">
        <v>0</v>
      </c>
      <c r="I350" s="110">
        <v>0</v>
      </c>
      <c r="J350" s="110">
        <v>28899</v>
      </c>
      <c r="K350" s="110">
        <v>0</v>
      </c>
      <c r="L350" s="110">
        <v>0</v>
      </c>
      <c r="M350" s="110">
        <v>28899</v>
      </c>
      <c r="N350" s="110">
        <v>0</v>
      </c>
      <c r="O350" s="110">
        <v>0</v>
      </c>
      <c r="P350" s="110">
        <v>0</v>
      </c>
      <c r="Q350" s="110">
        <v>35638.559999999998</v>
      </c>
      <c r="R350" s="110">
        <v>5796.63</v>
      </c>
      <c r="S350" s="110">
        <v>41435.189999999995</v>
      </c>
      <c r="T350" s="110">
        <v>-12536.189999999997</v>
      </c>
      <c r="U350" s="110">
        <v>3980.2799999999997</v>
      </c>
      <c r="V350" s="110">
        <v>0</v>
      </c>
      <c r="W350" s="110">
        <v>3980.2799999999997</v>
      </c>
      <c r="X350" s="111">
        <v>-16516.469999999998</v>
      </c>
      <c r="Y350" s="72" t="str">
        <f>VLOOKUP(D350,'TKP 终端汇总'!A:A,1,0)</f>
        <v>Meta</v>
      </c>
    </row>
    <row r="351" spans="1:25" x14ac:dyDescent="0.2">
      <c r="A351" s="107" t="s">
        <v>1327</v>
      </c>
      <c r="B351" s="107" t="s">
        <v>1328</v>
      </c>
      <c r="C351" s="108" t="s">
        <v>281</v>
      </c>
      <c r="D351" s="107" t="s">
        <v>1164</v>
      </c>
      <c r="E351" s="109">
        <v>45273</v>
      </c>
      <c r="F351" s="109"/>
      <c r="G351" s="110">
        <v>2428000</v>
      </c>
      <c r="H351" s="110">
        <v>0</v>
      </c>
      <c r="I351" s="110">
        <v>0</v>
      </c>
      <c r="J351" s="110">
        <v>0</v>
      </c>
      <c r="K351" s="110">
        <v>0</v>
      </c>
      <c r="L351" s="110">
        <v>0</v>
      </c>
      <c r="M351" s="110">
        <v>0</v>
      </c>
      <c r="N351" s="110">
        <v>0</v>
      </c>
      <c r="O351" s="110">
        <v>0</v>
      </c>
      <c r="P351" s="110">
        <v>0</v>
      </c>
      <c r="Q351" s="110">
        <v>6402.5399999999991</v>
      </c>
      <c r="R351" s="110">
        <v>63377.409999999996</v>
      </c>
      <c r="S351" s="110">
        <v>69779.95</v>
      </c>
      <c r="T351" s="110">
        <v>-69779.95</v>
      </c>
      <c r="U351" s="110">
        <v>0</v>
      </c>
      <c r="V351" s="110">
        <v>0</v>
      </c>
      <c r="W351" s="110">
        <v>0</v>
      </c>
      <c r="X351" s="111">
        <v>-69779.95</v>
      </c>
      <c r="Y351" s="72" t="str">
        <f>VLOOKUP(D351,'TKP 终端汇总'!A:A,1,0)</f>
        <v>歌尔</v>
      </c>
    </row>
    <row r="352" spans="1:25" x14ac:dyDescent="0.2">
      <c r="A352" s="107" t="s">
        <v>1329</v>
      </c>
      <c r="B352" s="107" t="s">
        <v>1330</v>
      </c>
      <c r="C352" s="108" t="s">
        <v>9</v>
      </c>
      <c r="D352" s="107" t="s">
        <v>1197</v>
      </c>
      <c r="E352" s="109">
        <v>45288</v>
      </c>
      <c r="F352" s="109"/>
      <c r="G352" s="110">
        <v>8152950</v>
      </c>
      <c r="H352" s="110">
        <v>0</v>
      </c>
      <c r="I352" s="110">
        <v>0</v>
      </c>
      <c r="J352" s="110">
        <v>0</v>
      </c>
      <c r="K352" s="110">
        <v>0</v>
      </c>
      <c r="L352" s="110">
        <v>0</v>
      </c>
      <c r="M352" s="110">
        <v>0</v>
      </c>
      <c r="N352" s="110">
        <v>0</v>
      </c>
      <c r="O352" s="110">
        <v>0</v>
      </c>
      <c r="P352" s="110">
        <v>0</v>
      </c>
      <c r="Q352" s="110">
        <v>22028.53</v>
      </c>
      <c r="R352" s="110">
        <v>7712.44</v>
      </c>
      <c r="S352" s="110">
        <v>29740.969999999998</v>
      </c>
      <c r="T352" s="110">
        <v>-29740.969999999998</v>
      </c>
      <c r="U352" s="110">
        <v>0</v>
      </c>
      <c r="V352" s="110">
        <v>0</v>
      </c>
      <c r="W352" s="110">
        <v>0</v>
      </c>
      <c r="X352" s="111">
        <v>-29740.969999999998</v>
      </c>
      <c r="Y352" s="72" t="str">
        <f>VLOOKUP(D352,'TKP 终端汇总'!A:A,1,0)</f>
        <v>新产业</v>
      </c>
    </row>
    <row r="353" spans="1:25" x14ac:dyDescent="0.2">
      <c r="A353" s="107" t="s">
        <v>1331</v>
      </c>
      <c r="B353" s="107" t="s">
        <v>1332</v>
      </c>
      <c r="C353" s="108">
        <v>460</v>
      </c>
      <c r="D353" s="107" t="s">
        <v>1333</v>
      </c>
      <c r="E353" s="109">
        <v>45313</v>
      </c>
      <c r="F353" s="109"/>
      <c r="G353" s="110">
        <v>0</v>
      </c>
      <c r="H353" s="110">
        <v>0</v>
      </c>
      <c r="I353" s="110">
        <v>0</v>
      </c>
      <c r="J353" s="110">
        <v>0</v>
      </c>
      <c r="K353" s="110">
        <v>0</v>
      </c>
      <c r="L353" s="110">
        <v>0</v>
      </c>
      <c r="M353" s="110">
        <v>0</v>
      </c>
      <c r="N353" s="110">
        <v>0</v>
      </c>
      <c r="O353" s="110">
        <v>10012.969999999999</v>
      </c>
      <c r="P353" s="110">
        <v>0</v>
      </c>
      <c r="Q353" s="110">
        <v>787.58</v>
      </c>
      <c r="R353" s="110">
        <v>9565.08</v>
      </c>
      <c r="S353" s="110">
        <v>20365.629999999997</v>
      </c>
      <c r="T353" s="110">
        <v>-20365.629999999997</v>
      </c>
      <c r="U353" s="110">
        <v>21185.989999999998</v>
      </c>
      <c r="V353" s="110">
        <v>14024.36</v>
      </c>
      <c r="W353" s="110">
        <v>35210.35</v>
      </c>
      <c r="X353" s="111">
        <v>-55575.979999999996</v>
      </c>
      <c r="Y353" s="72" t="str">
        <f>VLOOKUP(D353,'TKP 终端汇总'!A:A,1,0)</f>
        <v>AMAZON</v>
      </c>
    </row>
    <row r="354" spans="1:25" x14ac:dyDescent="0.2">
      <c r="A354" s="107" t="s">
        <v>1334</v>
      </c>
      <c r="B354" s="107" t="s">
        <v>1330</v>
      </c>
      <c r="C354" s="108" t="s">
        <v>1335</v>
      </c>
      <c r="D354" s="107" t="s">
        <v>1366</v>
      </c>
      <c r="E354" s="109">
        <v>45373</v>
      </c>
      <c r="F354" s="109"/>
      <c r="G354" s="110">
        <v>6000</v>
      </c>
      <c r="H354" s="110">
        <v>0</v>
      </c>
      <c r="I354" s="110">
        <v>0</v>
      </c>
      <c r="J354" s="110">
        <v>4119.62</v>
      </c>
      <c r="K354" s="110">
        <v>0</v>
      </c>
      <c r="L354" s="110">
        <v>0</v>
      </c>
      <c r="M354" s="110">
        <v>4119.62</v>
      </c>
      <c r="N354" s="110">
        <v>0</v>
      </c>
      <c r="O354" s="110">
        <v>0</v>
      </c>
      <c r="P354" s="110">
        <v>0</v>
      </c>
      <c r="Q354" s="110">
        <v>0</v>
      </c>
      <c r="R354" s="110">
        <v>2212.7599999999998</v>
      </c>
      <c r="S354" s="110">
        <v>2212.7599999999998</v>
      </c>
      <c r="T354" s="110">
        <v>1906.8600000000001</v>
      </c>
      <c r="U354" s="110">
        <v>0</v>
      </c>
      <c r="V354" s="110">
        <v>210.02</v>
      </c>
      <c r="W354" s="110">
        <v>210.02</v>
      </c>
      <c r="X354" s="111">
        <v>1696.8400000000001</v>
      </c>
      <c r="Y354" s="72" t="str">
        <f>VLOOKUP(D354,'TKP 终端汇总'!A:A,1,0)</f>
        <v>高视科技</v>
      </c>
    </row>
    <row r="355" spans="1:25" x14ac:dyDescent="0.2">
      <c r="A355" s="107" t="s">
        <v>94</v>
      </c>
      <c r="B355" s="107" t="s">
        <v>95</v>
      </c>
      <c r="C355" s="108" t="s">
        <v>96</v>
      </c>
      <c r="D355" s="107" t="s">
        <v>1194</v>
      </c>
      <c r="E355" s="109">
        <v>44546</v>
      </c>
      <c r="F355" s="109"/>
      <c r="G355" s="110">
        <v>1147800</v>
      </c>
      <c r="H355" s="110">
        <v>0</v>
      </c>
      <c r="I355" s="110">
        <v>0</v>
      </c>
      <c r="J355" s="110">
        <v>0</v>
      </c>
      <c r="K355" s="110">
        <v>0</v>
      </c>
      <c r="L355" s="110">
        <v>0</v>
      </c>
      <c r="M355" s="110">
        <v>0</v>
      </c>
      <c r="N355" s="110">
        <v>0</v>
      </c>
      <c r="O355" s="110">
        <v>0</v>
      </c>
      <c r="P355" s="110">
        <v>0</v>
      </c>
      <c r="Q355" s="110">
        <v>1641.98</v>
      </c>
      <c r="R355" s="110">
        <v>1113.5899999999999</v>
      </c>
      <c r="S355" s="110">
        <v>2755.5699999999997</v>
      </c>
      <c r="T355" s="110">
        <v>-2755.5699999999997</v>
      </c>
      <c r="U355" s="110">
        <v>0</v>
      </c>
      <c r="V355" s="110">
        <v>0</v>
      </c>
      <c r="W355" s="110">
        <v>0</v>
      </c>
      <c r="X355" s="111">
        <v>-2755.5699999999997</v>
      </c>
      <c r="Y355" s="72" t="str">
        <f>VLOOKUP(D355,'TKP 终端汇总'!A:A,1,0)</f>
        <v>通力</v>
      </c>
    </row>
    <row r="356" spans="1:25" x14ac:dyDescent="0.2">
      <c r="A356" s="107" t="s">
        <v>1337</v>
      </c>
      <c r="B356" s="107" t="s">
        <v>1338</v>
      </c>
      <c r="C356" s="108" t="s">
        <v>1339</v>
      </c>
      <c r="D356" s="107" t="s">
        <v>1367</v>
      </c>
      <c r="E356" s="109">
        <v>45072</v>
      </c>
      <c r="F356" s="109"/>
      <c r="G356" s="110">
        <v>270000</v>
      </c>
      <c r="H356" s="110">
        <v>0</v>
      </c>
      <c r="I356" s="110">
        <v>0</v>
      </c>
      <c r="J356" s="110">
        <v>0</v>
      </c>
      <c r="K356" s="110">
        <v>0</v>
      </c>
      <c r="L356" s="110">
        <v>1275</v>
      </c>
      <c r="M356" s="110">
        <v>1275</v>
      </c>
      <c r="N356" s="110">
        <v>0</v>
      </c>
      <c r="O356" s="110">
        <v>0</v>
      </c>
      <c r="P356" s="110">
        <v>0</v>
      </c>
      <c r="Q356" s="110">
        <v>0</v>
      </c>
      <c r="R356" s="110">
        <v>0</v>
      </c>
      <c r="S356" s="110">
        <v>0</v>
      </c>
      <c r="T356" s="110">
        <v>1275</v>
      </c>
      <c r="U356" s="110">
        <v>0</v>
      </c>
      <c r="V356" s="110">
        <v>0</v>
      </c>
      <c r="W356" s="110">
        <v>0</v>
      </c>
      <c r="X356" s="111">
        <v>1275</v>
      </c>
      <c r="Y356" s="72" t="str">
        <f>VLOOKUP(D356,'TKP 终端汇总'!A:A,1,0)</f>
        <v>普乐</v>
      </c>
    </row>
    <row r="357" spans="1:25" x14ac:dyDescent="0.2">
      <c r="A357" s="107" t="s">
        <v>1341</v>
      </c>
      <c r="B357" s="107" t="s">
        <v>1342</v>
      </c>
      <c r="C357" s="108">
        <v>360</v>
      </c>
      <c r="D357" s="107" t="s">
        <v>1153</v>
      </c>
      <c r="E357" s="109">
        <v>45348</v>
      </c>
      <c r="F357" s="109"/>
      <c r="G357" s="110">
        <v>1315730</v>
      </c>
      <c r="H357" s="110">
        <v>0</v>
      </c>
      <c r="I357" s="110">
        <v>0</v>
      </c>
      <c r="J357" s="110">
        <v>27044</v>
      </c>
      <c r="K357" s="110">
        <v>63180</v>
      </c>
      <c r="L357" s="110">
        <v>0</v>
      </c>
      <c r="M357" s="110">
        <v>90224</v>
      </c>
      <c r="N357" s="110">
        <v>0</v>
      </c>
      <c r="O357" s="110">
        <v>0</v>
      </c>
      <c r="P357" s="110">
        <v>0</v>
      </c>
      <c r="Q357" s="110">
        <v>11904.42</v>
      </c>
      <c r="R357" s="110">
        <v>9791.5199999999986</v>
      </c>
      <c r="S357" s="110">
        <v>21695.940000000002</v>
      </c>
      <c r="T357" s="110">
        <v>68528.06</v>
      </c>
      <c r="U357" s="110">
        <v>0</v>
      </c>
      <c r="V357" s="110">
        <v>0</v>
      </c>
      <c r="W357" s="110">
        <v>0</v>
      </c>
      <c r="X357" s="111">
        <v>68528.06</v>
      </c>
      <c r="Y357" s="72" t="str">
        <f>VLOOKUP(D357,'TKP 终端汇总'!A:A,1,0)</f>
        <v>Google</v>
      </c>
    </row>
    <row r="358" spans="1:25" x14ac:dyDescent="0.2">
      <c r="A358" s="107" t="s">
        <v>1343</v>
      </c>
      <c r="B358" s="107" t="s">
        <v>1344</v>
      </c>
      <c r="C358" s="108" t="s">
        <v>1345</v>
      </c>
      <c r="D358" s="107" t="s">
        <v>1368</v>
      </c>
      <c r="E358" s="109">
        <v>45362</v>
      </c>
      <c r="F358" s="109"/>
      <c r="G358" s="110">
        <v>1025000</v>
      </c>
      <c r="H358" s="110">
        <v>0</v>
      </c>
      <c r="I358" s="110">
        <v>0</v>
      </c>
      <c r="J358" s="110">
        <v>0</v>
      </c>
      <c r="K358" s="110">
        <v>0</v>
      </c>
      <c r="L358" s="110">
        <v>0</v>
      </c>
      <c r="M358" s="110">
        <v>0</v>
      </c>
      <c r="N358" s="110">
        <v>0</v>
      </c>
      <c r="O358" s="110">
        <v>0</v>
      </c>
      <c r="P358" s="110">
        <v>0</v>
      </c>
      <c r="Q358" s="110">
        <v>1907.23</v>
      </c>
      <c r="R358" s="110">
        <v>53774.009999999995</v>
      </c>
      <c r="S358" s="110">
        <v>55681.24</v>
      </c>
      <c r="T358" s="110">
        <v>-55681.24</v>
      </c>
      <c r="U358" s="110">
        <v>0</v>
      </c>
      <c r="V358" s="110">
        <v>0</v>
      </c>
      <c r="W358" s="110">
        <v>0</v>
      </c>
      <c r="X358" s="111">
        <v>-55681.24</v>
      </c>
      <c r="Y358" s="72" t="str">
        <f>VLOOKUP(D358,'TKP 终端汇总'!A:A,1,0)</f>
        <v>PMI（菲莫国际）</v>
      </c>
    </row>
    <row r="359" spans="1:25" x14ac:dyDescent="0.2">
      <c r="A359" s="107" t="s">
        <v>1347</v>
      </c>
      <c r="B359" s="107" t="s">
        <v>1348</v>
      </c>
      <c r="C359" s="108" t="s">
        <v>1349</v>
      </c>
      <c r="D359" s="107" t="s">
        <v>1369</v>
      </c>
      <c r="E359" s="109">
        <v>45351</v>
      </c>
      <c r="F359" s="109"/>
      <c r="G359" s="110">
        <v>294800</v>
      </c>
      <c r="H359" s="110">
        <v>0</v>
      </c>
      <c r="I359" s="110">
        <v>0</v>
      </c>
      <c r="J359" s="110">
        <v>0</v>
      </c>
      <c r="K359" s="110">
        <v>0</v>
      </c>
      <c r="L359" s="110">
        <v>0</v>
      </c>
      <c r="M359" s="110">
        <v>0</v>
      </c>
      <c r="N359" s="110">
        <v>1678.36</v>
      </c>
      <c r="O359" s="110">
        <v>0</v>
      </c>
      <c r="P359" s="110">
        <v>0</v>
      </c>
      <c r="Q359" s="110">
        <v>90184.82</v>
      </c>
      <c r="R359" s="110">
        <v>9770.43</v>
      </c>
      <c r="S359" s="110">
        <v>101633.61</v>
      </c>
      <c r="T359" s="110">
        <v>-101633.61</v>
      </c>
      <c r="U359" s="110">
        <v>0</v>
      </c>
      <c r="V359" s="110">
        <v>15496.36</v>
      </c>
      <c r="W359" s="110">
        <v>15496.36</v>
      </c>
      <c r="X359" s="111">
        <v>-117129.97</v>
      </c>
      <c r="Y359" s="72" t="str">
        <f>VLOOKUP(D359,'TKP 终端汇总'!A:A,1,0)</f>
        <v>冠旭电子</v>
      </c>
    </row>
    <row r="360" spans="1:25" x14ac:dyDescent="0.2">
      <c r="A360" s="107" t="s">
        <v>1351</v>
      </c>
      <c r="B360" s="107" t="s">
        <v>1352</v>
      </c>
      <c r="C360" s="108" t="s">
        <v>1073</v>
      </c>
      <c r="D360" s="107" t="s">
        <v>1182</v>
      </c>
      <c r="E360" s="109">
        <v>45322</v>
      </c>
      <c r="F360" s="109"/>
      <c r="G360" s="110">
        <v>1213168</v>
      </c>
      <c r="H360" s="110">
        <v>0</v>
      </c>
      <c r="I360" s="110">
        <v>0</v>
      </c>
      <c r="J360" s="110">
        <v>63126.92</v>
      </c>
      <c r="K360" s="110">
        <v>57720</v>
      </c>
      <c r="L360" s="110">
        <v>0</v>
      </c>
      <c r="M360" s="110">
        <v>120846.92</v>
      </c>
      <c r="N360" s="110">
        <v>0</v>
      </c>
      <c r="O360" s="110">
        <v>0</v>
      </c>
      <c r="P360" s="110">
        <v>0</v>
      </c>
      <c r="Q360" s="110">
        <v>4474.37</v>
      </c>
      <c r="R360" s="110">
        <v>24311.919999999998</v>
      </c>
      <c r="S360" s="110">
        <v>28786.29</v>
      </c>
      <c r="T360" s="110">
        <v>92060.62999999999</v>
      </c>
      <c r="U360" s="110">
        <v>0</v>
      </c>
      <c r="V360" s="110">
        <v>0</v>
      </c>
      <c r="W360" s="110">
        <v>0</v>
      </c>
      <c r="X360" s="111">
        <v>92060.62999999999</v>
      </c>
      <c r="Y360" s="72" t="str">
        <f>VLOOKUP(D360,'TKP 终端汇总'!A:A,1,0)</f>
        <v>Whoop</v>
      </c>
    </row>
    <row r="361" spans="1:25" x14ac:dyDescent="0.2">
      <c r="A361" s="107" t="s">
        <v>1353</v>
      </c>
      <c r="B361" s="107" t="s">
        <v>1354</v>
      </c>
      <c r="C361" s="108" t="s">
        <v>62</v>
      </c>
      <c r="D361" s="107" t="s">
        <v>1152</v>
      </c>
      <c r="E361" s="109">
        <v>45323</v>
      </c>
      <c r="F361" s="109"/>
      <c r="G361" s="110">
        <v>1055900</v>
      </c>
      <c r="H361" s="110">
        <v>0</v>
      </c>
      <c r="I361" s="110">
        <v>0</v>
      </c>
      <c r="J361" s="110">
        <v>0</v>
      </c>
      <c r="K361" s="110">
        <v>0</v>
      </c>
      <c r="L361" s="110">
        <v>0</v>
      </c>
      <c r="M361" s="110">
        <v>0</v>
      </c>
      <c r="N361" s="110">
        <v>0</v>
      </c>
      <c r="O361" s="110">
        <v>0</v>
      </c>
      <c r="P361" s="110">
        <v>0</v>
      </c>
      <c r="Q361" s="110">
        <v>2673.01</v>
      </c>
      <c r="R361" s="110">
        <v>76203.659999999989</v>
      </c>
      <c r="S361" s="110">
        <v>78876.67</v>
      </c>
      <c r="T361" s="110">
        <v>-78876.67</v>
      </c>
      <c r="U361" s="110">
        <v>0</v>
      </c>
      <c r="V361" s="110">
        <v>0</v>
      </c>
      <c r="W361" s="110">
        <v>0</v>
      </c>
      <c r="X361" s="111">
        <v>-78876.67</v>
      </c>
      <c r="Y361" s="72" t="str">
        <f>VLOOKUP(D361,'TKP 终端汇总'!A:A,1,0)</f>
        <v>BAT</v>
      </c>
    </row>
    <row r="362" spans="1:25" x14ac:dyDescent="0.2">
      <c r="A362" s="107" t="s">
        <v>1355</v>
      </c>
      <c r="B362" s="107" t="s">
        <v>1356</v>
      </c>
      <c r="C362" s="108">
        <v>781</v>
      </c>
      <c r="D362" s="107" t="s">
        <v>1324</v>
      </c>
      <c r="E362" s="109">
        <v>45369</v>
      </c>
      <c r="F362" s="109"/>
      <c r="G362" s="110">
        <v>569052</v>
      </c>
      <c r="H362" s="110">
        <v>0</v>
      </c>
      <c r="I362" s="110">
        <v>0</v>
      </c>
      <c r="J362" s="110">
        <v>0</v>
      </c>
      <c r="K362" s="110">
        <v>0</v>
      </c>
      <c r="L362" s="110">
        <v>0</v>
      </c>
      <c r="M362" s="110">
        <v>0</v>
      </c>
      <c r="N362" s="110">
        <v>0</v>
      </c>
      <c r="O362" s="110">
        <v>0</v>
      </c>
      <c r="P362" s="110">
        <v>0</v>
      </c>
      <c r="Q362" s="110">
        <v>1317.41</v>
      </c>
      <c r="R362" s="110">
        <v>4493.6900000000005</v>
      </c>
      <c r="S362" s="110">
        <v>5811.1</v>
      </c>
      <c r="T362" s="110">
        <v>-5811.1</v>
      </c>
      <c r="U362" s="110">
        <v>0</v>
      </c>
      <c r="V362" s="110">
        <v>0</v>
      </c>
      <c r="W362" s="110">
        <v>0</v>
      </c>
      <c r="X362" s="111">
        <v>-5811.1</v>
      </c>
      <c r="Y362" s="72" t="str">
        <f>VLOOKUP(D362,'TKP 终端汇总'!A:A,1,0)</f>
        <v>ECOBEE</v>
      </c>
    </row>
    <row r="363" spans="1:25" x14ac:dyDescent="0.2">
      <c r="A363" s="107" t="s">
        <v>1372</v>
      </c>
      <c r="B363" s="107" t="s">
        <v>1373</v>
      </c>
      <c r="C363" s="108" t="s">
        <v>1374</v>
      </c>
      <c r="D363" s="107" t="s">
        <v>1375</v>
      </c>
      <c r="E363" s="109">
        <v>45426</v>
      </c>
      <c r="F363" s="109"/>
      <c r="G363" s="110">
        <v>1540000</v>
      </c>
      <c r="H363" s="110">
        <v>0</v>
      </c>
      <c r="I363" s="110">
        <v>0</v>
      </c>
      <c r="J363" s="110">
        <v>0</v>
      </c>
      <c r="K363" s="110">
        <v>0</v>
      </c>
      <c r="L363" s="110">
        <v>0</v>
      </c>
      <c r="M363" s="110">
        <v>0</v>
      </c>
      <c r="N363" s="110">
        <v>0</v>
      </c>
      <c r="O363" s="110">
        <v>0</v>
      </c>
      <c r="P363" s="110">
        <v>0</v>
      </c>
      <c r="Q363" s="110">
        <v>17355.810000000001</v>
      </c>
      <c r="R363" s="110">
        <v>5237.5300000000007</v>
      </c>
      <c r="S363" s="110">
        <v>22593.340000000004</v>
      </c>
      <c r="T363" s="110">
        <v>-22593.340000000004</v>
      </c>
      <c r="U363" s="110">
        <v>0</v>
      </c>
      <c r="V363" s="110">
        <v>0</v>
      </c>
      <c r="W363" s="110">
        <v>0</v>
      </c>
      <c r="X363" s="111">
        <v>-22593.340000000004</v>
      </c>
      <c r="Y363" s="72" t="str">
        <f>VLOOKUP(D363,'TKP 终端汇总'!A:A,1,0)</f>
        <v>SAMSUNG</v>
      </c>
    </row>
    <row r="364" spans="1:25" x14ac:dyDescent="0.2">
      <c r="A364" s="107" t="s">
        <v>1376</v>
      </c>
      <c r="B364" s="107" t="s">
        <v>1377</v>
      </c>
      <c r="C364" s="108" t="s">
        <v>122</v>
      </c>
      <c r="D364" s="107" t="s">
        <v>1370</v>
      </c>
      <c r="E364" s="109">
        <v>45390</v>
      </c>
      <c r="F364" s="109"/>
      <c r="G364" s="110">
        <v>1160000</v>
      </c>
      <c r="H364" s="110">
        <v>0</v>
      </c>
      <c r="I364" s="110">
        <v>0</v>
      </c>
      <c r="J364" s="110">
        <v>60470.880000000005</v>
      </c>
      <c r="K364" s="110">
        <v>0</v>
      </c>
      <c r="L364" s="110">
        <v>0</v>
      </c>
      <c r="M364" s="110">
        <v>60470.880000000005</v>
      </c>
      <c r="N364" s="110">
        <v>3623.74</v>
      </c>
      <c r="O364" s="110">
        <v>0</v>
      </c>
      <c r="P364" s="110">
        <v>0</v>
      </c>
      <c r="Q364" s="110">
        <v>8773.2800000000007</v>
      </c>
      <c r="R364" s="110">
        <v>26293.39</v>
      </c>
      <c r="S364" s="110">
        <v>38690.410000000003</v>
      </c>
      <c r="T364" s="110">
        <v>21780.47</v>
      </c>
      <c r="U364" s="110">
        <v>0</v>
      </c>
      <c r="V364" s="110">
        <v>0</v>
      </c>
      <c r="W364" s="110">
        <v>0</v>
      </c>
      <c r="X364" s="111">
        <v>21780.47</v>
      </c>
      <c r="Y364" s="72" t="str">
        <f>VLOOKUP(D364,'TKP 终端汇总'!A:A,1,0)</f>
        <v>Meta</v>
      </c>
    </row>
    <row r="365" spans="1:25" x14ac:dyDescent="0.2">
      <c r="A365" s="107" t="s">
        <v>1378</v>
      </c>
      <c r="B365" s="107" t="s">
        <v>1379</v>
      </c>
      <c r="C365" s="108" t="s">
        <v>1286</v>
      </c>
      <c r="D365" s="107" t="s">
        <v>1323</v>
      </c>
      <c r="E365" s="109">
        <v>45376</v>
      </c>
      <c r="F365" s="109"/>
      <c r="G365" s="110">
        <v>200000</v>
      </c>
      <c r="H365" s="110">
        <v>0</v>
      </c>
      <c r="I365" s="110">
        <v>0</v>
      </c>
      <c r="J365" s="110">
        <v>0</v>
      </c>
      <c r="K365" s="110">
        <v>0</v>
      </c>
      <c r="L365" s="110">
        <v>0</v>
      </c>
      <c r="M365" s="110">
        <v>0</v>
      </c>
      <c r="N365" s="110">
        <v>0</v>
      </c>
      <c r="O365" s="110">
        <v>0</v>
      </c>
      <c r="P365" s="110">
        <v>0</v>
      </c>
      <c r="Q365" s="110">
        <v>0</v>
      </c>
      <c r="R365" s="110">
        <v>5434.6900000000005</v>
      </c>
      <c r="S365" s="110">
        <v>5434.6900000000005</v>
      </c>
      <c r="T365" s="110">
        <v>-5434.6900000000005</v>
      </c>
      <c r="U365" s="110">
        <v>0</v>
      </c>
      <c r="V365" s="110">
        <v>0</v>
      </c>
      <c r="W365" s="110">
        <v>0</v>
      </c>
      <c r="X365" s="111">
        <v>-5434.6900000000005</v>
      </c>
      <c r="Y365" s="72" t="str">
        <f>VLOOKUP(D365,'TKP 终端汇总'!A:A,1,0)</f>
        <v>汉朔</v>
      </c>
    </row>
    <row r="366" spans="1:25" x14ac:dyDescent="0.2">
      <c r="A366" s="107" t="s">
        <v>1380</v>
      </c>
      <c r="B366" s="107" t="s">
        <v>1381</v>
      </c>
      <c r="C366" s="108" t="s">
        <v>845</v>
      </c>
      <c r="D366" s="107" t="s">
        <v>1172</v>
      </c>
      <c r="E366" s="109">
        <v>45371</v>
      </c>
      <c r="F366" s="109"/>
      <c r="G366" s="110">
        <v>316008</v>
      </c>
      <c r="H366" s="110">
        <v>0</v>
      </c>
      <c r="I366" s="110">
        <v>0</v>
      </c>
      <c r="J366" s="110">
        <v>0</v>
      </c>
      <c r="K366" s="110">
        <v>0</v>
      </c>
      <c r="L366" s="110">
        <v>0</v>
      </c>
      <c r="M366" s="110">
        <v>0</v>
      </c>
      <c r="N366" s="110">
        <v>0</v>
      </c>
      <c r="O366" s="110">
        <v>0</v>
      </c>
      <c r="P366" s="110">
        <v>0</v>
      </c>
      <c r="Q366" s="110">
        <v>0</v>
      </c>
      <c r="R366" s="110">
        <v>24030.71</v>
      </c>
      <c r="S366" s="110">
        <v>24030.71</v>
      </c>
      <c r="T366" s="110">
        <v>-24030.71</v>
      </c>
      <c r="U366" s="110">
        <v>0</v>
      </c>
      <c r="V366" s="110">
        <v>0</v>
      </c>
      <c r="W366" s="110">
        <v>0</v>
      </c>
      <c r="X366" s="111">
        <v>-24030.71</v>
      </c>
      <c r="Y366" s="72" t="str">
        <f>VLOOKUP(D366,'TKP 终端汇总'!A:A,1,0)</f>
        <v>Glowforge</v>
      </c>
    </row>
    <row r="367" spans="1:25" x14ac:dyDescent="0.2">
      <c r="A367" s="107" t="s">
        <v>1382</v>
      </c>
      <c r="B367" s="107" t="s">
        <v>1383</v>
      </c>
      <c r="C367" s="108" t="s">
        <v>705</v>
      </c>
      <c r="D367" s="107" t="s">
        <v>1232</v>
      </c>
      <c r="E367" s="109">
        <v>44825</v>
      </c>
      <c r="F367" s="109"/>
      <c r="G367" s="110">
        <v>353000</v>
      </c>
      <c r="H367" s="110">
        <v>250594.94</v>
      </c>
      <c r="I367" s="110">
        <v>0</v>
      </c>
      <c r="J367" s="110">
        <v>0</v>
      </c>
      <c r="K367" s="110">
        <v>0</v>
      </c>
      <c r="L367" s="110">
        <v>0</v>
      </c>
      <c r="M367" s="110">
        <v>250594.94</v>
      </c>
      <c r="N367" s="110">
        <v>340884.57</v>
      </c>
      <c r="O367" s="110">
        <v>0</v>
      </c>
      <c r="P367" s="110">
        <v>0</v>
      </c>
      <c r="Q367" s="110">
        <v>0</v>
      </c>
      <c r="R367" s="110">
        <v>0</v>
      </c>
      <c r="S367" s="110">
        <v>340884.57</v>
      </c>
      <c r="T367" s="110">
        <v>-90289.63</v>
      </c>
      <c r="U367" s="110">
        <v>0</v>
      </c>
      <c r="V367" s="110">
        <v>0</v>
      </c>
      <c r="W367" s="110">
        <v>0</v>
      </c>
      <c r="X367" s="111">
        <v>-90289.63</v>
      </c>
      <c r="Y367" s="72" t="str">
        <f>VLOOKUP(D367,'TKP 终端汇总'!A:A,1,0)</f>
        <v>爱立康</v>
      </c>
    </row>
    <row r="368" spans="1:25" x14ac:dyDescent="0.2">
      <c r="A368" s="107" t="s">
        <v>1384</v>
      </c>
      <c r="B368" s="107" t="s">
        <v>1385</v>
      </c>
      <c r="C368" s="108" t="s">
        <v>790</v>
      </c>
      <c r="D368" s="107" t="s">
        <v>1168</v>
      </c>
      <c r="E368" s="109">
        <v>45321</v>
      </c>
      <c r="F368" s="109"/>
      <c r="G368" s="110">
        <v>1554696</v>
      </c>
      <c r="H368" s="110">
        <v>0</v>
      </c>
      <c r="I368" s="110">
        <v>0</v>
      </c>
      <c r="J368" s="110">
        <v>0</v>
      </c>
      <c r="K368" s="110">
        <v>106080</v>
      </c>
      <c r="L368" s="110">
        <v>0</v>
      </c>
      <c r="M368" s="110">
        <v>106080</v>
      </c>
      <c r="N368" s="110">
        <v>0</v>
      </c>
      <c r="O368" s="110">
        <v>0</v>
      </c>
      <c r="P368" s="110">
        <v>0</v>
      </c>
      <c r="Q368" s="110">
        <v>0</v>
      </c>
      <c r="R368" s="110">
        <v>17338.599999999999</v>
      </c>
      <c r="S368" s="110">
        <v>17338.599999999999</v>
      </c>
      <c r="T368" s="110">
        <v>88741.4</v>
      </c>
      <c r="U368" s="110">
        <v>0</v>
      </c>
      <c r="V368" s="110">
        <v>0</v>
      </c>
      <c r="W368" s="110">
        <v>0</v>
      </c>
      <c r="X368" s="111">
        <v>88741.4</v>
      </c>
      <c r="Y368" s="72" t="str">
        <f>VLOOKUP(D368,'TKP 终端汇总'!A:A,1,0)</f>
        <v>teenage</v>
      </c>
    </row>
    <row r="369" spans="1:25" x14ac:dyDescent="0.2">
      <c r="A369" s="107" t="s">
        <v>1386</v>
      </c>
      <c r="B369" s="107" t="s">
        <v>1387</v>
      </c>
      <c r="C369" s="108">
        <v>438</v>
      </c>
      <c r="D369" s="107" t="s">
        <v>1157</v>
      </c>
      <c r="E369" s="109">
        <v>45254</v>
      </c>
      <c r="F369" s="109"/>
      <c r="G369" s="110">
        <v>0</v>
      </c>
      <c r="H369" s="110">
        <v>0</v>
      </c>
      <c r="I369" s="110">
        <v>0</v>
      </c>
      <c r="J369" s="110">
        <v>0</v>
      </c>
      <c r="K369" s="110">
        <v>0</v>
      </c>
      <c r="L369" s="110">
        <v>0</v>
      </c>
      <c r="M369" s="110">
        <v>0</v>
      </c>
      <c r="N369" s="110">
        <v>0</v>
      </c>
      <c r="O369" s="110">
        <v>0</v>
      </c>
      <c r="P369" s="110">
        <v>0</v>
      </c>
      <c r="Q369" s="110">
        <v>0</v>
      </c>
      <c r="R369" s="110">
        <v>4133.28</v>
      </c>
      <c r="S369" s="110">
        <v>4133.28</v>
      </c>
      <c r="T369" s="110">
        <v>-4133.28</v>
      </c>
      <c r="U369" s="110">
        <v>0</v>
      </c>
      <c r="V369" s="110">
        <v>0</v>
      </c>
      <c r="W369" s="110">
        <v>0</v>
      </c>
      <c r="X369" s="111">
        <v>-4133.28</v>
      </c>
      <c r="Y369" s="72" t="str">
        <f>VLOOKUP(D369,'TKP 终端汇总'!A:A,1,0)</f>
        <v>PHILIPS</v>
      </c>
    </row>
    <row r="370" spans="1:25" x14ac:dyDescent="0.2">
      <c r="A370" s="107" t="s">
        <v>1388</v>
      </c>
      <c r="B370" s="107" t="s">
        <v>1389</v>
      </c>
      <c r="C370" s="108" t="s">
        <v>122</v>
      </c>
      <c r="D370" s="107" t="s">
        <v>1370</v>
      </c>
      <c r="E370" s="109">
        <v>45400</v>
      </c>
      <c r="F370" s="109"/>
      <c r="G370" s="110">
        <v>137010</v>
      </c>
      <c r="H370" s="110">
        <v>0</v>
      </c>
      <c r="I370" s="110">
        <v>0</v>
      </c>
      <c r="J370" s="110">
        <v>1472.79</v>
      </c>
      <c r="K370" s="110">
        <v>0</v>
      </c>
      <c r="L370" s="110">
        <v>0</v>
      </c>
      <c r="M370" s="110">
        <v>1472.79</v>
      </c>
      <c r="N370" s="110">
        <v>0</v>
      </c>
      <c r="O370" s="110">
        <v>0</v>
      </c>
      <c r="P370" s="110">
        <v>0</v>
      </c>
      <c r="Q370" s="110">
        <v>3196.5699999999997</v>
      </c>
      <c r="R370" s="110">
        <v>674.27</v>
      </c>
      <c r="S370" s="110">
        <v>3870.84</v>
      </c>
      <c r="T370" s="110">
        <v>-2398.0500000000002</v>
      </c>
      <c r="U370" s="110">
        <v>0</v>
      </c>
      <c r="V370" s="110">
        <v>0</v>
      </c>
      <c r="W370" s="110">
        <v>0</v>
      </c>
      <c r="X370" s="111">
        <v>-2398.0500000000002</v>
      </c>
      <c r="Y370" s="72" t="str">
        <f>VLOOKUP(D370,'TKP 终端汇总'!A:A,1,0)</f>
        <v>Meta</v>
      </c>
    </row>
    <row r="371" spans="1:25" x14ac:dyDescent="0.2">
      <c r="A371" s="107" t="s">
        <v>1390</v>
      </c>
      <c r="B371" s="107" t="s">
        <v>1391</v>
      </c>
      <c r="C371" s="108" t="s">
        <v>1286</v>
      </c>
      <c r="D371" s="107" t="s">
        <v>1323</v>
      </c>
      <c r="E371" s="109">
        <v>45397</v>
      </c>
      <c r="F371" s="109"/>
      <c r="G371" s="110">
        <v>238000</v>
      </c>
      <c r="H371" s="110">
        <v>0</v>
      </c>
      <c r="I371" s="110">
        <v>0</v>
      </c>
      <c r="J371" s="110">
        <v>0</v>
      </c>
      <c r="K371" s="110">
        <v>0</v>
      </c>
      <c r="L371" s="110">
        <v>0</v>
      </c>
      <c r="M371" s="110">
        <v>0</v>
      </c>
      <c r="N371" s="110">
        <v>0</v>
      </c>
      <c r="O371" s="110">
        <v>0</v>
      </c>
      <c r="P371" s="110">
        <v>0</v>
      </c>
      <c r="Q371" s="110">
        <v>0</v>
      </c>
      <c r="R371" s="110">
        <v>3214.18</v>
      </c>
      <c r="S371" s="110">
        <v>3214.18</v>
      </c>
      <c r="T371" s="110">
        <v>-3214.18</v>
      </c>
      <c r="U371" s="110">
        <v>0</v>
      </c>
      <c r="V371" s="110">
        <v>0</v>
      </c>
      <c r="W371" s="110">
        <v>0</v>
      </c>
      <c r="X371" s="111">
        <v>-3214.18</v>
      </c>
      <c r="Y371" s="72" t="str">
        <f>VLOOKUP(D371,'TKP 终端汇总'!A:A,1,0)</f>
        <v>汉朔</v>
      </c>
    </row>
    <row r="372" spans="1:25" x14ac:dyDescent="0.2">
      <c r="A372" s="107" t="s">
        <v>1392</v>
      </c>
      <c r="B372" s="107" t="s">
        <v>1393</v>
      </c>
      <c r="C372" s="108" t="s">
        <v>62</v>
      </c>
      <c r="D372" s="107" t="s">
        <v>1152</v>
      </c>
      <c r="E372" s="109">
        <v>45393</v>
      </c>
      <c r="F372" s="109"/>
      <c r="G372" s="110">
        <v>388200</v>
      </c>
      <c r="H372" s="110">
        <v>0</v>
      </c>
      <c r="I372" s="110">
        <v>0</v>
      </c>
      <c r="J372" s="110">
        <v>2371.81</v>
      </c>
      <c r="K372" s="110">
        <v>0</v>
      </c>
      <c r="L372" s="110">
        <v>0</v>
      </c>
      <c r="M372" s="110">
        <v>2371.81</v>
      </c>
      <c r="N372" s="110">
        <v>0</v>
      </c>
      <c r="O372" s="110">
        <v>0</v>
      </c>
      <c r="P372" s="110">
        <v>0</v>
      </c>
      <c r="Q372" s="110">
        <v>0</v>
      </c>
      <c r="R372" s="110">
        <v>12596.7</v>
      </c>
      <c r="S372" s="110">
        <v>12596.7</v>
      </c>
      <c r="T372" s="110">
        <v>-10224.89</v>
      </c>
      <c r="U372" s="110">
        <v>0</v>
      </c>
      <c r="V372" s="110">
        <v>0</v>
      </c>
      <c r="W372" s="110">
        <v>0</v>
      </c>
      <c r="X372" s="111">
        <v>-10224.89</v>
      </c>
      <c r="Y372" s="72" t="str">
        <f>VLOOKUP(D372,'TKP 终端汇总'!A:A,1,0)</f>
        <v>BAT</v>
      </c>
    </row>
    <row r="373" spans="1:25" x14ac:dyDescent="0.2">
      <c r="A373" s="107" t="s">
        <v>1394</v>
      </c>
      <c r="B373" s="107" t="s">
        <v>1395</v>
      </c>
      <c r="C373" s="108" t="s">
        <v>208</v>
      </c>
      <c r="D373" s="107" t="s">
        <v>1177</v>
      </c>
      <c r="E373" s="109">
        <v>45401</v>
      </c>
      <c r="F373" s="109"/>
      <c r="G373" s="110">
        <v>1425000</v>
      </c>
      <c r="H373" s="110">
        <v>0</v>
      </c>
      <c r="I373" s="110">
        <v>0</v>
      </c>
      <c r="J373" s="110">
        <v>0</v>
      </c>
      <c r="K373" s="110">
        <v>0</v>
      </c>
      <c r="L373" s="110">
        <v>0</v>
      </c>
      <c r="M373" s="110">
        <v>0</v>
      </c>
      <c r="N373" s="110">
        <v>0</v>
      </c>
      <c r="O373" s="110">
        <v>0</v>
      </c>
      <c r="P373" s="110">
        <v>0</v>
      </c>
      <c r="Q373" s="110">
        <v>817.17</v>
      </c>
      <c r="R373" s="110">
        <v>5552.1799999999994</v>
      </c>
      <c r="S373" s="110">
        <v>6369.3499999999995</v>
      </c>
      <c r="T373" s="110">
        <v>-6369.3499999999995</v>
      </c>
      <c r="U373" s="110">
        <v>8448.6200000000008</v>
      </c>
      <c r="V373" s="110">
        <v>0</v>
      </c>
      <c r="W373" s="110">
        <v>8448.6200000000008</v>
      </c>
      <c r="X373" s="111">
        <v>-14817.970000000001</v>
      </c>
      <c r="Y373" s="72" t="str">
        <f>VLOOKUP(D373,'TKP 终端汇总'!A:A,1,0)</f>
        <v>POLYCOM</v>
      </c>
    </row>
    <row r="374" spans="1:25" x14ac:dyDescent="0.2">
      <c r="A374" s="107" t="s">
        <v>1396</v>
      </c>
      <c r="B374" s="107" t="s">
        <v>1397</v>
      </c>
      <c r="C374" s="108" t="s">
        <v>1398</v>
      </c>
      <c r="D374" s="107" t="s">
        <v>1400</v>
      </c>
      <c r="E374" s="109">
        <v>45420</v>
      </c>
      <c r="F374" s="109"/>
      <c r="G374" s="110">
        <v>1479040</v>
      </c>
      <c r="H374" s="110">
        <v>0</v>
      </c>
      <c r="I374" s="110">
        <v>0</v>
      </c>
      <c r="J374" s="110">
        <v>0</v>
      </c>
      <c r="K374" s="110">
        <v>12480</v>
      </c>
      <c r="L374" s="110">
        <v>0</v>
      </c>
      <c r="M374" s="110">
        <v>12480</v>
      </c>
      <c r="N374" s="110">
        <v>0</v>
      </c>
      <c r="O374" s="110">
        <v>0</v>
      </c>
      <c r="P374" s="110">
        <v>0</v>
      </c>
      <c r="Q374" s="110">
        <v>7471.59</v>
      </c>
      <c r="R374" s="110">
        <v>4821.99</v>
      </c>
      <c r="S374" s="110">
        <v>12293.58</v>
      </c>
      <c r="T374" s="110">
        <v>186.42000000000007</v>
      </c>
      <c r="U374" s="110">
        <v>0</v>
      </c>
      <c r="V374" s="110">
        <v>0</v>
      </c>
      <c r="W374" s="110">
        <v>0</v>
      </c>
      <c r="X374" s="111">
        <v>186.42000000000007</v>
      </c>
      <c r="Y374" s="72" t="str">
        <f>VLOOKUP(D374,'TKP 终端汇总'!A:A,1,0)</f>
        <v>Eargo</v>
      </c>
    </row>
    <row r="375" spans="1:25" x14ac:dyDescent="0.2">
      <c r="A375" s="107" t="s">
        <v>210</v>
      </c>
      <c r="B375" s="107" t="s">
        <v>211</v>
      </c>
      <c r="C375" s="108" t="s">
        <v>208</v>
      </c>
      <c r="D375" s="107" t="s">
        <v>1177</v>
      </c>
      <c r="E375" s="109">
        <v>44226</v>
      </c>
      <c r="F375" s="109">
        <v>42345</v>
      </c>
      <c r="G375" s="110">
        <v>0</v>
      </c>
      <c r="H375" s="110">
        <v>0</v>
      </c>
      <c r="I375" s="110">
        <v>0</v>
      </c>
      <c r="J375" s="110">
        <v>0</v>
      </c>
      <c r="K375" s="110">
        <v>0</v>
      </c>
      <c r="L375" s="110">
        <v>0</v>
      </c>
      <c r="M375" s="110">
        <v>0</v>
      </c>
      <c r="N375" s="110">
        <v>0</v>
      </c>
      <c r="O375" s="110">
        <v>0</v>
      </c>
      <c r="P375" s="110">
        <v>0</v>
      </c>
      <c r="Q375" s="110">
        <v>0</v>
      </c>
      <c r="R375" s="110">
        <v>0</v>
      </c>
      <c r="S375" s="110">
        <v>0</v>
      </c>
      <c r="T375" s="110">
        <v>0</v>
      </c>
      <c r="U375" s="110">
        <v>0</v>
      </c>
      <c r="V375" s="110">
        <v>2363.3200000000002</v>
      </c>
      <c r="W375" s="110">
        <v>2363.3200000000002</v>
      </c>
      <c r="X375" s="111">
        <v>-2363.3200000000002</v>
      </c>
      <c r="Y375" s="72" t="str">
        <f>VLOOKUP(D375,'TKP 终端汇总'!A:A,1,0)</f>
        <v>POLYCOM</v>
      </c>
    </row>
    <row r="376" spans="1:25" x14ac:dyDescent="0.2">
      <c r="A376" s="107" t="s">
        <v>1415</v>
      </c>
      <c r="B376" s="107" t="s">
        <v>1416</v>
      </c>
      <c r="C376" s="108">
        <v>28</v>
      </c>
      <c r="D376" s="107" t="s">
        <v>1469</v>
      </c>
      <c r="E376" s="109">
        <v>45406</v>
      </c>
      <c r="F376" s="109"/>
      <c r="G376" s="110">
        <v>902000</v>
      </c>
      <c r="H376" s="110">
        <v>0</v>
      </c>
      <c r="I376" s="110">
        <v>0</v>
      </c>
      <c r="J376" s="110">
        <v>0</v>
      </c>
      <c r="K376" s="110">
        <v>0</v>
      </c>
      <c r="L376" s="110">
        <v>0</v>
      </c>
      <c r="M376" s="110">
        <v>0</v>
      </c>
      <c r="N376" s="110">
        <v>0</v>
      </c>
      <c r="O376" s="110">
        <v>0</v>
      </c>
      <c r="P376" s="110">
        <v>0</v>
      </c>
      <c r="Q376" s="110">
        <v>0</v>
      </c>
      <c r="R376" s="110">
        <v>8987.76</v>
      </c>
      <c r="S376" s="110">
        <v>8987.76</v>
      </c>
      <c r="T376" s="110">
        <v>-8987.76</v>
      </c>
      <c r="U376" s="110">
        <v>0</v>
      </c>
      <c r="V376" s="110">
        <v>0</v>
      </c>
      <c r="W376" s="110">
        <v>0</v>
      </c>
      <c r="X376" s="111">
        <v>-8987.76</v>
      </c>
      <c r="Y376" s="72" t="str">
        <f>VLOOKUP(D376,'TKP 终端汇总'!A:A,1,0)</f>
        <v>Bose</v>
      </c>
    </row>
    <row r="377" spans="1:25" x14ac:dyDescent="0.2">
      <c r="A377" s="107" t="s">
        <v>1417</v>
      </c>
      <c r="B377" s="107" t="s">
        <v>1418</v>
      </c>
      <c r="C377" s="108" t="s">
        <v>166</v>
      </c>
      <c r="D377" s="107" t="s">
        <v>475</v>
      </c>
      <c r="E377" s="109">
        <v>45435</v>
      </c>
      <c r="F377" s="109"/>
      <c r="G377" s="110">
        <v>1480000</v>
      </c>
      <c r="H377" s="110">
        <v>0</v>
      </c>
      <c r="I377" s="110">
        <v>0</v>
      </c>
      <c r="J377" s="110">
        <v>0</v>
      </c>
      <c r="K377" s="110">
        <v>0</v>
      </c>
      <c r="L377" s="110">
        <v>0</v>
      </c>
      <c r="M377" s="110">
        <v>0</v>
      </c>
      <c r="N377" s="110">
        <v>0</v>
      </c>
      <c r="O377" s="110">
        <v>0</v>
      </c>
      <c r="P377" s="110">
        <v>0</v>
      </c>
      <c r="Q377" s="110">
        <v>0</v>
      </c>
      <c r="R377" s="110">
        <v>771.73</v>
      </c>
      <c r="S377" s="110">
        <v>771.73</v>
      </c>
      <c r="T377" s="110">
        <v>-771.73</v>
      </c>
      <c r="U377" s="110">
        <v>0</v>
      </c>
      <c r="V377" s="110">
        <v>0</v>
      </c>
      <c r="W377" s="110">
        <v>0</v>
      </c>
      <c r="X377" s="111">
        <v>-771.73</v>
      </c>
      <c r="Y377" s="72" t="str">
        <f>VLOOKUP(D377,'TKP 终端汇总'!A:A,1,0)</f>
        <v>韶音</v>
      </c>
    </row>
    <row r="378" spans="1:25" x14ac:dyDescent="0.2">
      <c r="A378" s="107" t="s">
        <v>1419</v>
      </c>
      <c r="B378" s="107" t="s">
        <v>1420</v>
      </c>
      <c r="C378" s="108" t="s">
        <v>166</v>
      </c>
      <c r="D378" s="107" t="s">
        <v>475</v>
      </c>
      <c r="E378" s="109">
        <v>45442</v>
      </c>
      <c r="F378" s="109"/>
      <c r="G378" s="110">
        <v>1790000</v>
      </c>
      <c r="H378" s="110">
        <v>0</v>
      </c>
      <c r="I378" s="110">
        <v>0</v>
      </c>
      <c r="J378" s="110">
        <v>0</v>
      </c>
      <c r="K378" s="110">
        <v>0</v>
      </c>
      <c r="L378" s="110">
        <v>0</v>
      </c>
      <c r="M378" s="110">
        <v>0</v>
      </c>
      <c r="N378" s="110">
        <v>0</v>
      </c>
      <c r="O378" s="110">
        <v>0</v>
      </c>
      <c r="P378" s="110">
        <v>0</v>
      </c>
      <c r="Q378" s="110">
        <v>370</v>
      </c>
      <c r="R378" s="110">
        <v>92.88</v>
      </c>
      <c r="S378" s="110">
        <v>462.88</v>
      </c>
      <c r="T378" s="110">
        <v>-462.88</v>
      </c>
      <c r="U378" s="110">
        <v>0</v>
      </c>
      <c r="V378" s="110">
        <v>0</v>
      </c>
      <c r="W378" s="110">
        <v>0</v>
      </c>
      <c r="X378" s="111">
        <v>-462.88</v>
      </c>
      <c r="Y378" s="72" t="str">
        <f>VLOOKUP(D378,'TKP 终端汇总'!A:A,1,0)</f>
        <v>韶音</v>
      </c>
    </row>
    <row r="379" spans="1:25" x14ac:dyDescent="0.2">
      <c r="A379" s="107" t="s">
        <v>1421</v>
      </c>
      <c r="B379" s="107" t="s">
        <v>1422</v>
      </c>
      <c r="C379" s="108">
        <v>330</v>
      </c>
      <c r="D379" s="107" t="s">
        <v>1468</v>
      </c>
      <c r="E379" s="109">
        <v>45404</v>
      </c>
      <c r="F379" s="109"/>
      <c r="G379" s="110">
        <v>1452000</v>
      </c>
      <c r="H379" s="110">
        <v>0</v>
      </c>
      <c r="I379" s="110">
        <v>0</v>
      </c>
      <c r="J379" s="110">
        <v>0</v>
      </c>
      <c r="K379" s="110">
        <v>0</v>
      </c>
      <c r="L379" s="110">
        <v>0</v>
      </c>
      <c r="M379" s="110">
        <v>0</v>
      </c>
      <c r="N379" s="110">
        <v>0</v>
      </c>
      <c r="O379" s="110">
        <v>0</v>
      </c>
      <c r="P379" s="110">
        <v>0</v>
      </c>
      <c r="Q379" s="110">
        <v>2622.45</v>
      </c>
      <c r="R379" s="110">
        <v>4499.5200000000004</v>
      </c>
      <c r="S379" s="110">
        <v>7121.97</v>
      </c>
      <c r="T379" s="110">
        <v>-7121.97</v>
      </c>
      <c r="U379" s="110">
        <v>2622.45</v>
      </c>
      <c r="V379" s="110">
        <v>0</v>
      </c>
      <c r="W379" s="110">
        <v>2622.45</v>
      </c>
      <c r="X379" s="111">
        <v>-9744.42</v>
      </c>
      <c r="Y379" s="72" t="str">
        <f>VLOOKUP(D379,'TKP 终端汇总'!A:A,1,0)</f>
        <v>GN</v>
      </c>
    </row>
    <row r="380" spans="1:25" x14ac:dyDescent="0.2">
      <c r="A380" s="107" t="s">
        <v>1423</v>
      </c>
      <c r="B380" s="107" t="s">
        <v>1424</v>
      </c>
      <c r="C380" s="108">
        <v>440</v>
      </c>
      <c r="D380" s="107" t="s">
        <v>1466</v>
      </c>
      <c r="E380" s="109">
        <v>45411</v>
      </c>
      <c r="F380" s="109"/>
      <c r="G380" s="110">
        <v>6247876.7999999998</v>
      </c>
      <c r="H380" s="110">
        <v>0</v>
      </c>
      <c r="I380" s="110">
        <v>0</v>
      </c>
      <c r="J380" s="110">
        <v>37204</v>
      </c>
      <c r="K380" s="110">
        <v>0</v>
      </c>
      <c r="L380" s="110">
        <v>0</v>
      </c>
      <c r="M380" s="110">
        <v>37204</v>
      </c>
      <c r="N380" s="110">
        <v>0</v>
      </c>
      <c r="O380" s="110">
        <v>0</v>
      </c>
      <c r="P380" s="110">
        <v>0</v>
      </c>
      <c r="Q380" s="110">
        <v>90235.44</v>
      </c>
      <c r="R380" s="110">
        <v>52192.34</v>
      </c>
      <c r="S380" s="110">
        <v>142427.78</v>
      </c>
      <c r="T380" s="110">
        <v>-105223.78</v>
      </c>
      <c r="U380" s="110">
        <v>0</v>
      </c>
      <c r="V380" s="110">
        <v>0</v>
      </c>
      <c r="W380" s="110">
        <v>0</v>
      </c>
      <c r="X380" s="111">
        <v>-105223.78</v>
      </c>
      <c r="Y380" s="72" t="str">
        <f>VLOOKUP(D380,'TKP 终端汇总'!A:A,1,0)</f>
        <v>OTTERBOX</v>
      </c>
    </row>
    <row r="381" spans="1:25" x14ac:dyDescent="0.2">
      <c r="A381" s="107" t="s">
        <v>1425</v>
      </c>
      <c r="B381" s="107" t="s">
        <v>1426</v>
      </c>
      <c r="C381" s="108">
        <v>460</v>
      </c>
      <c r="D381" s="107" t="s">
        <v>1467</v>
      </c>
      <c r="E381" s="109">
        <v>45406</v>
      </c>
      <c r="F381" s="109"/>
      <c r="G381" s="110">
        <v>825500</v>
      </c>
      <c r="H381" s="110">
        <v>0</v>
      </c>
      <c r="I381" s="110">
        <v>0</v>
      </c>
      <c r="J381" s="110">
        <v>0</v>
      </c>
      <c r="K381" s="110">
        <v>0</v>
      </c>
      <c r="L381" s="110">
        <v>0</v>
      </c>
      <c r="M381" s="110">
        <v>0</v>
      </c>
      <c r="N381" s="110">
        <v>0</v>
      </c>
      <c r="O381" s="110">
        <v>0</v>
      </c>
      <c r="P381" s="110">
        <v>0</v>
      </c>
      <c r="Q381" s="110">
        <v>8611.14</v>
      </c>
      <c r="R381" s="110">
        <v>9192.1299999999992</v>
      </c>
      <c r="S381" s="110">
        <v>17803.269999999997</v>
      </c>
      <c r="T381" s="110">
        <v>-17803.269999999997</v>
      </c>
      <c r="U381" s="110">
        <v>0</v>
      </c>
      <c r="V381" s="110">
        <v>0</v>
      </c>
      <c r="W381" s="110">
        <v>0</v>
      </c>
      <c r="X381" s="111">
        <v>-17803.269999999997</v>
      </c>
      <c r="Y381" s="72" t="str">
        <f>VLOOKUP(D381,'TKP 终端汇总'!A:A,1,0)</f>
        <v>AMAZON</v>
      </c>
    </row>
    <row r="382" spans="1:25" x14ac:dyDescent="0.2">
      <c r="A382" s="107" t="s">
        <v>1427</v>
      </c>
      <c r="B382" s="107" t="s">
        <v>1428</v>
      </c>
      <c r="C382" s="108" t="s">
        <v>62</v>
      </c>
      <c r="D382" s="107" t="s">
        <v>1152</v>
      </c>
      <c r="E382" s="109">
        <v>45304</v>
      </c>
      <c r="F382" s="109"/>
      <c r="G382" s="110">
        <v>750000</v>
      </c>
      <c r="H382" s="110">
        <v>0</v>
      </c>
      <c r="I382" s="110">
        <v>0</v>
      </c>
      <c r="J382" s="110">
        <v>0</v>
      </c>
      <c r="K382" s="110">
        <v>0</v>
      </c>
      <c r="L382" s="110">
        <v>0</v>
      </c>
      <c r="M382" s="110">
        <v>0</v>
      </c>
      <c r="N382" s="110">
        <v>0</v>
      </c>
      <c r="O382" s="110">
        <v>0</v>
      </c>
      <c r="P382" s="110">
        <v>0</v>
      </c>
      <c r="Q382" s="110">
        <v>0</v>
      </c>
      <c r="R382" s="110">
        <v>0</v>
      </c>
      <c r="S382" s="110">
        <v>0</v>
      </c>
      <c r="T382" s="110">
        <v>0</v>
      </c>
      <c r="U382" s="110">
        <v>0</v>
      </c>
      <c r="V382" s="110">
        <v>1635.7</v>
      </c>
      <c r="W382" s="110">
        <v>1635.7</v>
      </c>
      <c r="X382" s="111">
        <v>-1635.7</v>
      </c>
      <c r="Y382" s="72" t="str">
        <f>VLOOKUP(D382,'TKP 终端汇总'!A:A,1,0)</f>
        <v>BAT</v>
      </c>
    </row>
    <row r="383" spans="1:25" x14ac:dyDescent="0.2">
      <c r="A383" s="107" t="s">
        <v>1429</v>
      </c>
      <c r="B383" s="107" t="s">
        <v>1430</v>
      </c>
      <c r="C383" s="108" t="s">
        <v>62</v>
      </c>
      <c r="D383" s="107" t="s">
        <v>1152</v>
      </c>
      <c r="E383" s="109">
        <v>45393</v>
      </c>
      <c r="F383" s="109"/>
      <c r="G383" s="110">
        <v>445500</v>
      </c>
      <c r="H383" s="110">
        <v>0</v>
      </c>
      <c r="I383" s="110">
        <v>0</v>
      </c>
      <c r="J383" s="110">
        <v>60883.61</v>
      </c>
      <c r="K383" s="110">
        <v>0</v>
      </c>
      <c r="L383" s="110">
        <v>0</v>
      </c>
      <c r="M383" s="110">
        <v>60883.61</v>
      </c>
      <c r="N383" s="110">
        <v>0</v>
      </c>
      <c r="O383" s="110">
        <v>0</v>
      </c>
      <c r="P383" s="110">
        <v>0</v>
      </c>
      <c r="Q383" s="110">
        <v>0</v>
      </c>
      <c r="R383" s="110">
        <v>1402.49</v>
      </c>
      <c r="S383" s="110">
        <v>1402.49</v>
      </c>
      <c r="T383" s="110">
        <v>59481.120000000003</v>
      </c>
      <c r="U383" s="110">
        <v>0</v>
      </c>
      <c r="V383" s="110">
        <v>0</v>
      </c>
      <c r="W383" s="110">
        <v>0</v>
      </c>
      <c r="X383" s="111">
        <v>59481.120000000003</v>
      </c>
      <c r="Y383" s="72" t="str">
        <f>VLOOKUP(D383,'TKP 终端汇总'!A:A,1,0)</f>
        <v>BAT</v>
      </c>
    </row>
    <row r="384" spans="1:25" x14ac:dyDescent="0.2">
      <c r="A384" s="107" t="s">
        <v>1431</v>
      </c>
      <c r="B384" s="107" t="s">
        <v>1432</v>
      </c>
      <c r="C384" s="108" t="s">
        <v>114</v>
      </c>
      <c r="D384" s="107" t="s">
        <v>1458</v>
      </c>
      <c r="E384" s="109">
        <v>44799</v>
      </c>
      <c r="F384" s="109"/>
      <c r="G384" s="110">
        <v>0</v>
      </c>
      <c r="H384" s="110">
        <v>0</v>
      </c>
      <c r="I384" s="110">
        <v>0</v>
      </c>
      <c r="J384" s="110">
        <v>424.83</v>
      </c>
      <c r="K384" s="110">
        <v>0</v>
      </c>
      <c r="L384" s="110">
        <v>0</v>
      </c>
      <c r="M384" s="110">
        <v>424.83</v>
      </c>
      <c r="N384" s="110">
        <v>0</v>
      </c>
      <c r="O384" s="110">
        <v>0</v>
      </c>
      <c r="P384" s="110">
        <v>0</v>
      </c>
      <c r="Q384" s="110">
        <v>0</v>
      </c>
      <c r="R384" s="110">
        <v>0</v>
      </c>
      <c r="S384" s="110">
        <v>0</v>
      </c>
      <c r="T384" s="110">
        <v>424.83</v>
      </c>
      <c r="U384" s="110">
        <v>0</v>
      </c>
      <c r="V384" s="110">
        <v>0</v>
      </c>
      <c r="W384" s="110">
        <v>0</v>
      </c>
      <c r="X384" s="111">
        <v>424.83</v>
      </c>
      <c r="Y384" s="72" t="str">
        <f>VLOOKUP(D384,'TKP 终端汇总'!A:A,1,0)</f>
        <v>ARASHI</v>
      </c>
    </row>
    <row r="385" spans="1:25" x14ac:dyDescent="0.2">
      <c r="A385" s="107" t="s">
        <v>1433</v>
      </c>
      <c r="B385" s="107" t="s">
        <v>1434</v>
      </c>
      <c r="C385" s="108" t="s">
        <v>744</v>
      </c>
      <c r="D385" s="107" t="s">
        <v>1459</v>
      </c>
      <c r="E385" s="109">
        <v>45432</v>
      </c>
      <c r="F385" s="109"/>
      <c r="G385" s="110">
        <v>2530000</v>
      </c>
      <c r="H385" s="110">
        <v>0</v>
      </c>
      <c r="I385" s="110">
        <v>0</v>
      </c>
      <c r="J385" s="110">
        <v>0</v>
      </c>
      <c r="K385" s="110">
        <v>0</v>
      </c>
      <c r="L385" s="110">
        <v>0</v>
      </c>
      <c r="M385" s="110">
        <v>0</v>
      </c>
      <c r="N385" s="110">
        <v>0</v>
      </c>
      <c r="O385" s="110">
        <v>0</v>
      </c>
      <c r="P385" s="110">
        <v>0</v>
      </c>
      <c r="Q385" s="110">
        <v>418.46</v>
      </c>
      <c r="R385" s="110">
        <v>2614.16</v>
      </c>
      <c r="S385" s="110">
        <v>3032.62</v>
      </c>
      <c r="T385" s="110">
        <v>-3032.62</v>
      </c>
      <c r="U385" s="110">
        <v>0</v>
      </c>
      <c r="V385" s="110">
        <v>0</v>
      </c>
      <c r="W385" s="110">
        <v>0</v>
      </c>
      <c r="X385" s="111">
        <v>-3032.62</v>
      </c>
      <c r="Y385" s="72" t="str">
        <f>VLOOKUP(D385,'TKP 终端汇总'!A:A,1,0)</f>
        <v>Sonos</v>
      </c>
    </row>
    <row r="386" spans="1:25" x14ac:dyDescent="0.2">
      <c r="A386" s="107" t="s">
        <v>1435</v>
      </c>
      <c r="B386" s="107" t="s">
        <v>1436</v>
      </c>
      <c r="C386" s="108" t="s">
        <v>923</v>
      </c>
      <c r="D386" s="107" t="s">
        <v>1460</v>
      </c>
      <c r="E386" s="109">
        <v>45408</v>
      </c>
      <c r="F386" s="109"/>
      <c r="G386" s="110">
        <v>0</v>
      </c>
      <c r="H386" s="110">
        <v>0</v>
      </c>
      <c r="I386" s="110">
        <v>0</v>
      </c>
      <c r="J386" s="110">
        <v>0</v>
      </c>
      <c r="K386" s="110">
        <v>0</v>
      </c>
      <c r="L386" s="110">
        <v>0</v>
      </c>
      <c r="M386" s="110">
        <v>0</v>
      </c>
      <c r="N386" s="110">
        <v>2097.9499999999998</v>
      </c>
      <c r="O386" s="110">
        <v>0</v>
      </c>
      <c r="P386" s="110">
        <v>0</v>
      </c>
      <c r="Q386" s="110">
        <v>0</v>
      </c>
      <c r="R386" s="110">
        <v>0</v>
      </c>
      <c r="S386" s="110">
        <v>2097.9499999999998</v>
      </c>
      <c r="T386" s="110">
        <v>-2097.9499999999998</v>
      </c>
      <c r="U386" s="110">
        <v>0</v>
      </c>
      <c r="V386" s="110">
        <v>0</v>
      </c>
      <c r="W386" s="110">
        <v>0</v>
      </c>
      <c r="X386" s="111">
        <v>-2097.9499999999998</v>
      </c>
      <c r="Y386" s="72" t="str">
        <f>VLOOKUP(D386,'TKP 终端汇总'!A:A,1,0)</f>
        <v>SMOORE</v>
      </c>
    </row>
    <row r="387" spans="1:25" x14ac:dyDescent="0.2">
      <c r="A387" s="107" t="s">
        <v>1437</v>
      </c>
      <c r="B387" s="107" t="s">
        <v>1438</v>
      </c>
      <c r="C387" s="108" t="s">
        <v>1042</v>
      </c>
      <c r="D387" s="107" t="s">
        <v>1461</v>
      </c>
      <c r="E387" s="109">
        <v>45398</v>
      </c>
      <c r="F387" s="109"/>
      <c r="G387" s="110">
        <v>261800</v>
      </c>
      <c r="H387" s="110">
        <v>0</v>
      </c>
      <c r="I387" s="110">
        <v>0</v>
      </c>
      <c r="J387" s="110">
        <v>0</v>
      </c>
      <c r="K387" s="110">
        <v>0</v>
      </c>
      <c r="L387" s="110">
        <v>0</v>
      </c>
      <c r="M387" s="110">
        <v>0</v>
      </c>
      <c r="N387" s="110">
        <v>0</v>
      </c>
      <c r="O387" s="110">
        <v>0</v>
      </c>
      <c r="P387" s="110">
        <v>0</v>
      </c>
      <c r="Q387" s="110">
        <v>2956.21</v>
      </c>
      <c r="R387" s="110">
        <v>561.67999999999995</v>
      </c>
      <c r="S387" s="110">
        <v>3517.89</v>
      </c>
      <c r="T387" s="110">
        <v>-3517.89</v>
      </c>
      <c r="U387" s="110">
        <v>0</v>
      </c>
      <c r="V387" s="110">
        <v>0</v>
      </c>
      <c r="W387" s="110">
        <v>0</v>
      </c>
      <c r="X387" s="111">
        <v>-3517.89</v>
      </c>
      <c r="Y387" s="72" t="str">
        <f>VLOOKUP(D387,'TKP 终端汇总'!A:A,1,0)</f>
        <v>嘉树</v>
      </c>
    </row>
    <row r="388" spans="1:25" x14ac:dyDescent="0.2">
      <c r="A388" s="107" t="s">
        <v>1439</v>
      </c>
      <c r="B388" s="107" t="s">
        <v>1440</v>
      </c>
      <c r="C388" s="108" t="s">
        <v>1441</v>
      </c>
      <c r="D388" s="107" t="s">
        <v>1462</v>
      </c>
      <c r="E388" s="109">
        <v>45373</v>
      </c>
      <c r="F388" s="109"/>
      <c r="G388" s="110">
        <v>551600</v>
      </c>
      <c r="H388" s="110">
        <v>0</v>
      </c>
      <c r="I388" s="110">
        <v>0</v>
      </c>
      <c r="J388" s="110">
        <v>0</v>
      </c>
      <c r="K388" s="110">
        <v>0</v>
      </c>
      <c r="L388" s="110">
        <v>0</v>
      </c>
      <c r="M388" s="110">
        <v>0</v>
      </c>
      <c r="N388" s="110">
        <v>0</v>
      </c>
      <c r="O388" s="110">
        <v>0</v>
      </c>
      <c r="P388" s="110">
        <v>0</v>
      </c>
      <c r="Q388" s="110">
        <v>0</v>
      </c>
      <c r="R388" s="110">
        <v>3855.82</v>
      </c>
      <c r="S388" s="110">
        <v>3855.82</v>
      </c>
      <c r="T388" s="110">
        <v>-3855.82</v>
      </c>
      <c r="U388" s="110">
        <v>0</v>
      </c>
      <c r="V388" s="110">
        <v>0</v>
      </c>
      <c r="W388" s="110">
        <v>0</v>
      </c>
      <c r="X388" s="111">
        <v>-3855.82</v>
      </c>
      <c r="Y388" s="72" t="str">
        <f>VLOOKUP(D388,'TKP 终端汇总'!A:A,1,0)</f>
        <v>BACKBONE</v>
      </c>
    </row>
    <row r="389" spans="1:25" x14ac:dyDescent="0.2">
      <c r="A389" s="107" t="s">
        <v>1443</v>
      </c>
      <c r="B389" s="107" t="s">
        <v>1444</v>
      </c>
      <c r="C389" s="108" t="s">
        <v>1445</v>
      </c>
      <c r="D389" s="107" t="s">
        <v>1463</v>
      </c>
      <c r="E389" s="109">
        <v>45394</v>
      </c>
      <c r="F389" s="109"/>
      <c r="G389" s="110">
        <v>0</v>
      </c>
      <c r="H389" s="110">
        <v>0</v>
      </c>
      <c r="I389" s="110">
        <v>0</v>
      </c>
      <c r="J389" s="110">
        <v>0</v>
      </c>
      <c r="K389" s="110">
        <v>0</v>
      </c>
      <c r="L389" s="110">
        <v>0</v>
      </c>
      <c r="M389" s="110">
        <v>0</v>
      </c>
      <c r="N389" s="110">
        <v>0</v>
      </c>
      <c r="O389" s="110">
        <v>0</v>
      </c>
      <c r="P389" s="110">
        <v>0</v>
      </c>
      <c r="Q389" s="110">
        <v>0</v>
      </c>
      <c r="R389" s="110">
        <v>0</v>
      </c>
      <c r="S389" s="110">
        <v>0</v>
      </c>
      <c r="T389" s="110">
        <v>0</v>
      </c>
      <c r="U389" s="110">
        <v>0</v>
      </c>
      <c r="V389" s="110">
        <v>58.93</v>
      </c>
      <c r="W389" s="110">
        <v>58.93</v>
      </c>
      <c r="X389" s="111">
        <v>-58.93</v>
      </c>
      <c r="Y389" s="72" t="str">
        <f>VLOOKUP(D389,'TKP 终端汇总'!A:A,1,0)</f>
        <v>银禧光电</v>
      </c>
    </row>
    <row r="390" spans="1:25" x14ac:dyDescent="0.2">
      <c r="A390" s="107" t="s">
        <v>1447</v>
      </c>
      <c r="B390" s="107" t="s">
        <v>1448</v>
      </c>
      <c r="C390" s="108" t="s">
        <v>1449</v>
      </c>
      <c r="D390" s="107" t="s">
        <v>1464</v>
      </c>
      <c r="E390" s="109">
        <v>45432</v>
      </c>
      <c r="F390" s="109"/>
      <c r="G390" s="110">
        <v>887685.9</v>
      </c>
      <c r="H390" s="110">
        <v>0</v>
      </c>
      <c r="I390" s="110">
        <v>0</v>
      </c>
      <c r="J390" s="110">
        <v>0</v>
      </c>
      <c r="K390" s="110">
        <v>0</v>
      </c>
      <c r="L390" s="110">
        <v>0</v>
      </c>
      <c r="M390" s="110">
        <v>0</v>
      </c>
      <c r="N390" s="110">
        <v>0</v>
      </c>
      <c r="O390" s="110">
        <v>0</v>
      </c>
      <c r="P390" s="110">
        <v>0</v>
      </c>
      <c r="Q390" s="110">
        <v>1241.5999999999999</v>
      </c>
      <c r="R390" s="110">
        <v>0</v>
      </c>
      <c r="S390" s="110">
        <v>1241.5999999999999</v>
      </c>
      <c r="T390" s="110">
        <v>-1241.5999999999999</v>
      </c>
      <c r="U390" s="110">
        <v>0</v>
      </c>
      <c r="V390" s="110">
        <v>0</v>
      </c>
      <c r="W390" s="110">
        <v>0</v>
      </c>
      <c r="X390" s="111">
        <v>-1241.5999999999999</v>
      </c>
      <c r="Y390" s="72" t="str">
        <f>VLOOKUP(D390,'TKP 终端汇总'!A:A,1,0)</f>
        <v>CHARGEPOINT INC.</v>
      </c>
    </row>
    <row r="391" spans="1:25" x14ac:dyDescent="0.2">
      <c r="A391" s="107" t="s">
        <v>1451</v>
      </c>
      <c r="B391" s="107" t="s">
        <v>1452</v>
      </c>
      <c r="C391" s="108" t="s">
        <v>1453</v>
      </c>
      <c r="D391" s="107" t="s">
        <v>1465</v>
      </c>
      <c r="E391" s="109">
        <v>45433</v>
      </c>
      <c r="F391" s="109"/>
      <c r="G391" s="110">
        <v>74800</v>
      </c>
      <c r="H391" s="110">
        <v>0</v>
      </c>
      <c r="I391" s="110">
        <v>0</v>
      </c>
      <c r="J391" s="110">
        <v>0</v>
      </c>
      <c r="K391" s="110">
        <v>0</v>
      </c>
      <c r="L391" s="110">
        <v>0</v>
      </c>
      <c r="M391" s="110">
        <v>0</v>
      </c>
      <c r="N391" s="110">
        <v>0</v>
      </c>
      <c r="O391" s="110">
        <v>0</v>
      </c>
      <c r="P391" s="110">
        <v>0</v>
      </c>
      <c r="Q391" s="110">
        <v>0</v>
      </c>
      <c r="R391" s="110">
        <v>1038.1600000000001</v>
      </c>
      <c r="S391" s="110">
        <v>1038.1600000000001</v>
      </c>
      <c r="T391" s="110">
        <v>-1038.1600000000001</v>
      </c>
      <c r="U391" s="110">
        <v>0</v>
      </c>
      <c r="V391" s="110">
        <v>0</v>
      </c>
      <c r="W391" s="110">
        <v>0</v>
      </c>
      <c r="X391" s="111">
        <v>-1038.1600000000001</v>
      </c>
      <c r="Y391" s="72" t="str">
        <f>VLOOKUP(D391,'TKP 终端汇总'!A:A,1,0)</f>
        <v>蔚元</v>
      </c>
    </row>
    <row r="392" spans="1:25" x14ac:dyDescent="0.2">
      <c r="A392" s="107" t="s">
        <v>853</v>
      </c>
      <c r="B392" s="107"/>
      <c r="C392" s="108"/>
      <c r="D392" s="107" t="s">
        <v>853</v>
      </c>
      <c r="E392" s="109"/>
      <c r="F392" s="109"/>
      <c r="G392" s="110"/>
      <c r="H392" s="110">
        <v>0</v>
      </c>
      <c r="I392" s="110">
        <v>0</v>
      </c>
      <c r="J392" s="110">
        <v>0</v>
      </c>
      <c r="K392" s="110">
        <v>0</v>
      </c>
      <c r="L392" s="110">
        <v>0</v>
      </c>
      <c r="M392" s="110">
        <v>0</v>
      </c>
      <c r="N392" s="110">
        <v>-358277.49</v>
      </c>
      <c r="O392" s="110">
        <v>0</v>
      </c>
      <c r="P392" s="110">
        <v>0</v>
      </c>
      <c r="Q392" s="110">
        <v>0</v>
      </c>
      <c r="R392" s="110">
        <v>0</v>
      </c>
      <c r="S392" s="110">
        <v>-358277.49</v>
      </c>
      <c r="T392" s="110">
        <v>358277.49</v>
      </c>
      <c r="U392" s="110">
        <v>0</v>
      </c>
      <c r="V392" s="110">
        <v>0</v>
      </c>
      <c r="W392" s="110">
        <v>0</v>
      </c>
      <c r="X392" s="111">
        <v>358277.49</v>
      </c>
      <c r="Y392" s="72" t="str">
        <f>VLOOKUP(D392,'TKP 终端汇总'!A:A,1,0)</f>
        <v>VIP返利</v>
      </c>
    </row>
    <row r="393" spans="1:25" s="116" customFormat="1" ht="18" customHeight="1" x14ac:dyDescent="0.2">
      <c r="A393" s="112" t="s">
        <v>1295</v>
      </c>
      <c r="B393" s="112"/>
      <c r="C393" s="112"/>
      <c r="D393" s="112"/>
      <c r="E393" s="112"/>
      <c r="F393" s="112"/>
      <c r="G393" s="112">
        <f t="shared" ref="G393:X393" si="0">SUM(G4:G392)</f>
        <v>1495940571.7800004</v>
      </c>
      <c r="H393" s="113">
        <f t="shared" si="0"/>
        <v>41712925.509999998</v>
      </c>
      <c r="I393" s="113">
        <f t="shared" si="0"/>
        <v>0</v>
      </c>
      <c r="J393" s="113">
        <f t="shared" si="0"/>
        <v>6568618.6273289751</v>
      </c>
      <c r="K393" s="113">
        <f t="shared" si="0"/>
        <v>2459428.79</v>
      </c>
      <c r="L393" s="113">
        <f t="shared" si="0"/>
        <v>88009.01</v>
      </c>
      <c r="M393" s="114">
        <f t="shared" si="0"/>
        <v>50828981.937328987</v>
      </c>
      <c r="N393" s="113">
        <f t="shared" si="0"/>
        <v>68561460.710000008</v>
      </c>
      <c r="O393" s="113">
        <f t="shared" si="0"/>
        <v>498822.69999999995</v>
      </c>
      <c r="P393" s="113">
        <f t="shared" si="0"/>
        <v>5751766.4800000014</v>
      </c>
      <c r="Q393" s="113">
        <f t="shared" si="0"/>
        <v>3281869.6099999994</v>
      </c>
      <c r="R393" s="113">
        <f t="shared" si="0"/>
        <v>5843489.5799999991</v>
      </c>
      <c r="S393" s="114">
        <f t="shared" si="0"/>
        <v>83937409.079999998</v>
      </c>
      <c r="T393" s="115">
        <f t="shared" si="0"/>
        <v>-33108427.142671034</v>
      </c>
      <c r="U393" s="113">
        <f t="shared" si="0"/>
        <v>1783088.0099999998</v>
      </c>
      <c r="V393" s="113">
        <f t="shared" si="0"/>
        <v>2305298.4399999995</v>
      </c>
      <c r="W393" s="114">
        <f t="shared" si="0"/>
        <v>4088386.4500000007</v>
      </c>
      <c r="X393" s="117">
        <f t="shared" si="0"/>
        <v>-37196813.592671052</v>
      </c>
      <c r="Y393" s="72" t="e">
        <f>VLOOKUP(D393,'TKP 终端汇总'!A:A,1,0)</f>
        <v>#N/A</v>
      </c>
    </row>
    <row r="394" spans="1:25" x14ac:dyDescent="0.2">
      <c r="X394" s="134">
        <f>X393-'HP1'!Z58-'HP3'!Z55-'HP4'!Z55-'SD1'!Z91-MDT!Z10-HCT!Z34-'HZ1 '!Z91-'HD1'!Z39-'HD2'!Z50-TKTC!Z50-TKYN!Z19-PDS!Z6</f>
        <v>-3.10000313911587E-2</v>
      </c>
      <c r="Y394" s="72" t="e">
        <f>VLOOKUP(D394,'TKP 终端汇总'!A:A,1,0)</f>
        <v>#N/A</v>
      </c>
    </row>
    <row r="396" spans="1:25" x14ac:dyDescent="0.2">
      <c r="H396" s="134"/>
      <c r="J396" s="134"/>
      <c r="N396" s="134"/>
      <c r="O396" s="134"/>
      <c r="P396" s="134"/>
    </row>
    <row r="398" spans="1:25" x14ac:dyDescent="0.2">
      <c r="N398" s="134"/>
    </row>
  </sheetData>
  <autoFilter ref="A3:Y394" xr:uid="{00000000-0001-0000-0100-000000000000}"/>
  <phoneticPr fontId="3" type="noConversion"/>
  <conditionalFormatting sqref="A5:A24">
    <cfRule type="duplicateValues" dxfId="69" priority="90"/>
  </conditionalFormatting>
  <conditionalFormatting sqref="A25:A326">
    <cfRule type="duplicateValues" dxfId="68" priority="89"/>
  </conditionalFormatting>
  <conditionalFormatting sqref="A327:A392">
    <cfRule type="duplicateValues" dxfId="67" priority="16"/>
  </conditionalFormatting>
  <conditionalFormatting sqref="A393">
    <cfRule type="duplicateValues" dxfId="66" priority="1"/>
  </conditionalFormatting>
  <conditionalFormatting sqref="A394:A1048576 A1:A4">
    <cfRule type="duplicateValues" dxfId="65" priority="5"/>
  </conditionalFormatting>
  <pageMargins left="0.75" right="0.75" top="1" bottom="1" header="0.5" footer="0.5"/>
  <pageSetup paperSize="9"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Y289"/>
  <sheetViews>
    <sheetView workbookViewId="0">
      <pane xSplit="6" ySplit="2" topLeftCell="G273" activePane="bottomRight" state="frozen"/>
      <selection pane="topRight" activeCell="G1" sqref="G1"/>
      <selection pane="bottomLeft" activeCell="A3" sqref="A3"/>
      <selection pane="bottomRight" activeCell="G30" sqref="G30:G288"/>
    </sheetView>
  </sheetViews>
  <sheetFormatPr defaultRowHeight="12.75" x14ac:dyDescent="0.2"/>
  <cols>
    <col min="1" max="6" width="9.140625" style="44"/>
    <col min="7" max="7" width="12.28515625" style="44" customWidth="1"/>
    <col min="8" max="8" width="12.85546875" style="44" customWidth="1"/>
    <col min="9" max="9" width="18.7109375" style="28" bestFit="1" customWidth="1"/>
    <col min="10" max="10" width="17.5703125" style="28" bestFit="1" customWidth="1"/>
    <col min="11" max="11" width="14.140625" style="28" bestFit="1" customWidth="1"/>
    <col min="12" max="12" width="16.140625" style="28" bestFit="1" customWidth="1"/>
    <col min="13" max="13" width="14.140625" style="28" bestFit="1" customWidth="1"/>
    <col min="14" max="14" width="16.42578125" style="28" bestFit="1" customWidth="1"/>
    <col min="15" max="16" width="17.5703125" style="28" bestFit="1" customWidth="1"/>
    <col min="17" max="17" width="14.140625" style="28" bestFit="1" customWidth="1"/>
    <col min="18" max="18" width="17.5703125" style="28" bestFit="1" customWidth="1"/>
    <col min="19" max="19" width="16.140625" style="28" bestFit="1" customWidth="1"/>
    <col min="20" max="20" width="16.42578125" style="28" bestFit="1" customWidth="1"/>
    <col min="21" max="21" width="17.5703125" style="28" bestFit="1" customWidth="1"/>
    <col min="22" max="22" width="18.7109375" style="28" bestFit="1" customWidth="1"/>
    <col min="23" max="23" width="16.42578125" style="28" bestFit="1" customWidth="1"/>
    <col min="24" max="24" width="14.140625" style="28" bestFit="1" customWidth="1"/>
    <col min="25" max="25" width="16.42578125" style="28" bestFit="1" customWidth="1"/>
    <col min="26" max="16384" width="9.140625" style="44"/>
  </cols>
  <sheetData>
    <row r="1" spans="1:25" s="41" customFormat="1" x14ac:dyDescent="0.2">
      <c r="A1" s="34" t="s">
        <v>576</v>
      </c>
      <c r="B1" s="35" t="s">
        <v>577</v>
      </c>
      <c r="C1" s="35" t="s">
        <v>599</v>
      </c>
      <c r="D1" s="35" t="s">
        <v>600</v>
      </c>
      <c r="E1" s="35" t="s">
        <v>578</v>
      </c>
      <c r="F1" s="35" t="s">
        <v>579</v>
      </c>
      <c r="G1" s="35" t="s">
        <v>580</v>
      </c>
      <c r="H1" s="35" t="s">
        <v>581</v>
      </c>
      <c r="I1" s="36" t="s">
        <v>582</v>
      </c>
      <c r="J1" s="37" t="s">
        <v>680</v>
      </c>
      <c r="K1" s="38" t="s">
        <v>584</v>
      </c>
      <c r="L1" s="36" t="s">
        <v>681</v>
      </c>
      <c r="M1" s="36" t="s">
        <v>616</v>
      </c>
      <c r="N1" s="36" t="s">
        <v>587</v>
      </c>
      <c r="O1" s="36" t="s">
        <v>588</v>
      </c>
      <c r="P1" s="36" t="s">
        <v>603</v>
      </c>
      <c r="Q1" s="36" t="s">
        <v>590</v>
      </c>
      <c r="R1" s="36" t="s">
        <v>635</v>
      </c>
      <c r="S1" s="37" t="s">
        <v>605</v>
      </c>
      <c r="T1" s="39" t="s">
        <v>682</v>
      </c>
      <c r="U1" s="36" t="s">
        <v>594</v>
      </c>
      <c r="V1" s="36" t="s">
        <v>595</v>
      </c>
      <c r="W1" s="38" t="s">
        <v>628</v>
      </c>
      <c r="X1" s="39" t="s">
        <v>597</v>
      </c>
      <c r="Y1" s="40" t="s">
        <v>598</v>
      </c>
    </row>
    <row r="2" spans="1:25" x14ac:dyDescent="0.2">
      <c r="A2" s="42" t="s">
        <v>225</v>
      </c>
      <c r="B2" s="43" t="s">
        <v>226</v>
      </c>
      <c r="C2" s="43" t="s">
        <v>683</v>
      </c>
      <c r="D2" s="43" t="s">
        <v>632</v>
      </c>
      <c r="E2" s="43" t="s">
        <v>166</v>
      </c>
      <c r="F2" s="43" t="s">
        <v>167</v>
      </c>
      <c r="G2" s="6">
        <v>44226</v>
      </c>
      <c r="H2" s="6">
        <v>44223</v>
      </c>
      <c r="I2" s="7">
        <v>1144000</v>
      </c>
      <c r="J2" s="7">
        <v>1674505.47</v>
      </c>
      <c r="K2" s="7">
        <v>0</v>
      </c>
      <c r="L2" s="7">
        <v>25419.56</v>
      </c>
      <c r="M2" s="7">
        <v>205803.66</v>
      </c>
      <c r="N2" s="7">
        <v>0</v>
      </c>
      <c r="O2" s="7">
        <f>SUM(J2:N2)</f>
        <v>1905728.69</v>
      </c>
      <c r="P2" s="7">
        <v>2599941.2100000009</v>
      </c>
      <c r="Q2" s="7">
        <v>0</v>
      </c>
      <c r="R2" s="7">
        <v>28874.55</v>
      </c>
      <c r="S2" s="7">
        <v>48321.4</v>
      </c>
      <c r="T2" s="7">
        <v>28886.58</v>
      </c>
      <c r="U2" s="7">
        <f>SUM(P2:T2)</f>
        <v>2706023.7400000007</v>
      </c>
      <c r="V2" s="7">
        <f>O2-U2</f>
        <v>-800295.05000000075</v>
      </c>
      <c r="W2" s="7">
        <v>187017.73</v>
      </c>
      <c r="X2" s="7">
        <v>46061.7</v>
      </c>
      <c r="Y2" s="8">
        <v>233079.43</v>
      </c>
    </row>
    <row r="3" spans="1:25" x14ac:dyDescent="0.2">
      <c r="A3" s="42" t="s">
        <v>82</v>
      </c>
      <c r="B3" s="43" t="s">
        <v>83</v>
      </c>
      <c r="C3" s="43" t="s">
        <v>683</v>
      </c>
      <c r="D3" s="43" t="s">
        <v>632</v>
      </c>
      <c r="E3" s="43" t="s">
        <v>684</v>
      </c>
      <c r="F3" s="43" t="s">
        <v>49</v>
      </c>
      <c r="G3" s="6">
        <v>44487</v>
      </c>
      <c r="H3" s="6"/>
      <c r="I3" s="7">
        <v>8394500</v>
      </c>
      <c r="J3" s="7">
        <v>0</v>
      </c>
      <c r="K3" s="7">
        <v>0</v>
      </c>
      <c r="L3" s="7">
        <v>33810.83</v>
      </c>
      <c r="M3" s="7">
        <v>0</v>
      </c>
      <c r="N3" s="7">
        <v>0</v>
      </c>
      <c r="O3" s="7">
        <f t="shared" ref="O3:O30" si="0">SUM(J3:N3)</f>
        <v>33810.83</v>
      </c>
      <c r="P3" s="7">
        <v>0</v>
      </c>
      <c r="Q3" s="7">
        <v>0</v>
      </c>
      <c r="R3" s="7">
        <v>0</v>
      </c>
      <c r="S3" s="7">
        <v>201918.66</v>
      </c>
      <c r="T3" s="7">
        <v>161321.99</v>
      </c>
      <c r="U3" s="7">
        <f t="shared" ref="U3:U30" si="1">SUM(P3:T3)</f>
        <v>363240.65</v>
      </c>
      <c r="V3" s="7">
        <f t="shared" ref="V3:V30" si="2">O3-U3</f>
        <v>-329429.82</v>
      </c>
      <c r="W3" s="7">
        <v>0</v>
      </c>
      <c r="X3" s="7">
        <v>0</v>
      </c>
      <c r="Y3" s="8">
        <v>0</v>
      </c>
    </row>
    <row r="4" spans="1:25" x14ac:dyDescent="0.2">
      <c r="A4" s="42" t="s">
        <v>242</v>
      </c>
      <c r="B4" s="43" t="s">
        <v>243</v>
      </c>
      <c r="C4" s="43" t="s">
        <v>683</v>
      </c>
      <c r="D4" s="43" t="s">
        <v>632</v>
      </c>
      <c r="E4" s="43" t="s">
        <v>684</v>
      </c>
      <c r="F4" s="43" t="s">
        <v>49</v>
      </c>
      <c r="G4" s="6">
        <v>44226</v>
      </c>
      <c r="H4" s="6">
        <v>42181</v>
      </c>
      <c r="I4" s="7">
        <v>0</v>
      </c>
      <c r="J4" s="7">
        <v>0</v>
      </c>
      <c r="K4" s="7">
        <v>0</v>
      </c>
      <c r="L4" s="7">
        <v>0</v>
      </c>
      <c r="M4" s="7">
        <v>0</v>
      </c>
      <c r="N4" s="7">
        <v>0</v>
      </c>
      <c r="O4" s="7">
        <f t="shared" si="0"/>
        <v>0</v>
      </c>
      <c r="P4" s="7">
        <v>0</v>
      </c>
      <c r="Q4" s="7">
        <v>0</v>
      </c>
      <c r="R4" s="7">
        <v>5012.8500000000004</v>
      </c>
      <c r="S4" s="7">
        <v>60779.34</v>
      </c>
      <c r="T4" s="7">
        <v>4286.79</v>
      </c>
      <c r="U4" s="7">
        <f t="shared" si="1"/>
        <v>70078.98</v>
      </c>
      <c r="V4" s="7">
        <f t="shared" si="2"/>
        <v>-70078.98</v>
      </c>
      <c r="W4" s="7">
        <v>0</v>
      </c>
      <c r="X4" s="7">
        <v>4972.78</v>
      </c>
      <c r="Y4" s="8">
        <v>4972.78</v>
      </c>
    </row>
    <row r="5" spans="1:25" x14ac:dyDescent="0.2">
      <c r="A5" s="42" t="s">
        <v>419</v>
      </c>
      <c r="B5" s="43" t="s">
        <v>420</v>
      </c>
      <c r="C5" s="43" t="s">
        <v>683</v>
      </c>
      <c r="D5" s="43" t="s">
        <v>632</v>
      </c>
      <c r="E5" s="43" t="s">
        <v>684</v>
      </c>
      <c r="F5" s="43" t="s">
        <v>49</v>
      </c>
      <c r="G5" s="6">
        <v>44226</v>
      </c>
      <c r="H5" s="6">
        <v>44371</v>
      </c>
      <c r="I5" s="7">
        <v>0</v>
      </c>
      <c r="J5" s="7">
        <v>0</v>
      </c>
      <c r="K5" s="7">
        <v>0</v>
      </c>
      <c r="L5" s="7">
        <v>0</v>
      </c>
      <c r="M5" s="7">
        <v>0</v>
      </c>
      <c r="N5" s="7">
        <v>0</v>
      </c>
      <c r="O5" s="7">
        <f t="shared" si="0"/>
        <v>0</v>
      </c>
      <c r="P5" s="7">
        <v>0</v>
      </c>
      <c r="Q5" s="7">
        <v>0</v>
      </c>
      <c r="R5" s="7">
        <v>7894.22</v>
      </c>
      <c r="S5" s="7">
        <v>0</v>
      </c>
      <c r="T5" s="7">
        <v>0</v>
      </c>
      <c r="U5" s="7">
        <f t="shared" si="1"/>
        <v>7894.22</v>
      </c>
      <c r="V5" s="7">
        <f t="shared" si="2"/>
        <v>-7894.22</v>
      </c>
      <c r="W5" s="7">
        <v>0</v>
      </c>
      <c r="X5" s="7">
        <v>1818.99</v>
      </c>
      <c r="Y5" s="8">
        <v>1818.99</v>
      </c>
    </row>
    <row r="6" spans="1:25" x14ac:dyDescent="0.2">
      <c r="A6" s="42" t="s">
        <v>413</v>
      </c>
      <c r="B6" s="43" t="s">
        <v>414</v>
      </c>
      <c r="C6" s="43" t="s">
        <v>683</v>
      </c>
      <c r="D6" s="43" t="s">
        <v>632</v>
      </c>
      <c r="E6" s="43" t="s">
        <v>685</v>
      </c>
      <c r="F6" s="43" t="s">
        <v>91</v>
      </c>
      <c r="G6" s="6">
        <v>44226</v>
      </c>
      <c r="H6" s="6">
        <v>43999</v>
      </c>
      <c r="I6" s="7">
        <v>0</v>
      </c>
      <c r="J6" s="7">
        <v>0</v>
      </c>
      <c r="K6" s="7">
        <v>0</v>
      </c>
      <c r="L6" s="7">
        <v>0</v>
      </c>
      <c r="M6" s="7">
        <v>0</v>
      </c>
      <c r="N6" s="7">
        <v>0</v>
      </c>
      <c r="O6" s="7">
        <f t="shared" si="0"/>
        <v>0</v>
      </c>
      <c r="P6" s="7">
        <v>0</v>
      </c>
      <c r="Q6" s="7">
        <v>0</v>
      </c>
      <c r="R6" s="7">
        <v>18943.217619047617</v>
      </c>
      <c r="S6" s="7">
        <v>0</v>
      </c>
      <c r="T6" s="7">
        <v>0</v>
      </c>
      <c r="U6" s="7">
        <f t="shared" si="1"/>
        <v>18943.217619047617</v>
      </c>
      <c r="V6" s="7">
        <f t="shared" si="2"/>
        <v>-18943.217619047617</v>
      </c>
      <c r="W6" s="7">
        <v>0</v>
      </c>
      <c r="X6" s="7">
        <v>0</v>
      </c>
      <c r="Y6" s="8">
        <v>0</v>
      </c>
    </row>
    <row r="7" spans="1:25" x14ac:dyDescent="0.2">
      <c r="A7" s="42" t="s">
        <v>508</v>
      </c>
      <c r="B7" s="43" t="s">
        <v>509</v>
      </c>
      <c r="C7" s="43" t="s">
        <v>683</v>
      </c>
      <c r="D7" s="43" t="s">
        <v>632</v>
      </c>
      <c r="E7" s="43" t="s">
        <v>685</v>
      </c>
      <c r="F7" s="43" t="s">
        <v>91</v>
      </c>
      <c r="G7" s="6">
        <v>44226</v>
      </c>
      <c r="H7" s="6">
        <v>42620</v>
      </c>
      <c r="I7" s="7">
        <v>2631434.2999999998</v>
      </c>
      <c r="J7" s="7">
        <v>1817343</v>
      </c>
      <c r="K7" s="7">
        <v>0</v>
      </c>
      <c r="L7" s="7">
        <v>23329.8</v>
      </c>
      <c r="M7" s="7">
        <v>0</v>
      </c>
      <c r="N7" s="7">
        <v>0</v>
      </c>
      <c r="O7" s="7">
        <f t="shared" si="0"/>
        <v>1840672.8</v>
      </c>
      <c r="P7" s="7">
        <v>2104704</v>
      </c>
      <c r="Q7" s="7">
        <v>0</v>
      </c>
      <c r="R7" s="7">
        <v>0</v>
      </c>
      <c r="S7" s="7">
        <v>0</v>
      </c>
      <c r="T7" s="7">
        <v>10620.57</v>
      </c>
      <c r="U7" s="7">
        <f t="shared" si="1"/>
        <v>2115324.5699999998</v>
      </c>
      <c r="V7" s="7">
        <f t="shared" si="2"/>
        <v>-274651.76999999979</v>
      </c>
      <c r="W7" s="7">
        <v>0</v>
      </c>
      <c r="X7" s="7">
        <v>-5131.68</v>
      </c>
      <c r="Y7" s="8">
        <v>-5131.68</v>
      </c>
    </row>
    <row r="8" spans="1:25" x14ac:dyDescent="0.2">
      <c r="A8" s="42" t="s">
        <v>478</v>
      </c>
      <c r="B8" s="43" t="s">
        <v>479</v>
      </c>
      <c r="C8" s="43" t="s">
        <v>683</v>
      </c>
      <c r="D8" s="43" t="s">
        <v>632</v>
      </c>
      <c r="E8" s="43" t="s">
        <v>686</v>
      </c>
      <c r="F8" s="43" t="s">
        <v>480</v>
      </c>
      <c r="G8" s="6">
        <v>44226</v>
      </c>
      <c r="H8" s="6">
        <v>43566</v>
      </c>
      <c r="I8" s="7">
        <v>0</v>
      </c>
      <c r="J8" s="7">
        <v>0</v>
      </c>
      <c r="K8" s="7">
        <v>0</v>
      </c>
      <c r="L8" s="7">
        <v>0</v>
      </c>
      <c r="M8" s="7">
        <v>0</v>
      </c>
      <c r="N8" s="7">
        <v>0</v>
      </c>
      <c r="O8" s="7">
        <f t="shared" si="0"/>
        <v>0</v>
      </c>
      <c r="P8" s="7">
        <v>0</v>
      </c>
      <c r="Q8" s="7">
        <v>0</v>
      </c>
      <c r="R8" s="7">
        <v>0</v>
      </c>
      <c r="S8" s="7">
        <v>0</v>
      </c>
      <c r="T8" s="7">
        <v>0</v>
      </c>
      <c r="U8" s="7">
        <f t="shared" si="1"/>
        <v>0</v>
      </c>
      <c r="V8" s="7">
        <f t="shared" si="2"/>
        <v>0</v>
      </c>
      <c r="W8" s="7">
        <v>0</v>
      </c>
      <c r="X8" s="7">
        <v>288.39</v>
      </c>
      <c r="Y8" s="8">
        <v>288.39</v>
      </c>
    </row>
    <row r="9" spans="1:25" x14ac:dyDescent="0.2">
      <c r="A9" s="42" t="s">
        <v>493</v>
      </c>
      <c r="B9" s="43" t="s">
        <v>494</v>
      </c>
      <c r="C9" s="43" t="s">
        <v>683</v>
      </c>
      <c r="D9" s="43" t="s">
        <v>632</v>
      </c>
      <c r="E9" s="43" t="s">
        <v>684</v>
      </c>
      <c r="F9" s="43" t="s">
        <v>49</v>
      </c>
      <c r="G9" s="6">
        <v>44226</v>
      </c>
      <c r="H9" s="6">
        <v>42328</v>
      </c>
      <c r="I9" s="7">
        <v>13469900</v>
      </c>
      <c r="J9" s="7">
        <v>13059714.800000001</v>
      </c>
      <c r="K9" s="7">
        <v>0</v>
      </c>
      <c r="L9" s="7">
        <v>831090.09</v>
      </c>
      <c r="M9" s="7">
        <v>0</v>
      </c>
      <c r="N9" s="7">
        <v>0</v>
      </c>
      <c r="O9" s="7">
        <f t="shared" si="0"/>
        <v>13890804.890000001</v>
      </c>
      <c r="P9" s="7">
        <v>12779048.039999999</v>
      </c>
      <c r="Q9" s="7">
        <v>0</v>
      </c>
      <c r="R9" s="7">
        <v>36326.51</v>
      </c>
      <c r="S9" s="7">
        <v>2166.36</v>
      </c>
      <c r="T9" s="7">
        <v>117492.9</v>
      </c>
      <c r="U9" s="7">
        <f t="shared" si="1"/>
        <v>12935033.809999999</v>
      </c>
      <c r="V9" s="7">
        <f t="shared" si="2"/>
        <v>955771.08000000194</v>
      </c>
      <c r="W9" s="7">
        <v>75511.66</v>
      </c>
      <c r="X9" s="7">
        <v>66706.02</v>
      </c>
      <c r="Y9" s="8">
        <v>142217.68</v>
      </c>
    </row>
    <row r="10" spans="1:25" x14ac:dyDescent="0.2">
      <c r="A10" s="42" t="s">
        <v>489</v>
      </c>
      <c r="B10" s="43" t="s">
        <v>490</v>
      </c>
      <c r="C10" s="43" t="s">
        <v>683</v>
      </c>
      <c r="D10" s="43" t="s">
        <v>632</v>
      </c>
      <c r="E10" s="43" t="s">
        <v>35</v>
      </c>
      <c r="F10" s="43" t="s">
        <v>36</v>
      </c>
      <c r="G10" s="6">
        <v>44226</v>
      </c>
      <c r="H10" s="6">
        <v>44012</v>
      </c>
      <c r="I10" s="7">
        <v>0</v>
      </c>
      <c r="J10" s="7">
        <v>0</v>
      </c>
      <c r="K10" s="7">
        <v>0</v>
      </c>
      <c r="L10" s="7">
        <v>0</v>
      </c>
      <c r="M10" s="7">
        <v>0</v>
      </c>
      <c r="N10" s="7">
        <v>0</v>
      </c>
      <c r="O10" s="7">
        <f t="shared" si="0"/>
        <v>0</v>
      </c>
      <c r="P10" s="7">
        <v>0</v>
      </c>
      <c r="Q10" s="7">
        <v>0</v>
      </c>
      <c r="R10" s="7">
        <v>0</v>
      </c>
      <c r="S10" s="7">
        <v>1830.56</v>
      </c>
      <c r="T10" s="7">
        <v>0</v>
      </c>
      <c r="U10" s="7">
        <f t="shared" si="1"/>
        <v>1830.56</v>
      </c>
      <c r="V10" s="7">
        <f t="shared" si="2"/>
        <v>-1830.56</v>
      </c>
      <c r="W10" s="7">
        <v>0</v>
      </c>
      <c r="X10" s="7">
        <v>0</v>
      </c>
      <c r="Y10" s="8">
        <v>0</v>
      </c>
    </row>
    <row r="11" spans="1:25" x14ac:dyDescent="0.2">
      <c r="A11" s="42" t="s">
        <v>474</v>
      </c>
      <c r="B11" s="43" t="s">
        <v>475</v>
      </c>
      <c r="C11" s="43" t="s">
        <v>683</v>
      </c>
      <c r="D11" s="43" t="s">
        <v>632</v>
      </c>
      <c r="E11" s="43" t="s">
        <v>166</v>
      </c>
      <c r="F11" s="43" t="s">
        <v>167</v>
      </c>
      <c r="G11" s="6">
        <v>44226</v>
      </c>
      <c r="H11" s="6">
        <v>44004</v>
      </c>
      <c r="I11" s="7">
        <v>0</v>
      </c>
      <c r="J11" s="7">
        <v>19583.84</v>
      </c>
      <c r="K11" s="7">
        <v>0</v>
      </c>
      <c r="L11" s="7">
        <v>0</v>
      </c>
      <c r="M11" s="7">
        <v>0</v>
      </c>
      <c r="N11" s="7">
        <v>0</v>
      </c>
      <c r="O11" s="7">
        <f t="shared" si="0"/>
        <v>19583.84</v>
      </c>
      <c r="P11" s="7">
        <v>18359.86</v>
      </c>
      <c r="Q11" s="7">
        <v>0</v>
      </c>
      <c r="R11" s="7">
        <v>0</v>
      </c>
      <c r="S11" s="7">
        <v>0</v>
      </c>
      <c r="T11" s="7">
        <v>0</v>
      </c>
      <c r="U11" s="7">
        <f t="shared" si="1"/>
        <v>18359.86</v>
      </c>
      <c r="V11" s="7">
        <f t="shared" si="2"/>
        <v>1223.9799999999996</v>
      </c>
      <c r="W11" s="7">
        <v>0</v>
      </c>
      <c r="X11" s="7">
        <v>0</v>
      </c>
      <c r="Y11" s="8">
        <v>0</v>
      </c>
    </row>
    <row r="12" spans="1:25" x14ac:dyDescent="0.2">
      <c r="A12" s="42" t="s">
        <v>483</v>
      </c>
      <c r="B12" s="43" t="s">
        <v>484</v>
      </c>
      <c r="C12" s="43" t="s">
        <v>683</v>
      </c>
      <c r="D12" s="43" t="s">
        <v>632</v>
      </c>
      <c r="E12" s="43" t="s">
        <v>684</v>
      </c>
      <c r="F12" s="43" t="s">
        <v>49</v>
      </c>
      <c r="G12" s="6">
        <v>44226</v>
      </c>
      <c r="H12" s="6">
        <v>44180</v>
      </c>
      <c r="I12" s="7">
        <v>8800</v>
      </c>
      <c r="J12" s="7">
        <v>252704.4</v>
      </c>
      <c r="K12" s="7">
        <v>0</v>
      </c>
      <c r="L12" s="7">
        <v>0</v>
      </c>
      <c r="M12" s="7">
        <v>0</v>
      </c>
      <c r="N12" s="7">
        <v>0</v>
      </c>
      <c r="O12" s="7">
        <f t="shared" si="0"/>
        <v>252704.4</v>
      </c>
      <c r="P12" s="7">
        <v>286413.71000000002</v>
      </c>
      <c r="Q12" s="7">
        <v>0</v>
      </c>
      <c r="R12" s="7">
        <v>28705.24</v>
      </c>
      <c r="S12" s="7">
        <v>0</v>
      </c>
      <c r="T12" s="7">
        <v>3119.09</v>
      </c>
      <c r="U12" s="7">
        <f t="shared" si="1"/>
        <v>318238.04000000004</v>
      </c>
      <c r="V12" s="7">
        <f t="shared" si="2"/>
        <v>-65533.640000000043</v>
      </c>
      <c r="W12" s="7">
        <v>0</v>
      </c>
      <c r="X12" s="7">
        <v>1168.45</v>
      </c>
      <c r="Y12" s="8">
        <v>1168.45</v>
      </c>
    </row>
    <row r="13" spans="1:25" x14ac:dyDescent="0.2">
      <c r="A13" s="42" t="s">
        <v>112</v>
      </c>
      <c r="B13" s="43" t="s">
        <v>113</v>
      </c>
      <c r="C13" s="43" t="s">
        <v>683</v>
      </c>
      <c r="D13" s="43" t="s">
        <v>632</v>
      </c>
      <c r="E13" s="43" t="s">
        <v>114</v>
      </c>
      <c r="F13" s="43" t="s">
        <v>115</v>
      </c>
      <c r="G13" s="6">
        <v>44606</v>
      </c>
      <c r="H13" s="6"/>
      <c r="I13" s="7">
        <v>1670294</v>
      </c>
      <c r="J13" s="7">
        <v>0</v>
      </c>
      <c r="K13" s="7">
        <v>0</v>
      </c>
      <c r="L13" s="7">
        <v>14864.56</v>
      </c>
      <c r="M13" s="7">
        <v>0</v>
      </c>
      <c r="N13" s="7">
        <v>0</v>
      </c>
      <c r="O13" s="7">
        <f t="shared" si="0"/>
        <v>14864.56</v>
      </c>
      <c r="P13" s="7">
        <v>0</v>
      </c>
      <c r="Q13" s="7">
        <v>0</v>
      </c>
      <c r="R13" s="7">
        <v>0</v>
      </c>
      <c r="S13" s="7">
        <v>41030.21</v>
      </c>
      <c r="T13" s="7">
        <v>35767.54</v>
      </c>
      <c r="U13" s="7">
        <f t="shared" si="1"/>
        <v>76797.75</v>
      </c>
      <c r="V13" s="7">
        <f t="shared" si="2"/>
        <v>-61933.19</v>
      </c>
      <c r="W13" s="7">
        <v>0</v>
      </c>
      <c r="X13" s="7">
        <v>0</v>
      </c>
      <c r="Y13" s="8">
        <v>0</v>
      </c>
    </row>
    <row r="14" spans="1:25" x14ac:dyDescent="0.2">
      <c r="A14" s="42" t="s">
        <v>476</v>
      </c>
      <c r="B14" s="43" t="s">
        <v>477</v>
      </c>
      <c r="C14" s="43" t="s">
        <v>683</v>
      </c>
      <c r="D14" s="43" t="s">
        <v>632</v>
      </c>
      <c r="E14" s="43" t="s">
        <v>166</v>
      </c>
      <c r="F14" s="43" t="s">
        <v>167</v>
      </c>
      <c r="G14" s="6">
        <v>44226</v>
      </c>
      <c r="H14" s="6">
        <v>43888</v>
      </c>
      <c r="I14" s="7">
        <v>444114</v>
      </c>
      <c r="J14" s="7">
        <v>122071.52</v>
      </c>
      <c r="K14" s="7">
        <v>0</v>
      </c>
      <c r="L14" s="7">
        <v>815.8</v>
      </c>
      <c r="M14" s="7">
        <v>0</v>
      </c>
      <c r="N14" s="7">
        <v>0</v>
      </c>
      <c r="O14" s="7">
        <f t="shared" si="0"/>
        <v>122887.32</v>
      </c>
      <c r="P14" s="7">
        <v>143033.29</v>
      </c>
      <c r="Q14" s="7">
        <v>0</v>
      </c>
      <c r="R14" s="7">
        <v>9643.58</v>
      </c>
      <c r="S14" s="7">
        <v>3263.86</v>
      </c>
      <c r="T14" s="7">
        <v>35686.129999999997</v>
      </c>
      <c r="U14" s="7">
        <f t="shared" si="1"/>
        <v>191626.86</v>
      </c>
      <c r="V14" s="7">
        <f t="shared" si="2"/>
        <v>-68739.539999999979</v>
      </c>
      <c r="W14" s="7">
        <v>0</v>
      </c>
      <c r="X14" s="7">
        <v>722.98</v>
      </c>
      <c r="Y14" s="8">
        <v>722.98</v>
      </c>
    </row>
    <row r="15" spans="1:25" x14ac:dyDescent="0.2">
      <c r="A15" s="42" t="s">
        <v>110</v>
      </c>
      <c r="B15" s="43" t="s">
        <v>111</v>
      </c>
      <c r="C15" s="43" t="s">
        <v>683</v>
      </c>
      <c r="D15" s="43" t="s">
        <v>632</v>
      </c>
      <c r="E15" s="43" t="s">
        <v>684</v>
      </c>
      <c r="F15" s="43" t="s">
        <v>49</v>
      </c>
      <c r="G15" s="6">
        <v>44662</v>
      </c>
      <c r="H15" s="6"/>
      <c r="I15" s="7">
        <v>220000</v>
      </c>
      <c r="J15" s="7">
        <v>258814.07999999999</v>
      </c>
      <c r="K15" s="7">
        <v>0</v>
      </c>
      <c r="L15" s="7">
        <v>0</v>
      </c>
      <c r="M15" s="7">
        <v>27561.599999999999</v>
      </c>
      <c r="N15" s="7">
        <v>0</v>
      </c>
      <c r="O15" s="7">
        <f t="shared" si="0"/>
        <v>286375.67999999999</v>
      </c>
      <c r="P15" s="7">
        <v>206623.2</v>
      </c>
      <c r="Q15" s="7">
        <v>0</v>
      </c>
      <c r="R15" s="7">
        <v>0</v>
      </c>
      <c r="S15" s="7">
        <v>0</v>
      </c>
      <c r="T15" s="7">
        <v>6191.12</v>
      </c>
      <c r="U15" s="7">
        <f t="shared" si="1"/>
        <v>212814.32</v>
      </c>
      <c r="V15" s="7">
        <f t="shared" si="2"/>
        <v>73561.359999999986</v>
      </c>
      <c r="W15" s="7">
        <v>0</v>
      </c>
      <c r="X15" s="7">
        <v>0</v>
      </c>
      <c r="Y15" s="8">
        <v>0</v>
      </c>
    </row>
    <row r="16" spans="1:25" x14ac:dyDescent="0.2">
      <c r="A16" s="42" t="s">
        <v>423</v>
      </c>
      <c r="B16" s="43" t="s">
        <v>424</v>
      </c>
      <c r="C16" s="43" t="s">
        <v>683</v>
      </c>
      <c r="D16" s="43" t="s">
        <v>632</v>
      </c>
      <c r="E16" s="43" t="s">
        <v>684</v>
      </c>
      <c r="F16" s="43" t="s">
        <v>49</v>
      </c>
      <c r="G16" s="6">
        <v>44226</v>
      </c>
      <c r="H16" s="6">
        <v>43969</v>
      </c>
      <c r="I16" s="7">
        <v>0</v>
      </c>
      <c r="J16" s="7">
        <v>0</v>
      </c>
      <c r="K16" s="7">
        <v>0</v>
      </c>
      <c r="L16" s="7">
        <v>0</v>
      </c>
      <c r="M16" s="7">
        <v>0</v>
      </c>
      <c r="N16" s="7">
        <v>0</v>
      </c>
      <c r="O16" s="7">
        <f t="shared" si="0"/>
        <v>0</v>
      </c>
      <c r="P16" s="7">
        <v>0</v>
      </c>
      <c r="Q16" s="7">
        <v>0</v>
      </c>
      <c r="R16" s="7">
        <v>76680.39</v>
      </c>
      <c r="S16" s="7">
        <v>0</v>
      </c>
      <c r="T16" s="7">
        <v>0</v>
      </c>
      <c r="U16" s="7">
        <f t="shared" si="1"/>
        <v>76680.39</v>
      </c>
      <c r="V16" s="7">
        <f t="shared" si="2"/>
        <v>-76680.39</v>
      </c>
      <c r="W16" s="7">
        <v>0</v>
      </c>
      <c r="X16" s="7">
        <v>596.30999999999995</v>
      </c>
      <c r="Y16" s="8">
        <v>596.30999999999995</v>
      </c>
    </row>
    <row r="17" spans="1:25" x14ac:dyDescent="0.2">
      <c r="A17" s="42" t="s">
        <v>497</v>
      </c>
      <c r="B17" s="43" t="s">
        <v>498</v>
      </c>
      <c r="C17" s="43" t="s">
        <v>683</v>
      </c>
      <c r="D17" s="43" t="s">
        <v>632</v>
      </c>
      <c r="E17" s="43" t="s">
        <v>684</v>
      </c>
      <c r="F17" s="43" t="s">
        <v>49</v>
      </c>
      <c r="G17" s="6">
        <v>44271</v>
      </c>
      <c r="H17" s="6">
        <v>42431</v>
      </c>
      <c r="I17" s="7">
        <v>257400</v>
      </c>
      <c r="J17" s="7">
        <v>0</v>
      </c>
      <c r="K17" s="7">
        <v>0</v>
      </c>
      <c r="L17" s="7">
        <v>0</v>
      </c>
      <c r="M17" s="7">
        <v>0</v>
      </c>
      <c r="N17" s="7">
        <v>0</v>
      </c>
      <c r="O17" s="7">
        <f t="shared" si="0"/>
        <v>0</v>
      </c>
      <c r="P17" s="7">
        <v>0</v>
      </c>
      <c r="Q17" s="7">
        <v>0</v>
      </c>
      <c r="R17" s="7">
        <v>0</v>
      </c>
      <c r="S17" s="7">
        <v>0</v>
      </c>
      <c r="T17" s="7">
        <v>0</v>
      </c>
      <c r="U17" s="7">
        <f t="shared" si="1"/>
        <v>0</v>
      </c>
      <c r="V17" s="7">
        <f t="shared" si="2"/>
        <v>0</v>
      </c>
      <c r="W17" s="7">
        <v>2860.31</v>
      </c>
      <c r="X17" s="7">
        <v>0</v>
      </c>
      <c r="Y17" s="8">
        <v>2860.31</v>
      </c>
    </row>
    <row r="18" spans="1:25" x14ac:dyDescent="0.2">
      <c r="A18" s="42" t="s">
        <v>227</v>
      </c>
      <c r="B18" s="43" t="s">
        <v>228</v>
      </c>
      <c r="C18" s="43" t="s">
        <v>683</v>
      </c>
      <c r="D18" s="43" t="s">
        <v>632</v>
      </c>
      <c r="E18" s="43" t="s">
        <v>166</v>
      </c>
      <c r="F18" s="43" t="s">
        <v>167</v>
      </c>
      <c r="G18" s="6">
        <v>44306</v>
      </c>
      <c r="H18" s="6">
        <v>44403</v>
      </c>
      <c r="I18" s="7">
        <v>1058000</v>
      </c>
      <c r="J18" s="7">
        <v>0</v>
      </c>
      <c r="K18" s="7">
        <v>0</v>
      </c>
      <c r="L18" s="7">
        <v>58861.71</v>
      </c>
      <c r="M18" s="7">
        <v>6497.93</v>
      </c>
      <c r="N18" s="7">
        <v>0</v>
      </c>
      <c r="O18" s="7">
        <f t="shared" si="0"/>
        <v>65359.64</v>
      </c>
      <c r="P18" s="7">
        <v>0</v>
      </c>
      <c r="Q18" s="7">
        <v>0</v>
      </c>
      <c r="R18" s="7">
        <v>0</v>
      </c>
      <c r="S18" s="7">
        <v>4207.97</v>
      </c>
      <c r="T18" s="7">
        <v>18480.02</v>
      </c>
      <c r="U18" s="7">
        <f t="shared" si="1"/>
        <v>22687.99</v>
      </c>
      <c r="V18" s="7">
        <f t="shared" si="2"/>
        <v>42671.649999999994</v>
      </c>
      <c r="W18" s="7">
        <v>9564.2099999999991</v>
      </c>
      <c r="X18" s="7">
        <v>0</v>
      </c>
      <c r="Y18" s="8">
        <v>9564.2099999999991</v>
      </c>
    </row>
    <row r="19" spans="1:25" x14ac:dyDescent="0.2">
      <c r="A19" s="42" t="s">
        <v>168</v>
      </c>
      <c r="B19" s="43" t="s">
        <v>169</v>
      </c>
      <c r="C19" s="43" t="s">
        <v>683</v>
      </c>
      <c r="D19" s="43" t="s">
        <v>632</v>
      </c>
      <c r="E19" s="43" t="s">
        <v>166</v>
      </c>
      <c r="F19" s="43" t="s">
        <v>167</v>
      </c>
      <c r="G19" s="6">
        <v>44628</v>
      </c>
      <c r="H19" s="6"/>
      <c r="I19" s="7">
        <v>765000</v>
      </c>
      <c r="J19" s="7">
        <v>0</v>
      </c>
      <c r="K19" s="7">
        <v>0</v>
      </c>
      <c r="L19" s="7">
        <v>2964.44</v>
      </c>
      <c r="M19" s="7">
        <v>0</v>
      </c>
      <c r="N19" s="7">
        <v>0</v>
      </c>
      <c r="O19" s="7">
        <f t="shared" si="0"/>
        <v>2964.44</v>
      </c>
      <c r="P19" s="7">
        <v>3127.06</v>
      </c>
      <c r="Q19" s="7">
        <v>0</v>
      </c>
      <c r="R19" s="7">
        <v>0</v>
      </c>
      <c r="S19" s="7">
        <v>56258.79</v>
      </c>
      <c r="T19" s="7">
        <v>53169.69</v>
      </c>
      <c r="U19" s="7">
        <f t="shared" si="1"/>
        <v>112555.54000000001</v>
      </c>
      <c r="V19" s="7">
        <f t="shared" si="2"/>
        <v>-109591.1</v>
      </c>
      <c r="W19" s="7">
        <v>0</v>
      </c>
      <c r="X19" s="7">
        <v>0</v>
      </c>
      <c r="Y19" s="8">
        <v>0</v>
      </c>
    </row>
    <row r="20" spans="1:25" x14ac:dyDescent="0.2">
      <c r="A20" s="42" t="s">
        <v>289</v>
      </c>
      <c r="B20" s="43" t="s">
        <v>290</v>
      </c>
      <c r="C20" s="43" t="s">
        <v>683</v>
      </c>
      <c r="D20" s="43" t="s">
        <v>632</v>
      </c>
      <c r="E20" s="43" t="s">
        <v>291</v>
      </c>
      <c r="F20" s="43" t="s">
        <v>292</v>
      </c>
      <c r="G20" s="6">
        <v>44226</v>
      </c>
      <c r="H20" s="6">
        <v>44151</v>
      </c>
      <c r="I20" s="7">
        <v>0</v>
      </c>
      <c r="J20" s="7">
        <v>437209.3</v>
      </c>
      <c r="K20" s="7">
        <v>0</v>
      </c>
      <c r="L20" s="7">
        <v>0</v>
      </c>
      <c r="M20" s="7">
        <v>0</v>
      </c>
      <c r="N20" s="7">
        <v>0</v>
      </c>
      <c r="O20" s="7">
        <f t="shared" si="0"/>
        <v>437209.3</v>
      </c>
      <c r="P20" s="7">
        <v>644308.43999999994</v>
      </c>
      <c r="Q20" s="7">
        <v>0</v>
      </c>
      <c r="R20" s="7">
        <v>11030.22</v>
      </c>
      <c r="S20" s="7">
        <v>0</v>
      </c>
      <c r="T20" s="7">
        <v>0</v>
      </c>
      <c r="U20" s="7">
        <f t="shared" si="1"/>
        <v>655338.65999999992</v>
      </c>
      <c r="V20" s="7">
        <f t="shared" si="2"/>
        <v>-218129.35999999993</v>
      </c>
      <c r="W20" s="7">
        <v>0</v>
      </c>
      <c r="X20" s="7">
        <v>196.38</v>
      </c>
      <c r="Y20" s="8">
        <v>196.38</v>
      </c>
    </row>
    <row r="21" spans="1:25" x14ac:dyDescent="0.2">
      <c r="A21" s="42" t="s">
        <v>94</v>
      </c>
      <c r="B21" s="43" t="s">
        <v>95</v>
      </c>
      <c r="C21" s="43" t="s">
        <v>683</v>
      </c>
      <c r="D21" s="43" t="s">
        <v>632</v>
      </c>
      <c r="E21" s="43" t="s">
        <v>96</v>
      </c>
      <c r="F21" s="43" t="s">
        <v>97</v>
      </c>
      <c r="G21" s="6">
        <v>44546</v>
      </c>
      <c r="H21" s="6"/>
      <c r="I21" s="7">
        <v>1147800</v>
      </c>
      <c r="J21" s="7">
        <v>580419.57999999996</v>
      </c>
      <c r="K21" s="7">
        <v>0</v>
      </c>
      <c r="L21" s="7">
        <v>115844.7</v>
      </c>
      <c r="M21" s="7">
        <v>98452.38</v>
      </c>
      <c r="N21" s="7">
        <v>0</v>
      </c>
      <c r="O21" s="7">
        <f t="shared" si="0"/>
        <v>794716.65999999992</v>
      </c>
      <c r="P21" s="7">
        <v>524475.53</v>
      </c>
      <c r="Q21" s="7">
        <v>0</v>
      </c>
      <c r="R21" s="7">
        <v>0</v>
      </c>
      <c r="S21" s="7">
        <v>8599.2199999999993</v>
      </c>
      <c r="T21" s="7">
        <v>71119.360000000001</v>
      </c>
      <c r="U21" s="7">
        <f t="shared" si="1"/>
        <v>604194.11</v>
      </c>
      <c r="V21" s="7">
        <f t="shared" si="2"/>
        <v>190522.54999999993</v>
      </c>
      <c r="W21" s="7">
        <v>9826.57</v>
      </c>
      <c r="X21" s="7">
        <v>0</v>
      </c>
      <c r="Y21" s="8">
        <v>9826.57</v>
      </c>
    </row>
    <row r="22" spans="1:25" x14ac:dyDescent="0.2">
      <c r="A22" s="42" t="s">
        <v>442</v>
      </c>
      <c r="B22" s="43" t="s">
        <v>443</v>
      </c>
      <c r="C22" s="43" t="s">
        <v>683</v>
      </c>
      <c r="D22" s="43" t="s">
        <v>632</v>
      </c>
      <c r="E22" s="43" t="s">
        <v>35</v>
      </c>
      <c r="F22" s="43" t="s">
        <v>36</v>
      </c>
      <c r="G22" s="6">
        <v>44226</v>
      </c>
      <c r="H22" s="6">
        <v>43357</v>
      </c>
      <c r="I22" s="7">
        <v>0</v>
      </c>
      <c r="J22" s="7">
        <v>0</v>
      </c>
      <c r="K22" s="7">
        <v>0</v>
      </c>
      <c r="L22" s="7">
        <v>0</v>
      </c>
      <c r="M22" s="7">
        <v>0</v>
      </c>
      <c r="N22" s="7">
        <v>1010070</v>
      </c>
      <c r="O22" s="7">
        <f t="shared" si="0"/>
        <v>1010070</v>
      </c>
      <c r="P22" s="7">
        <v>0</v>
      </c>
      <c r="Q22" s="7">
        <v>0</v>
      </c>
      <c r="R22" s="7">
        <v>0</v>
      </c>
      <c r="S22" s="7">
        <v>0</v>
      </c>
      <c r="T22" s="7">
        <v>0</v>
      </c>
      <c r="U22" s="7">
        <f t="shared" si="1"/>
        <v>0</v>
      </c>
      <c r="V22" s="7">
        <f t="shared" si="2"/>
        <v>1010070</v>
      </c>
      <c r="W22" s="7">
        <v>0</v>
      </c>
      <c r="X22" s="7">
        <v>0</v>
      </c>
      <c r="Y22" s="8">
        <v>0</v>
      </c>
    </row>
    <row r="23" spans="1:25" x14ac:dyDescent="0.2">
      <c r="A23" s="42" t="s">
        <v>190</v>
      </c>
      <c r="B23" s="43" t="s">
        <v>191</v>
      </c>
      <c r="C23" s="43" t="s">
        <v>683</v>
      </c>
      <c r="D23" s="43" t="s">
        <v>632</v>
      </c>
      <c r="E23" s="43" t="s">
        <v>687</v>
      </c>
      <c r="F23" s="43" t="s">
        <v>192</v>
      </c>
      <c r="G23" s="6">
        <v>44226</v>
      </c>
      <c r="H23" s="6"/>
      <c r="I23" s="7">
        <v>0</v>
      </c>
      <c r="J23" s="7">
        <v>0</v>
      </c>
      <c r="K23" s="7">
        <v>0</v>
      </c>
      <c r="L23" s="7">
        <v>0</v>
      </c>
      <c r="M23" s="7">
        <v>0</v>
      </c>
      <c r="N23" s="7">
        <v>0</v>
      </c>
      <c r="O23" s="7">
        <f t="shared" si="0"/>
        <v>0</v>
      </c>
      <c r="P23" s="7">
        <v>7347.6</v>
      </c>
      <c r="Q23" s="7">
        <v>0</v>
      </c>
      <c r="R23" s="7">
        <v>0</v>
      </c>
      <c r="S23" s="7">
        <v>0</v>
      </c>
      <c r="T23" s="7">
        <v>0</v>
      </c>
      <c r="U23" s="7">
        <f t="shared" si="1"/>
        <v>7347.6</v>
      </c>
      <c r="V23" s="7">
        <f t="shared" si="2"/>
        <v>-7347.6</v>
      </c>
      <c r="W23" s="7">
        <v>0</v>
      </c>
      <c r="X23" s="7">
        <v>197.32</v>
      </c>
      <c r="Y23" s="8">
        <v>197.32</v>
      </c>
    </row>
    <row r="24" spans="1:25" x14ac:dyDescent="0.2">
      <c r="A24" s="42" t="s">
        <v>297</v>
      </c>
      <c r="B24" s="43" t="s">
        <v>298</v>
      </c>
      <c r="C24" s="43" t="s">
        <v>683</v>
      </c>
      <c r="D24" s="43" t="s">
        <v>632</v>
      </c>
      <c r="E24" s="43" t="s">
        <v>5</v>
      </c>
      <c r="F24" s="43" t="s">
        <v>6</v>
      </c>
      <c r="G24" s="6">
        <v>44264</v>
      </c>
      <c r="H24" s="6">
        <v>44288</v>
      </c>
      <c r="I24" s="7">
        <v>1922753.8</v>
      </c>
      <c r="J24" s="7">
        <v>245047.04000000001</v>
      </c>
      <c r="K24" s="7">
        <v>0</v>
      </c>
      <c r="L24" s="7">
        <v>173982.87</v>
      </c>
      <c r="M24" s="7">
        <v>0</v>
      </c>
      <c r="N24" s="7">
        <v>0</v>
      </c>
      <c r="O24" s="7">
        <f t="shared" si="0"/>
        <v>419029.91000000003</v>
      </c>
      <c r="P24" s="7">
        <v>209171.20000000001</v>
      </c>
      <c r="Q24" s="7">
        <v>0</v>
      </c>
      <c r="R24" s="7">
        <v>0</v>
      </c>
      <c r="S24" s="7">
        <v>3787</v>
      </c>
      <c r="T24" s="7">
        <v>39859.64</v>
      </c>
      <c r="U24" s="7">
        <f t="shared" si="1"/>
        <v>252817.84000000003</v>
      </c>
      <c r="V24" s="7">
        <f t="shared" si="2"/>
        <v>166212.07</v>
      </c>
      <c r="W24" s="7">
        <v>0</v>
      </c>
      <c r="X24" s="7">
        <v>0</v>
      </c>
      <c r="Y24" s="8">
        <v>0</v>
      </c>
    </row>
    <row r="25" spans="1:25" x14ac:dyDescent="0.2">
      <c r="A25" s="42" t="s">
        <v>58</v>
      </c>
      <c r="B25" s="43" t="s">
        <v>59</v>
      </c>
      <c r="C25" s="43" t="s">
        <v>683</v>
      </c>
      <c r="D25" s="43" t="s">
        <v>632</v>
      </c>
      <c r="E25" s="43" t="s">
        <v>35</v>
      </c>
      <c r="F25" s="43" t="s">
        <v>36</v>
      </c>
      <c r="G25" s="6">
        <v>44543</v>
      </c>
      <c r="H25" s="6"/>
      <c r="I25" s="7">
        <v>0</v>
      </c>
      <c r="J25" s="7">
        <v>0</v>
      </c>
      <c r="K25" s="7">
        <v>0</v>
      </c>
      <c r="L25" s="7">
        <v>0</v>
      </c>
      <c r="M25" s="7">
        <v>0</v>
      </c>
      <c r="N25" s="7">
        <v>0</v>
      </c>
      <c r="O25" s="7">
        <f t="shared" si="0"/>
        <v>0</v>
      </c>
      <c r="P25" s="7">
        <v>0</v>
      </c>
      <c r="Q25" s="7">
        <v>0</v>
      </c>
      <c r="R25" s="7">
        <v>0</v>
      </c>
      <c r="S25" s="7">
        <v>636.9</v>
      </c>
      <c r="T25" s="7">
        <v>0</v>
      </c>
      <c r="U25" s="7">
        <f t="shared" si="1"/>
        <v>636.9</v>
      </c>
      <c r="V25" s="7">
        <f t="shared" si="2"/>
        <v>-636.9</v>
      </c>
      <c r="W25" s="7">
        <v>0</v>
      </c>
      <c r="X25" s="7">
        <v>0</v>
      </c>
      <c r="Y25" s="8">
        <v>0</v>
      </c>
    </row>
    <row r="26" spans="1:25" x14ac:dyDescent="0.2">
      <c r="A26" s="42" t="s">
        <v>64</v>
      </c>
      <c r="B26" s="43" t="s">
        <v>65</v>
      </c>
      <c r="C26" s="43" t="s">
        <v>683</v>
      </c>
      <c r="D26" s="43" t="s">
        <v>632</v>
      </c>
      <c r="E26" s="43" t="s">
        <v>35</v>
      </c>
      <c r="F26" s="43" t="s">
        <v>36</v>
      </c>
      <c r="G26" s="6">
        <v>44553</v>
      </c>
      <c r="H26" s="6"/>
      <c r="I26" s="7">
        <v>15000</v>
      </c>
      <c r="J26" s="7">
        <v>0</v>
      </c>
      <c r="K26" s="7">
        <v>0</v>
      </c>
      <c r="L26" s="7">
        <v>0</v>
      </c>
      <c r="M26" s="7">
        <v>0</v>
      </c>
      <c r="N26" s="7">
        <v>0</v>
      </c>
      <c r="O26" s="7">
        <f t="shared" si="0"/>
        <v>0</v>
      </c>
      <c r="P26" s="7">
        <v>0</v>
      </c>
      <c r="Q26" s="7">
        <v>0</v>
      </c>
      <c r="R26" s="7">
        <v>0</v>
      </c>
      <c r="S26" s="7">
        <v>710.56</v>
      </c>
      <c r="T26" s="7">
        <v>13525.1</v>
      </c>
      <c r="U26" s="7">
        <f t="shared" si="1"/>
        <v>14235.66</v>
      </c>
      <c r="V26" s="7">
        <f t="shared" si="2"/>
        <v>-14235.66</v>
      </c>
      <c r="W26" s="7">
        <v>0</v>
      </c>
      <c r="X26" s="7">
        <v>0</v>
      </c>
      <c r="Y26" s="8">
        <v>0</v>
      </c>
    </row>
    <row r="27" spans="1:25" x14ac:dyDescent="0.2">
      <c r="A27" s="42" t="s">
        <v>164</v>
      </c>
      <c r="B27" s="43" t="s">
        <v>165</v>
      </c>
      <c r="C27" s="43" t="s">
        <v>683</v>
      </c>
      <c r="D27" s="43" t="s">
        <v>632</v>
      </c>
      <c r="E27" s="43" t="s">
        <v>166</v>
      </c>
      <c r="F27" s="43" t="s">
        <v>167</v>
      </c>
      <c r="G27" s="6">
        <v>44613</v>
      </c>
      <c r="H27" s="6"/>
      <c r="I27" s="7">
        <v>242000</v>
      </c>
      <c r="J27" s="7">
        <v>0</v>
      </c>
      <c r="K27" s="7">
        <v>0</v>
      </c>
      <c r="L27" s="7">
        <v>4351.2</v>
      </c>
      <c r="M27" s="7">
        <v>0</v>
      </c>
      <c r="N27" s="7">
        <v>0</v>
      </c>
      <c r="O27" s="7">
        <f t="shared" si="0"/>
        <v>4351.2</v>
      </c>
      <c r="P27" s="7">
        <v>0</v>
      </c>
      <c r="Q27" s="7">
        <v>0</v>
      </c>
      <c r="R27" s="7">
        <v>0</v>
      </c>
      <c r="S27" s="7">
        <v>2001.7</v>
      </c>
      <c r="T27" s="7">
        <v>839.59</v>
      </c>
      <c r="U27" s="7">
        <f t="shared" si="1"/>
        <v>2841.29</v>
      </c>
      <c r="V27" s="7">
        <f t="shared" si="2"/>
        <v>1509.9099999999999</v>
      </c>
      <c r="W27" s="7">
        <v>0</v>
      </c>
      <c r="X27" s="7">
        <v>0</v>
      </c>
      <c r="Y27" s="8">
        <v>0</v>
      </c>
    </row>
    <row r="28" spans="1:25" x14ac:dyDescent="0.2">
      <c r="A28" s="42" t="s">
        <v>33</v>
      </c>
      <c r="B28" s="43" t="s">
        <v>34</v>
      </c>
      <c r="C28" s="43" t="s">
        <v>683</v>
      </c>
      <c r="D28" s="43" t="s">
        <v>632</v>
      </c>
      <c r="E28" s="43" t="s">
        <v>35</v>
      </c>
      <c r="F28" s="43" t="s">
        <v>36</v>
      </c>
      <c r="G28" s="6">
        <v>44441</v>
      </c>
      <c r="H28" s="6"/>
      <c r="I28" s="7">
        <v>20000</v>
      </c>
      <c r="J28" s="7">
        <v>0</v>
      </c>
      <c r="K28" s="7">
        <v>0</v>
      </c>
      <c r="L28" s="7">
        <v>0</v>
      </c>
      <c r="M28" s="7">
        <v>0</v>
      </c>
      <c r="N28" s="7">
        <v>0</v>
      </c>
      <c r="O28" s="7">
        <f t="shared" si="0"/>
        <v>0</v>
      </c>
      <c r="P28" s="7">
        <v>0</v>
      </c>
      <c r="Q28" s="7">
        <v>0</v>
      </c>
      <c r="R28" s="7">
        <v>0</v>
      </c>
      <c r="S28" s="7">
        <v>-6032.23</v>
      </c>
      <c r="T28" s="7">
        <v>0</v>
      </c>
      <c r="U28" s="7">
        <f t="shared" si="1"/>
        <v>-6032.23</v>
      </c>
      <c r="V28" s="7">
        <f t="shared" si="2"/>
        <v>6032.23</v>
      </c>
      <c r="W28" s="7">
        <v>0</v>
      </c>
      <c r="X28" s="7">
        <v>0</v>
      </c>
      <c r="Y28" s="8">
        <v>0</v>
      </c>
    </row>
    <row r="29" spans="1:25" x14ac:dyDescent="0.2">
      <c r="A29" s="42" t="s">
        <v>162</v>
      </c>
      <c r="B29" s="43" t="s">
        <v>163</v>
      </c>
      <c r="C29" s="43" t="s">
        <v>683</v>
      </c>
      <c r="D29" s="43" t="s">
        <v>632</v>
      </c>
      <c r="E29" s="43" t="s">
        <v>5</v>
      </c>
      <c r="F29" s="43" t="s">
        <v>6</v>
      </c>
      <c r="G29" s="6">
        <v>44411</v>
      </c>
      <c r="H29" s="6"/>
      <c r="I29" s="7">
        <v>1561780</v>
      </c>
      <c r="J29" s="7">
        <v>0</v>
      </c>
      <c r="K29" s="7">
        <v>0</v>
      </c>
      <c r="L29" s="7">
        <v>9971.2000000000007</v>
      </c>
      <c r="M29" s="7">
        <v>0</v>
      </c>
      <c r="N29" s="7">
        <v>0</v>
      </c>
      <c r="O29" s="7">
        <f t="shared" si="0"/>
        <v>9971.2000000000007</v>
      </c>
      <c r="P29" s="7">
        <v>0</v>
      </c>
      <c r="Q29" s="7">
        <v>0</v>
      </c>
      <c r="R29" s="7">
        <v>0</v>
      </c>
      <c r="S29" s="7">
        <v>0</v>
      </c>
      <c r="T29" s="7">
        <v>0</v>
      </c>
      <c r="U29" s="7">
        <f t="shared" si="1"/>
        <v>0</v>
      </c>
      <c r="V29" s="7">
        <f t="shared" si="2"/>
        <v>9971.2000000000007</v>
      </c>
      <c r="W29" s="7">
        <v>0</v>
      </c>
      <c r="X29" s="7">
        <v>0</v>
      </c>
      <c r="Y29" s="8">
        <v>0</v>
      </c>
    </row>
    <row r="30" spans="1:25" x14ac:dyDescent="0.2">
      <c r="A30" s="42" t="s">
        <v>501</v>
      </c>
      <c r="B30" s="43" t="s">
        <v>320</v>
      </c>
      <c r="C30" s="43" t="s">
        <v>683</v>
      </c>
      <c r="D30" s="43" t="s">
        <v>632</v>
      </c>
      <c r="E30" s="43" t="s">
        <v>684</v>
      </c>
      <c r="F30" s="43" t="s">
        <v>49</v>
      </c>
      <c r="G30" s="6">
        <v>44307</v>
      </c>
      <c r="H30" s="6">
        <v>42198</v>
      </c>
      <c r="I30" s="7">
        <v>1122000</v>
      </c>
      <c r="J30" s="7">
        <v>0</v>
      </c>
      <c r="K30" s="7">
        <v>0</v>
      </c>
      <c r="L30" s="7">
        <v>48546</v>
      </c>
      <c r="M30" s="7">
        <v>0</v>
      </c>
      <c r="N30" s="7">
        <v>0</v>
      </c>
      <c r="O30" s="7">
        <f t="shared" si="0"/>
        <v>48546</v>
      </c>
      <c r="P30" s="7">
        <v>0</v>
      </c>
      <c r="Q30" s="7">
        <v>0</v>
      </c>
      <c r="R30" s="7">
        <v>0</v>
      </c>
      <c r="S30" s="7">
        <v>0</v>
      </c>
      <c r="T30" s="7">
        <v>0</v>
      </c>
      <c r="U30" s="7">
        <f t="shared" si="1"/>
        <v>0</v>
      </c>
      <c r="V30" s="7">
        <f t="shared" si="2"/>
        <v>48546</v>
      </c>
      <c r="W30" s="7">
        <v>0</v>
      </c>
      <c r="X30" s="7">
        <v>0</v>
      </c>
      <c r="Y30" s="8">
        <v>0</v>
      </c>
    </row>
    <row r="31" spans="1:25" x14ac:dyDescent="0.2">
      <c r="A31" s="42" t="s">
        <v>360</v>
      </c>
      <c r="B31" s="43" t="s">
        <v>361</v>
      </c>
      <c r="C31" s="43" t="s">
        <v>688</v>
      </c>
      <c r="D31" s="43" t="s">
        <v>637</v>
      </c>
      <c r="E31" s="43" t="s">
        <v>689</v>
      </c>
      <c r="F31" s="43" t="s">
        <v>264</v>
      </c>
      <c r="G31" s="6">
        <v>44226</v>
      </c>
      <c r="H31" s="6">
        <v>44382</v>
      </c>
      <c r="I31" s="7">
        <v>4349725.93</v>
      </c>
      <c r="J31" s="7">
        <v>0</v>
      </c>
      <c r="K31" s="7">
        <v>0</v>
      </c>
      <c r="L31" s="7">
        <v>0</v>
      </c>
      <c r="M31" s="7">
        <v>0</v>
      </c>
      <c r="N31" s="7">
        <v>0</v>
      </c>
      <c r="O31" s="7">
        <f>SUM(J31:N31)</f>
        <v>0</v>
      </c>
      <c r="P31" s="7">
        <v>0</v>
      </c>
      <c r="Q31" s="7">
        <v>0</v>
      </c>
      <c r="R31" s="7">
        <v>279883.90000000002</v>
      </c>
      <c r="S31" s="7">
        <v>56841.87</v>
      </c>
      <c r="T31" s="7">
        <v>1965.14</v>
      </c>
      <c r="U31" s="7">
        <f>SUM(P31:T31)</f>
        <v>338690.91000000003</v>
      </c>
      <c r="V31" s="7">
        <f>O31-U31</f>
        <v>-338690.91000000003</v>
      </c>
      <c r="W31" s="7">
        <v>9846.2900000000009</v>
      </c>
      <c r="X31" s="7">
        <v>30890.11</v>
      </c>
      <c r="Y31" s="8">
        <v>40736.400000000001</v>
      </c>
    </row>
    <row r="32" spans="1:25" x14ac:dyDescent="0.2">
      <c r="A32" s="42" t="s">
        <v>560</v>
      </c>
      <c r="B32" s="43" t="s">
        <v>561</v>
      </c>
      <c r="C32" s="43" t="s">
        <v>688</v>
      </c>
      <c r="D32" s="43" t="s">
        <v>637</v>
      </c>
      <c r="E32" s="43" t="s">
        <v>689</v>
      </c>
      <c r="F32" s="43" t="s">
        <v>264</v>
      </c>
      <c r="G32" s="6">
        <v>44431</v>
      </c>
      <c r="H32" s="6">
        <v>44770</v>
      </c>
      <c r="I32" s="7">
        <v>3950325.7</v>
      </c>
      <c r="J32" s="7">
        <v>2091712</v>
      </c>
      <c r="K32" s="7">
        <v>0</v>
      </c>
      <c r="L32" s="7">
        <v>224672.23</v>
      </c>
      <c r="M32" s="7">
        <v>223661.42</v>
      </c>
      <c r="N32" s="7">
        <v>15862.48</v>
      </c>
      <c r="O32" s="7">
        <f t="shared" ref="O32:O42" si="3">SUM(J32:N32)</f>
        <v>2555908.13</v>
      </c>
      <c r="P32" s="7">
        <v>2469521.5999999996</v>
      </c>
      <c r="Q32" s="7">
        <v>0</v>
      </c>
      <c r="R32" s="7">
        <v>8595.57</v>
      </c>
      <c r="S32" s="7">
        <v>69525.97</v>
      </c>
      <c r="T32" s="7">
        <v>136589.39000000001</v>
      </c>
      <c r="U32" s="7">
        <f t="shared" ref="U32:U42" si="4">SUM(P32:T32)</f>
        <v>2684232.5299999998</v>
      </c>
      <c r="V32" s="7">
        <f t="shared" ref="V32:V42" si="5">O32-U32</f>
        <v>-128324.39999999991</v>
      </c>
      <c r="W32" s="7">
        <v>40703.51</v>
      </c>
      <c r="X32" s="7">
        <v>29357.25</v>
      </c>
      <c r="Y32" s="8">
        <v>70060.759999999995</v>
      </c>
    </row>
    <row r="33" spans="1:25" x14ac:dyDescent="0.2">
      <c r="A33" s="42" t="s">
        <v>364</v>
      </c>
      <c r="B33" s="43" t="s">
        <v>365</v>
      </c>
      <c r="C33" s="43" t="s">
        <v>688</v>
      </c>
      <c r="D33" s="43" t="s">
        <v>637</v>
      </c>
      <c r="E33" s="43" t="s">
        <v>689</v>
      </c>
      <c r="F33" s="43" t="s">
        <v>264</v>
      </c>
      <c r="G33" s="6">
        <v>44226</v>
      </c>
      <c r="H33" s="6">
        <v>44410</v>
      </c>
      <c r="I33" s="7">
        <v>0</v>
      </c>
      <c r="J33" s="7">
        <v>0</v>
      </c>
      <c r="K33" s="7">
        <v>0</v>
      </c>
      <c r="L33" s="7">
        <v>0</v>
      </c>
      <c r="M33" s="7">
        <v>0</v>
      </c>
      <c r="N33" s="7">
        <v>0</v>
      </c>
      <c r="O33" s="7">
        <f t="shared" si="3"/>
        <v>0</v>
      </c>
      <c r="P33" s="7">
        <v>0</v>
      </c>
      <c r="Q33" s="7">
        <v>0</v>
      </c>
      <c r="R33" s="7">
        <v>4380.2</v>
      </c>
      <c r="S33" s="7">
        <v>0</v>
      </c>
      <c r="T33" s="7">
        <v>11170.63</v>
      </c>
      <c r="U33" s="7">
        <f t="shared" si="4"/>
        <v>15550.829999999998</v>
      </c>
      <c r="V33" s="7">
        <f t="shared" si="5"/>
        <v>-15550.829999999998</v>
      </c>
      <c r="W33" s="7">
        <v>0</v>
      </c>
      <c r="X33" s="7">
        <v>30935.73</v>
      </c>
      <c r="Y33" s="8">
        <v>30935.73</v>
      </c>
    </row>
    <row r="34" spans="1:25" x14ac:dyDescent="0.2">
      <c r="A34" s="42" t="s">
        <v>556</v>
      </c>
      <c r="B34" s="43" t="s">
        <v>557</v>
      </c>
      <c r="C34" s="43" t="s">
        <v>688</v>
      </c>
      <c r="D34" s="43" t="s">
        <v>637</v>
      </c>
      <c r="E34" s="43" t="s">
        <v>689</v>
      </c>
      <c r="F34" s="43" t="s">
        <v>264</v>
      </c>
      <c r="G34" s="6">
        <v>44226</v>
      </c>
      <c r="H34" s="6">
        <v>43620</v>
      </c>
      <c r="I34" s="7">
        <v>0</v>
      </c>
      <c r="J34" s="7">
        <v>0</v>
      </c>
      <c r="K34" s="7">
        <v>0</v>
      </c>
      <c r="L34" s="7">
        <v>0</v>
      </c>
      <c r="M34" s="7">
        <v>0</v>
      </c>
      <c r="N34" s="7">
        <v>0</v>
      </c>
      <c r="O34" s="7">
        <f t="shared" si="3"/>
        <v>0</v>
      </c>
      <c r="P34" s="7">
        <v>0</v>
      </c>
      <c r="Q34" s="7">
        <v>0</v>
      </c>
      <c r="R34" s="7">
        <v>0</v>
      </c>
      <c r="S34" s="7">
        <v>0</v>
      </c>
      <c r="T34" s="7">
        <v>0</v>
      </c>
      <c r="U34" s="7">
        <f t="shared" si="4"/>
        <v>0</v>
      </c>
      <c r="V34" s="7">
        <f t="shared" si="5"/>
        <v>0</v>
      </c>
      <c r="W34" s="7">
        <v>2167.1</v>
      </c>
      <c r="X34" s="7">
        <v>2165.9899999999998</v>
      </c>
      <c r="Y34" s="8">
        <v>4333.09</v>
      </c>
    </row>
    <row r="35" spans="1:25" x14ac:dyDescent="0.2">
      <c r="A35" s="42" t="s">
        <v>564</v>
      </c>
      <c r="B35" s="43" t="s">
        <v>565</v>
      </c>
      <c r="C35" s="43" t="s">
        <v>688</v>
      </c>
      <c r="D35" s="43" t="s">
        <v>637</v>
      </c>
      <c r="E35" s="43" t="s">
        <v>136</v>
      </c>
      <c r="F35" s="43" t="s">
        <v>137</v>
      </c>
      <c r="G35" s="6">
        <v>44226</v>
      </c>
      <c r="H35" s="6">
        <v>44133</v>
      </c>
      <c r="I35" s="7">
        <v>0</v>
      </c>
      <c r="J35" s="7">
        <v>0</v>
      </c>
      <c r="K35" s="7">
        <v>0</v>
      </c>
      <c r="L35" s="7">
        <v>141849.65</v>
      </c>
      <c r="M35" s="7">
        <v>0</v>
      </c>
      <c r="N35" s="7">
        <v>0</v>
      </c>
      <c r="O35" s="7">
        <f t="shared" si="3"/>
        <v>141849.65</v>
      </c>
      <c r="P35" s="7">
        <v>0</v>
      </c>
      <c r="Q35" s="7">
        <v>0</v>
      </c>
      <c r="R35" s="7">
        <v>163503.19</v>
      </c>
      <c r="S35" s="7">
        <v>19644.78</v>
      </c>
      <c r="T35" s="7">
        <v>51621.69</v>
      </c>
      <c r="U35" s="7">
        <f t="shared" si="4"/>
        <v>234769.66</v>
      </c>
      <c r="V35" s="7">
        <f t="shared" si="5"/>
        <v>-92920.010000000009</v>
      </c>
      <c r="W35" s="7">
        <v>56824.800000000003</v>
      </c>
      <c r="X35" s="7">
        <v>29225.11</v>
      </c>
      <c r="Y35" s="8">
        <v>86049.91</v>
      </c>
    </row>
    <row r="36" spans="1:25" x14ac:dyDescent="0.2">
      <c r="A36" s="42" t="s">
        <v>554</v>
      </c>
      <c r="B36" s="43" t="s">
        <v>555</v>
      </c>
      <c r="C36" s="43" t="s">
        <v>688</v>
      </c>
      <c r="D36" s="43" t="s">
        <v>637</v>
      </c>
      <c r="E36" s="43" t="s">
        <v>689</v>
      </c>
      <c r="F36" s="43" t="s">
        <v>264</v>
      </c>
      <c r="G36" s="6">
        <v>44226</v>
      </c>
      <c r="H36" s="6">
        <v>44407</v>
      </c>
      <c r="I36" s="7">
        <v>0</v>
      </c>
      <c r="J36" s="7">
        <v>0</v>
      </c>
      <c r="K36" s="7">
        <v>0</v>
      </c>
      <c r="L36" s="7">
        <v>38291.879999999997</v>
      </c>
      <c r="M36" s="7">
        <v>0</v>
      </c>
      <c r="N36" s="7">
        <v>0</v>
      </c>
      <c r="O36" s="7">
        <f t="shared" si="3"/>
        <v>38291.879999999997</v>
      </c>
      <c r="P36" s="7">
        <v>0</v>
      </c>
      <c r="Q36" s="7">
        <v>0</v>
      </c>
      <c r="R36" s="7">
        <v>26496.05</v>
      </c>
      <c r="S36" s="7">
        <v>0</v>
      </c>
      <c r="T36" s="7">
        <v>4594.01</v>
      </c>
      <c r="U36" s="7">
        <f t="shared" si="4"/>
        <v>31090.059999999998</v>
      </c>
      <c r="V36" s="7">
        <f t="shared" si="5"/>
        <v>7201.82</v>
      </c>
      <c r="W36" s="7">
        <v>16231.55</v>
      </c>
      <c r="X36" s="7">
        <v>20458.34</v>
      </c>
      <c r="Y36" s="8">
        <v>36689.89</v>
      </c>
    </row>
    <row r="37" spans="1:25" x14ac:dyDescent="0.2">
      <c r="A37" s="42" t="s">
        <v>558</v>
      </c>
      <c r="B37" s="43" t="s">
        <v>559</v>
      </c>
      <c r="C37" s="43" t="s">
        <v>688</v>
      </c>
      <c r="D37" s="43" t="s">
        <v>637</v>
      </c>
      <c r="E37" s="43" t="s">
        <v>689</v>
      </c>
      <c r="F37" s="43" t="s">
        <v>264</v>
      </c>
      <c r="G37" s="6">
        <v>44350</v>
      </c>
      <c r="H37" s="6">
        <v>44369</v>
      </c>
      <c r="I37" s="7">
        <v>3460402</v>
      </c>
      <c r="J37" s="7">
        <v>3396616</v>
      </c>
      <c r="K37" s="7">
        <v>0</v>
      </c>
      <c r="L37" s="7">
        <v>34473.85</v>
      </c>
      <c r="M37" s="7">
        <v>9684.4</v>
      </c>
      <c r="N37" s="7">
        <v>0</v>
      </c>
      <c r="O37" s="7">
        <f t="shared" si="3"/>
        <v>3440774.25</v>
      </c>
      <c r="P37" s="7">
        <v>4062531.8</v>
      </c>
      <c r="Q37" s="7">
        <v>0</v>
      </c>
      <c r="R37" s="7">
        <v>1558.56</v>
      </c>
      <c r="S37" s="7">
        <v>31301.64</v>
      </c>
      <c r="T37" s="7">
        <v>30471.27</v>
      </c>
      <c r="U37" s="7">
        <f t="shared" si="4"/>
        <v>4125863.27</v>
      </c>
      <c r="V37" s="7">
        <f t="shared" si="5"/>
        <v>-685089.02</v>
      </c>
      <c r="W37" s="7">
        <v>3820.94</v>
      </c>
      <c r="X37" s="7">
        <v>9481.93</v>
      </c>
      <c r="Y37" s="8">
        <v>13302.87</v>
      </c>
    </row>
    <row r="38" spans="1:25" x14ac:dyDescent="0.2">
      <c r="A38" s="42" t="s">
        <v>134</v>
      </c>
      <c r="B38" s="43" t="s">
        <v>135</v>
      </c>
      <c r="C38" s="43" t="s">
        <v>688</v>
      </c>
      <c r="D38" s="43" t="s">
        <v>637</v>
      </c>
      <c r="E38" s="43" t="s">
        <v>136</v>
      </c>
      <c r="F38" s="43" t="s">
        <v>137</v>
      </c>
      <c r="G38" s="6">
        <v>44480</v>
      </c>
      <c r="H38" s="6"/>
      <c r="I38" s="7">
        <v>2180000</v>
      </c>
      <c r="J38" s="7">
        <v>0</v>
      </c>
      <c r="K38" s="7">
        <v>0</v>
      </c>
      <c r="L38" s="7">
        <v>0</v>
      </c>
      <c r="M38" s="7">
        <v>0</v>
      </c>
      <c r="N38" s="7">
        <v>513162.54</v>
      </c>
      <c r="O38" s="7">
        <f t="shared" si="3"/>
        <v>513162.54</v>
      </c>
      <c r="P38" s="7">
        <v>0</v>
      </c>
      <c r="Q38" s="7">
        <v>0</v>
      </c>
      <c r="R38" s="7">
        <v>0</v>
      </c>
      <c r="S38" s="7">
        <v>28218.91</v>
      </c>
      <c r="T38" s="7">
        <v>113723.7</v>
      </c>
      <c r="U38" s="7">
        <f t="shared" si="4"/>
        <v>141942.60999999999</v>
      </c>
      <c r="V38" s="7">
        <f t="shared" si="5"/>
        <v>371219.93</v>
      </c>
      <c r="W38" s="7">
        <v>11345.58</v>
      </c>
      <c r="X38" s="7">
        <v>2043.05</v>
      </c>
      <c r="Y38" s="8">
        <v>13388.63</v>
      </c>
    </row>
    <row r="39" spans="1:25" x14ac:dyDescent="0.2">
      <c r="A39" s="42" t="s">
        <v>440</v>
      </c>
      <c r="B39" s="43" t="s">
        <v>441</v>
      </c>
      <c r="C39" s="43" t="s">
        <v>688</v>
      </c>
      <c r="D39" s="43" t="s">
        <v>637</v>
      </c>
      <c r="E39" s="43" t="s">
        <v>35</v>
      </c>
      <c r="F39" s="43" t="s">
        <v>36</v>
      </c>
      <c r="G39" s="6">
        <v>44226</v>
      </c>
      <c r="H39" s="6">
        <v>43632</v>
      </c>
      <c r="I39" s="7">
        <v>0</v>
      </c>
      <c r="J39" s="7">
        <v>0</v>
      </c>
      <c r="K39" s="7">
        <v>0</v>
      </c>
      <c r="L39" s="7">
        <v>0</v>
      </c>
      <c r="M39" s="7">
        <v>0</v>
      </c>
      <c r="N39" s="7">
        <v>-310315.19</v>
      </c>
      <c r="O39" s="7">
        <f t="shared" si="3"/>
        <v>-310315.19</v>
      </c>
      <c r="P39" s="7">
        <v>0</v>
      </c>
      <c r="Q39" s="7">
        <v>0</v>
      </c>
      <c r="R39" s="7">
        <v>0</v>
      </c>
      <c r="S39" s="7">
        <v>0</v>
      </c>
      <c r="T39" s="7">
        <v>0</v>
      </c>
      <c r="U39" s="7">
        <f t="shared" si="4"/>
        <v>0</v>
      </c>
      <c r="V39" s="7">
        <f t="shared" si="5"/>
        <v>-310315.19</v>
      </c>
      <c r="W39" s="7">
        <v>4453.91</v>
      </c>
      <c r="X39" s="7">
        <v>360784.34</v>
      </c>
      <c r="Y39" s="8">
        <v>365238.25</v>
      </c>
    </row>
    <row r="40" spans="1:25" x14ac:dyDescent="0.2">
      <c r="A40" s="42" t="s">
        <v>362</v>
      </c>
      <c r="B40" s="43" t="s">
        <v>363</v>
      </c>
      <c r="C40" s="43" t="s">
        <v>688</v>
      </c>
      <c r="D40" s="43" t="s">
        <v>637</v>
      </c>
      <c r="E40" s="43" t="s">
        <v>689</v>
      </c>
      <c r="F40" s="43" t="s">
        <v>264</v>
      </c>
      <c r="G40" s="6">
        <v>44226</v>
      </c>
      <c r="H40" s="6">
        <v>44127</v>
      </c>
      <c r="I40" s="7">
        <v>0</v>
      </c>
      <c r="J40" s="7">
        <v>0</v>
      </c>
      <c r="K40" s="7">
        <v>0</v>
      </c>
      <c r="L40" s="7">
        <v>0</v>
      </c>
      <c r="M40" s="7">
        <v>0</v>
      </c>
      <c r="N40" s="7">
        <v>0</v>
      </c>
      <c r="O40" s="7">
        <f t="shared" si="3"/>
        <v>0</v>
      </c>
      <c r="P40" s="7">
        <v>4103.17</v>
      </c>
      <c r="Q40" s="7">
        <v>0</v>
      </c>
      <c r="R40" s="7">
        <v>27904.43</v>
      </c>
      <c r="S40" s="7">
        <v>1095.25</v>
      </c>
      <c r="T40" s="7">
        <v>0</v>
      </c>
      <c r="U40" s="7">
        <f t="shared" si="4"/>
        <v>33102.85</v>
      </c>
      <c r="V40" s="7">
        <f t="shared" si="5"/>
        <v>-33102.85</v>
      </c>
      <c r="W40" s="7">
        <v>1990.51</v>
      </c>
      <c r="X40" s="7">
        <v>42787.96</v>
      </c>
      <c r="Y40" s="8">
        <v>44778.47</v>
      </c>
    </row>
    <row r="41" spans="1:25" x14ac:dyDescent="0.2">
      <c r="A41" s="42" t="s">
        <v>433</v>
      </c>
      <c r="B41" s="43" t="s">
        <v>434</v>
      </c>
      <c r="C41" s="43" t="s">
        <v>688</v>
      </c>
      <c r="D41" s="43" t="s">
        <v>637</v>
      </c>
      <c r="E41" s="43" t="s">
        <v>690</v>
      </c>
      <c r="F41" s="43" t="s">
        <v>435</v>
      </c>
      <c r="G41" s="6">
        <v>44226</v>
      </c>
      <c r="H41" s="6">
        <v>43717</v>
      </c>
      <c r="I41" s="7">
        <v>0</v>
      </c>
      <c r="J41" s="7">
        <v>0</v>
      </c>
      <c r="K41" s="7">
        <v>0</v>
      </c>
      <c r="L41" s="7">
        <v>0</v>
      </c>
      <c r="M41" s="7">
        <v>0</v>
      </c>
      <c r="N41" s="7">
        <v>0</v>
      </c>
      <c r="O41" s="7">
        <f t="shared" si="3"/>
        <v>0</v>
      </c>
      <c r="P41" s="7">
        <v>0</v>
      </c>
      <c r="Q41" s="7">
        <v>0</v>
      </c>
      <c r="R41" s="7">
        <v>0</v>
      </c>
      <c r="S41" s="7">
        <v>0</v>
      </c>
      <c r="T41" s="7">
        <v>0</v>
      </c>
      <c r="U41" s="7">
        <f t="shared" si="4"/>
        <v>0</v>
      </c>
      <c r="V41" s="7">
        <f t="shared" si="5"/>
        <v>0</v>
      </c>
      <c r="W41" s="7">
        <v>0</v>
      </c>
      <c r="X41" s="7">
        <v>50.21</v>
      </c>
      <c r="Y41" s="8">
        <v>50.21</v>
      </c>
    </row>
    <row r="42" spans="1:25" x14ac:dyDescent="0.2">
      <c r="A42" s="42" t="s">
        <v>66</v>
      </c>
      <c r="B42" s="43" t="s">
        <v>67</v>
      </c>
      <c r="C42" s="43" t="s">
        <v>688</v>
      </c>
      <c r="D42" s="43" t="s">
        <v>637</v>
      </c>
      <c r="E42" s="43" t="s">
        <v>68</v>
      </c>
      <c r="F42" s="43" t="s">
        <v>69</v>
      </c>
      <c r="G42" s="6">
        <v>44628</v>
      </c>
      <c r="H42" s="6"/>
      <c r="I42" s="7">
        <v>1870000</v>
      </c>
      <c r="J42" s="7">
        <v>0</v>
      </c>
      <c r="K42" s="7">
        <v>0</v>
      </c>
      <c r="L42" s="7">
        <v>0</v>
      </c>
      <c r="M42" s="7">
        <v>0</v>
      </c>
      <c r="N42" s="7">
        <v>0</v>
      </c>
      <c r="O42" s="7">
        <f t="shared" si="3"/>
        <v>0</v>
      </c>
      <c r="P42" s="7">
        <v>0</v>
      </c>
      <c r="Q42" s="7">
        <v>0</v>
      </c>
      <c r="R42" s="7">
        <v>0</v>
      </c>
      <c r="S42" s="7">
        <v>17427.57</v>
      </c>
      <c r="T42" s="7">
        <v>68407.75</v>
      </c>
      <c r="U42" s="7">
        <f t="shared" si="4"/>
        <v>85835.32</v>
      </c>
      <c r="V42" s="7">
        <f t="shared" si="5"/>
        <v>-85835.32</v>
      </c>
      <c r="W42" s="7">
        <v>0</v>
      </c>
      <c r="X42" s="7">
        <v>0</v>
      </c>
      <c r="Y42" s="8">
        <v>0</v>
      </c>
    </row>
    <row r="43" spans="1:25" x14ac:dyDescent="0.2">
      <c r="A43" s="45" t="s">
        <v>491</v>
      </c>
      <c r="B43" s="46" t="s">
        <v>492</v>
      </c>
      <c r="C43" s="46" t="s">
        <v>691</v>
      </c>
      <c r="D43" s="46" t="s">
        <v>646</v>
      </c>
      <c r="E43" s="46" t="s">
        <v>684</v>
      </c>
      <c r="F43" s="46" t="s">
        <v>49</v>
      </c>
      <c r="G43" s="9">
        <v>44226</v>
      </c>
      <c r="H43" s="9">
        <v>42198</v>
      </c>
      <c r="I43" s="4">
        <v>913000</v>
      </c>
      <c r="J43" s="4">
        <v>2178747.7400000002</v>
      </c>
      <c r="K43" s="4">
        <v>0</v>
      </c>
      <c r="L43" s="4">
        <v>0</v>
      </c>
      <c r="M43" s="4">
        <v>0</v>
      </c>
      <c r="N43" s="4">
        <v>0</v>
      </c>
      <c r="O43" s="4">
        <f>SUM(J43:N43)</f>
        <v>2178747.7400000002</v>
      </c>
      <c r="P43" s="4">
        <v>2165071.25</v>
      </c>
      <c r="Q43" s="4">
        <v>0</v>
      </c>
      <c r="R43" s="4">
        <v>174108.93</v>
      </c>
      <c r="S43" s="4">
        <v>47964.52</v>
      </c>
      <c r="T43" s="4">
        <v>3034.21</v>
      </c>
      <c r="U43" s="4">
        <f>SUM(P43:T43)</f>
        <v>2390178.91</v>
      </c>
      <c r="V43" s="4">
        <f>O43-U43</f>
        <v>-211431.16999999993</v>
      </c>
      <c r="W43" s="4">
        <v>0</v>
      </c>
      <c r="X43" s="4">
        <v>7315.45</v>
      </c>
      <c r="Y43" s="5">
        <v>7315.45</v>
      </c>
    </row>
    <row r="44" spans="1:25" x14ac:dyDescent="0.2">
      <c r="A44" s="45" t="s">
        <v>510</v>
      </c>
      <c r="B44" s="46" t="s">
        <v>511</v>
      </c>
      <c r="C44" s="46" t="s">
        <v>691</v>
      </c>
      <c r="D44" s="46" t="s">
        <v>646</v>
      </c>
      <c r="E44" s="46" t="s">
        <v>685</v>
      </c>
      <c r="F44" s="46" t="s">
        <v>91</v>
      </c>
      <c r="G44" s="9">
        <v>44357</v>
      </c>
      <c r="H44" s="9">
        <v>42198</v>
      </c>
      <c r="I44" s="4">
        <v>6124640.5</v>
      </c>
      <c r="J44" s="4">
        <v>1118520</v>
      </c>
      <c r="K44" s="4">
        <v>0</v>
      </c>
      <c r="L44" s="4">
        <v>127722.96</v>
      </c>
      <c r="M44" s="4">
        <v>0</v>
      </c>
      <c r="N44" s="4">
        <v>0</v>
      </c>
      <c r="O44" s="4">
        <f t="shared" ref="O44:O66" si="6">SUM(J44:N44)</f>
        <v>1246242.96</v>
      </c>
      <c r="P44" s="4">
        <v>1265924.3999999999</v>
      </c>
      <c r="Q44" s="4">
        <v>0</v>
      </c>
      <c r="R44" s="4">
        <v>20103.13</v>
      </c>
      <c r="S44" s="4">
        <v>84981.03</v>
      </c>
      <c r="T44" s="4">
        <v>323487.21000000002</v>
      </c>
      <c r="U44" s="4">
        <f t="shared" ref="U44:U66" si="7">SUM(P44:T44)</f>
        <v>1694495.7699999998</v>
      </c>
      <c r="V44" s="4">
        <f t="shared" ref="V44:V66" si="8">O44-U44</f>
        <v>-448252.80999999982</v>
      </c>
      <c r="W44" s="4">
        <v>3105.13</v>
      </c>
      <c r="X44" s="4">
        <v>29802.2</v>
      </c>
      <c r="Y44" s="5">
        <v>32907.33</v>
      </c>
    </row>
    <row r="45" spans="1:25" x14ac:dyDescent="0.2">
      <c r="A45" s="45" t="s">
        <v>240</v>
      </c>
      <c r="B45" s="46" t="s">
        <v>241</v>
      </c>
      <c r="C45" s="46" t="s">
        <v>691</v>
      </c>
      <c r="D45" s="46" t="s">
        <v>646</v>
      </c>
      <c r="E45" s="46" t="s">
        <v>684</v>
      </c>
      <c r="F45" s="46" t="s">
        <v>49</v>
      </c>
      <c r="G45" s="9">
        <v>44226</v>
      </c>
      <c r="H45" s="9">
        <v>42181</v>
      </c>
      <c r="I45" s="4">
        <v>2850000</v>
      </c>
      <c r="J45" s="4">
        <v>8820.5499999999993</v>
      </c>
      <c r="K45" s="4">
        <v>0</v>
      </c>
      <c r="L45" s="4">
        <v>0</v>
      </c>
      <c r="M45" s="4">
        <v>0</v>
      </c>
      <c r="N45" s="4">
        <v>0</v>
      </c>
      <c r="O45" s="4">
        <f t="shared" si="6"/>
        <v>8820.5499999999993</v>
      </c>
      <c r="P45" s="4">
        <v>5507.96</v>
      </c>
      <c r="Q45" s="4">
        <v>0</v>
      </c>
      <c r="R45" s="4">
        <v>4010.38</v>
      </c>
      <c r="S45" s="4">
        <v>0</v>
      </c>
      <c r="T45" s="4">
        <v>0</v>
      </c>
      <c r="U45" s="4">
        <f t="shared" si="7"/>
        <v>9518.34</v>
      </c>
      <c r="V45" s="4">
        <f t="shared" si="8"/>
        <v>-697.79000000000087</v>
      </c>
      <c r="W45" s="4">
        <v>0</v>
      </c>
      <c r="X45" s="4">
        <v>0</v>
      </c>
      <c r="Y45" s="5">
        <v>0</v>
      </c>
    </row>
    <row r="46" spans="1:25" x14ac:dyDescent="0.2">
      <c r="A46" s="45" t="s">
        <v>242</v>
      </c>
      <c r="B46" s="46" t="s">
        <v>243</v>
      </c>
      <c r="C46" s="46" t="s">
        <v>691</v>
      </c>
      <c r="D46" s="46" t="s">
        <v>646</v>
      </c>
      <c r="E46" s="46" t="s">
        <v>684</v>
      </c>
      <c r="F46" s="46" t="s">
        <v>49</v>
      </c>
      <c r="G46" s="9">
        <v>44226</v>
      </c>
      <c r="H46" s="9">
        <v>42181</v>
      </c>
      <c r="I46" s="4">
        <v>0</v>
      </c>
      <c r="J46" s="4">
        <v>386736.74</v>
      </c>
      <c r="K46" s="4">
        <v>0</v>
      </c>
      <c r="L46" s="4">
        <v>0</v>
      </c>
      <c r="M46" s="4">
        <v>0</v>
      </c>
      <c r="N46" s="4">
        <v>0</v>
      </c>
      <c r="O46" s="4">
        <f t="shared" si="6"/>
        <v>386736.74</v>
      </c>
      <c r="P46" s="4">
        <v>451936.53</v>
      </c>
      <c r="Q46" s="4">
        <v>0</v>
      </c>
      <c r="R46" s="4">
        <v>10187.530000000001</v>
      </c>
      <c r="S46" s="4">
        <v>5090.93</v>
      </c>
      <c r="T46" s="4">
        <v>6521.66</v>
      </c>
      <c r="U46" s="4">
        <f t="shared" si="7"/>
        <v>473736.65</v>
      </c>
      <c r="V46" s="4">
        <f t="shared" si="8"/>
        <v>-86999.910000000033</v>
      </c>
      <c r="W46" s="4">
        <v>0</v>
      </c>
      <c r="X46" s="4">
        <v>386.12</v>
      </c>
      <c r="Y46" s="5">
        <v>386.12</v>
      </c>
    </row>
    <row r="47" spans="1:25" x14ac:dyDescent="0.2">
      <c r="A47" s="45" t="s">
        <v>400</v>
      </c>
      <c r="B47" s="46" t="s">
        <v>401</v>
      </c>
      <c r="C47" s="46" t="s">
        <v>691</v>
      </c>
      <c r="D47" s="46" t="s">
        <v>646</v>
      </c>
      <c r="E47" s="46" t="s">
        <v>684</v>
      </c>
      <c r="F47" s="46" t="s">
        <v>49</v>
      </c>
      <c r="G47" s="9">
        <v>44226</v>
      </c>
      <c r="H47" s="9">
        <v>43328</v>
      </c>
      <c r="I47" s="4">
        <v>1491440</v>
      </c>
      <c r="J47" s="4">
        <v>0</v>
      </c>
      <c r="K47" s="4">
        <v>0</v>
      </c>
      <c r="L47" s="4">
        <v>0</v>
      </c>
      <c r="M47" s="4">
        <v>0</v>
      </c>
      <c r="N47" s="4">
        <v>0</v>
      </c>
      <c r="O47" s="4">
        <f t="shared" si="6"/>
        <v>0</v>
      </c>
      <c r="P47" s="4">
        <v>22074</v>
      </c>
      <c r="Q47" s="4">
        <v>0</v>
      </c>
      <c r="R47" s="4">
        <v>42450.83</v>
      </c>
      <c r="S47" s="4">
        <v>3439.75</v>
      </c>
      <c r="T47" s="4">
        <v>488.6</v>
      </c>
      <c r="U47" s="4">
        <f t="shared" si="7"/>
        <v>68453.180000000008</v>
      </c>
      <c r="V47" s="4">
        <f t="shared" si="8"/>
        <v>-68453.180000000008</v>
      </c>
      <c r="W47" s="4">
        <v>0</v>
      </c>
      <c r="X47" s="4">
        <v>498.07</v>
      </c>
      <c r="Y47" s="5">
        <v>498.07</v>
      </c>
    </row>
    <row r="48" spans="1:25" x14ac:dyDescent="0.2">
      <c r="A48" s="45" t="s">
        <v>499</v>
      </c>
      <c r="B48" s="46" t="s">
        <v>500</v>
      </c>
      <c r="C48" s="46" t="s">
        <v>691</v>
      </c>
      <c r="D48" s="46" t="s">
        <v>646</v>
      </c>
      <c r="E48" s="46" t="s">
        <v>684</v>
      </c>
      <c r="F48" s="46" t="s">
        <v>49</v>
      </c>
      <c r="G48" s="9">
        <v>44271</v>
      </c>
      <c r="H48" s="9">
        <v>43676</v>
      </c>
      <c r="I48" s="4">
        <v>847975.7</v>
      </c>
      <c r="J48" s="4">
        <v>818309.46</v>
      </c>
      <c r="K48" s="4">
        <v>0</v>
      </c>
      <c r="L48" s="4">
        <v>0</v>
      </c>
      <c r="M48" s="4">
        <v>0</v>
      </c>
      <c r="N48" s="4">
        <v>0</v>
      </c>
      <c r="O48" s="4">
        <f t="shared" si="6"/>
        <v>818309.46</v>
      </c>
      <c r="P48" s="4">
        <v>816748.37</v>
      </c>
      <c r="Q48" s="4">
        <v>0</v>
      </c>
      <c r="R48" s="4">
        <v>0</v>
      </c>
      <c r="S48" s="4">
        <v>0</v>
      </c>
      <c r="T48" s="4">
        <v>0</v>
      </c>
      <c r="U48" s="4">
        <f t="shared" si="7"/>
        <v>816748.37</v>
      </c>
      <c r="V48" s="4">
        <f t="shared" si="8"/>
        <v>1561.0899999999674</v>
      </c>
      <c r="W48" s="4">
        <v>0</v>
      </c>
      <c r="X48" s="4">
        <v>0</v>
      </c>
      <c r="Y48" s="5">
        <v>0</v>
      </c>
    </row>
    <row r="49" spans="1:25" x14ac:dyDescent="0.2">
      <c r="A49" s="45" t="s">
        <v>429</v>
      </c>
      <c r="B49" s="46" t="s">
        <v>430</v>
      </c>
      <c r="C49" s="46" t="s">
        <v>691</v>
      </c>
      <c r="D49" s="46" t="s">
        <v>646</v>
      </c>
      <c r="E49" s="46" t="s">
        <v>684</v>
      </c>
      <c r="F49" s="46" t="s">
        <v>49</v>
      </c>
      <c r="G49" s="9">
        <v>44226</v>
      </c>
      <c r="H49" s="9">
        <v>43329</v>
      </c>
      <c r="I49" s="4">
        <v>338772.5</v>
      </c>
      <c r="J49" s="4">
        <v>101136</v>
      </c>
      <c r="K49" s="4">
        <v>0</v>
      </c>
      <c r="L49" s="4">
        <v>0</v>
      </c>
      <c r="M49" s="4">
        <v>0</v>
      </c>
      <c r="N49" s="4">
        <v>0</v>
      </c>
      <c r="O49" s="4">
        <f t="shared" si="6"/>
        <v>101136</v>
      </c>
      <c r="P49" s="4">
        <v>113680</v>
      </c>
      <c r="Q49" s="4">
        <v>0</v>
      </c>
      <c r="R49" s="4">
        <v>9164.24</v>
      </c>
      <c r="S49" s="4">
        <v>0</v>
      </c>
      <c r="T49" s="4">
        <v>0</v>
      </c>
      <c r="U49" s="4">
        <f t="shared" si="7"/>
        <v>122844.24</v>
      </c>
      <c r="V49" s="4">
        <f t="shared" si="8"/>
        <v>-21708.240000000005</v>
      </c>
      <c r="W49" s="4">
        <v>0</v>
      </c>
      <c r="X49" s="4">
        <v>0</v>
      </c>
      <c r="Y49" s="5">
        <v>0</v>
      </c>
    </row>
    <row r="50" spans="1:25" x14ac:dyDescent="0.2">
      <c r="A50" s="45" t="s">
        <v>501</v>
      </c>
      <c r="B50" s="46" t="s">
        <v>320</v>
      </c>
      <c r="C50" s="46" t="s">
        <v>691</v>
      </c>
      <c r="D50" s="46" t="s">
        <v>646</v>
      </c>
      <c r="E50" s="46" t="s">
        <v>684</v>
      </c>
      <c r="F50" s="46" t="s">
        <v>49</v>
      </c>
      <c r="G50" s="9">
        <v>44307</v>
      </c>
      <c r="H50" s="9">
        <v>42198</v>
      </c>
      <c r="I50" s="4">
        <v>1122000</v>
      </c>
      <c r="J50" s="4">
        <v>1627967.2</v>
      </c>
      <c r="K50" s="4">
        <v>0</v>
      </c>
      <c r="L50" s="4">
        <v>249150.6</v>
      </c>
      <c r="M50" s="4">
        <v>44670.51</v>
      </c>
      <c r="N50" s="4">
        <v>0</v>
      </c>
      <c r="O50" s="4">
        <f t="shared" si="6"/>
        <v>1921788.31</v>
      </c>
      <c r="P50" s="4">
        <v>1243267.2</v>
      </c>
      <c r="Q50" s="4">
        <v>0</v>
      </c>
      <c r="R50" s="4">
        <v>2409.0100000000002</v>
      </c>
      <c r="S50" s="4">
        <v>7319.55</v>
      </c>
      <c r="T50" s="4">
        <v>1531.89</v>
      </c>
      <c r="U50" s="4">
        <f t="shared" si="7"/>
        <v>1254527.6499999999</v>
      </c>
      <c r="V50" s="4">
        <f t="shared" si="8"/>
        <v>667260.66000000015</v>
      </c>
      <c r="W50" s="4">
        <v>18349.77</v>
      </c>
      <c r="X50" s="4">
        <v>13731.56</v>
      </c>
      <c r="Y50" s="5">
        <v>32081.33</v>
      </c>
    </row>
    <row r="51" spans="1:25" x14ac:dyDescent="0.2">
      <c r="A51" s="45" t="s">
        <v>421</v>
      </c>
      <c r="B51" s="46" t="s">
        <v>422</v>
      </c>
      <c r="C51" s="46" t="s">
        <v>691</v>
      </c>
      <c r="D51" s="46" t="s">
        <v>646</v>
      </c>
      <c r="E51" s="46" t="s">
        <v>684</v>
      </c>
      <c r="F51" s="46" t="s">
        <v>49</v>
      </c>
      <c r="G51" s="9">
        <v>44226</v>
      </c>
      <c r="H51" s="9">
        <v>44201</v>
      </c>
      <c r="I51" s="4">
        <v>0</v>
      </c>
      <c r="J51" s="4">
        <v>0</v>
      </c>
      <c r="K51" s="4">
        <v>0</v>
      </c>
      <c r="L51" s="4">
        <v>0</v>
      </c>
      <c r="M51" s="4">
        <v>0</v>
      </c>
      <c r="N51" s="4">
        <v>0</v>
      </c>
      <c r="O51" s="4">
        <f t="shared" si="6"/>
        <v>0</v>
      </c>
      <c r="P51" s="4">
        <v>0</v>
      </c>
      <c r="Q51" s="4">
        <v>0</v>
      </c>
      <c r="R51" s="4">
        <v>3736.22</v>
      </c>
      <c r="S51" s="4">
        <v>0</v>
      </c>
      <c r="T51" s="4">
        <v>0</v>
      </c>
      <c r="U51" s="4">
        <f t="shared" si="7"/>
        <v>3736.22</v>
      </c>
      <c r="V51" s="4">
        <f t="shared" si="8"/>
        <v>-3736.22</v>
      </c>
      <c r="W51" s="4">
        <v>0</v>
      </c>
      <c r="X51" s="4">
        <v>0</v>
      </c>
      <c r="Y51" s="5">
        <v>0</v>
      </c>
    </row>
    <row r="52" spans="1:25" x14ac:dyDescent="0.2">
      <c r="A52" s="45" t="s">
        <v>315</v>
      </c>
      <c r="B52" s="46" t="s">
        <v>316</v>
      </c>
      <c r="C52" s="46" t="s">
        <v>691</v>
      </c>
      <c r="D52" s="46" t="s">
        <v>646</v>
      </c>
      <c r="E52" s="46" t="s">
        <v>692</v>
      </c>
      <c r="F52" s="46" t="s">
        <v>237</v>
      </c>
      <c r="G52" s="9">
        <v>44334</v>
      </c>
      <c r="H52" s="9">
        <v>43328</v>
      </c>
      <c r="I52" s="4">
        <v>2469500</v>
      </c>
      <c r="J52" s="4">
        <v>398272</v>
      </c>
      <c r="K52" s="4">
        <v>0</v>
      </c>
      <c r="L52" s="4">
        <v>0</v>
      </c>
      <c r="M52" s="4">
        <v>0</v>
      </c>
      <c r="N52" s="4">
        <v>0</v>
      </c>
      <c r="O52" s="4">
        <f t="shared" si="6"/>
        <v>398272</v>
      </c>
      <c r="P52" s="4">
        <v>836959.2</v>
      </c>
      <c r="Q52" s="4">
        <v>0</v>
      </c>
      <c r="R52" s="4">
        <v>0</v>
      </c>
      <c r="S52" s="4">
        <v>50470.73</v>
      </c>
      <c r="T52" s="4">
        <v>132695.46</v>
      </c>
      <c r="U52" s="4">
        <f t="shared" si="7"/>
        <v>1020125.3899999999</v>
      </c>
      <c r="V52" s="4">
        <f t="shared" si="8"/>
        <v>-621853.3899999999</v>
      </c>
      <c r="W52" s="4">
        <v>0</v>
      </c>
      <c r="X52" s="4">
        <v>6669.79</v>
      </c>
      <c r="Y52" s="5">
        <v>6669.79</v>
      </c>
    </row>
    <row r="53" spans="1:25" x14ac:dyDescent="0.2">
      <c r="A53" s="45" t="s">
        <v>504</v>
      </c>
      <c r="B53" s="46" t="s">
        <v>505</v>
      </c>
      <c r="C53" s="46" t="s">
        <v>691</v>
      </c>
      <c r="D53" s="46" t="s">
        <v>646</v>
      </c>
      <c r="E53" s="46" t="s">
        <v>685</v>
      </c>
      <c r="F53" s="46" t="s">
        <v>91</v>
      </c>
      <c r="G53" s="9">
        <v>44226</v>
      </c>
      <c r="H53" s="9">
        <v>42420</v>
      </c>
      <c r="I53" s="4">
        <v>0</v>
      </c>
      <c r="J53" s="4">
        <v>0</v>
      </c>
      <c r="K53" s="4">
        <v>0</v>
      </c>
      <c r="L53" s="4">
        <v>95648</v>
      </c>
      <c r="M53" s="4">
        <v>0</v>
      </c>
      <c r="N53" s="4">
        <v>0</v>
      </c>
      <c r="O53" s="4">
        <f t="shared" si="6"/>
        <v>95648</v>
      </c>
      <c r="P53" s="4">
        <v>0</v>
      </c>
      <c r="Q53" s="4">
        <v>0</v>
      </c>
      <c r="R53" s="4">
        <v>0</v>
      </c>
      <c r="S53" s="4">
        <v>1855.38</v>
      </c>
      <c r="T53" s="4">
        <v>11048</v>
      </c>
      <c r="U53" s="4">
        <f t="shared" si="7"/>
        <v>12903.380000000001</v>
      </c>
      <c r="V53" s="4">
        <f t="shared" si="8"/>
        <v>82744.62</v>
      </c>
      <c r="W53" s="4">
        <v>0</v>
      </c>
      <c r="X53" s="4">
        <v>0</v>
      </c>
      <c r="Y53" s="5">
        <v>0</v>
      </c>
    </row>
    <row r="54" spans="1:25" x14ac:dyDescent="0.2">
      <c r="A54" s="45" t="s">
        <v>47</v>
      </c>
      <c r="B54" s="46" t="s">
        <v>48</v>
      </c>
      <c r="C54" s="46" t="s">
        <v>691</v>
      </c>
      <c r="D54" s="46" t="s">
        <v>646</v>
      </c>
      <c r="E54" s="46" t="s">
        <v>684</v>
      </c>
      <c r="F54" s="46" t="s">
        <v>49</v>
      </c>
      <c r="G54" s="9">
        <v>44482</v>
      </c>
      <c r="H54" s="9"/>
      <c r="I54" s="4">
        <v>2709641.7</v>
      </c>
      <c r="J54" s="4">
        <v>396688.32</v>
      </c>
      <c r="K54" s="4">
        <v>0</v>
      </c>
      <c r="L54" s="4">
        <v>0</v>
      </c>
      <c r="M54" s="4">
        <v>0</v>
      </c>
      <c r="N54" s="4">
        <v>0</v>
      </c>
      <c r="O54" s="4">
        <f t="shared" si="6"/>
        <v>396688.32</v>
      </c>
      <c r="P54" s="4">
        <v>356643.36</v>
      </c>
      <c r="Q54" s="4">
        <v>0</v>
      </c>
      <c r="R54" s="4">
        <v>0</v>
      </c>
      <c r="S54" s="4">
        <v>187374.19</v>
      </c>
      <c r="T54" s="4">
        <v>76113.53</v>
      </c>
      <c r="U54" s="4">
        <f t="shared" si="7"/>
        <v>620131.08000000007</v>
      </c>
      <c r="V54" s="4">
        <f t="shared" si="8"/>
        <v>-223442.76000000007</v>
      </c>
      <c r="W54" s="4">
        <v>792.09</v>
      </c>
      <c r="X54" s="4">
        <v>0</v>
      </c>
      <c r="Y54" s="5">
        <v>792.09</v>
      </c>
    </row>
    <row r="55" spans="1:25" x14ac:dyDescent="0.2">
      <c r="A55" s="45" t="s">
        <v>409</v>
      </c>
      <c r="B55" s="46" t="s">
        <v>410</v>
      </c>
      <c r="C55" s="46" t="s">
        <v>691</v>
      </c>
      <c r="D55" s="46" t="s">
        <v>646</v>
      </c>
      <c r="E55" s="46" t="s">
        <v>685</v>
      </c>
      <c r="F55" s="46" t="s">
        <v>91</v>
      </c>
      <c r="G55" s="9">
        <v>44226</v>
      </c>
      <c r="H55" s="9">
        <v>44432</v>
      </c>
      <c r="I55" s="4">
        <v>5132380</v>
      </c>
      <c r="J55" s="4">
        <v>0</v>
      </c>
      <c r="K55" s="4">
        <v>0</v>
      </c>
      <c r="L55" s="4">
        <v>0</v>
      </c>
      <c r="M55" s="4">
        <v>0</v>
      </c>
      <c r="N55" s="4">
        <v>0</v>
      </c>
      <c r="O55" s="4">
        <f t="shared" si="6"/>
        <v>0</v>
      </c>
      <c r="P55" s="4">
        <v>24899.11</v>
      </c>
      <c r="Q55" s="4">
        <v>0</v>
      </c>
      <c r="R55" s="4">
        <v>0</v>
      </c>
      <c r="S55" s="4">
        <v>79245.259999999995</v>
      </c>
      <c r="T55" s="4">
        <v>110648.13</v>
      </c>
      <c r="U55" s="4">
        <f t="shared" si="7"/>
        <v>214792.5</v>
      </c>
      <c r="V55" s="4">
        <f t="shared" si="8"/>
        <v>-214792.5</v>
      </c>
      <c r="W55" s="4">
        <v>0</v>
      </c>
      <c r="X55" s="4">
        <v>0</v>
      </c>
      <c r="Y55" s="5">
        <v>0</v>
      </c>
    </row>
    <row r="56" spans="1:25" x14ac:dyDescent="0.2">
      <c r="A56" s="45" t="s">
        <v>431</v>
      </c>
      <c r="B56" s="46" t="s">
        <v>432</v>
      </c>
      <c r="C56" s="46" t="s">
        <v>691</v>
      </c>
      <c r="D56" s="46" t="s">
        <v>646</v>
      </c>
      <c r="E56" s="46" t="s">
        <v>684</v>
      </c>
      <c r="F56" s="46" t="s">
        <v>49</v>
      </c>
      <c r="G56" s="9">
        <v>44226</v>
      </c>
      <c r="H56" s="9">
        <v>44400</v>
      </c>
      <c r="I56" s="4">
        <v>6221713.2999999998</v>
      </c>
      <c r="J56" s="4">
        <v>2842038</v>
      </c>
      <c r="K56" s="4">
        <v>0</v>
      </c>
      <c r="L56" s="4">
        <v>0</v>
      </c>
      <c r="M56" s="4">
        <v>0</v>
      </c>
      <c r="N56" s="4">
        <v>0</v>
      </c>
      <c r="O56" s="4">
        <f t="shared" si="6"/>
        <v>2842038</v>
      </c>
      <c r="P56" s="4">
        <v>2835369.05</v>
      </c>
      <c r="Q56" s="4">
        <v>0</v>
      </c>
      <c r="R56" s="4">
        <v>0</v>
      </c>
      <c r="S56" s="4">
        <v>23425.26</v>
      </c>
      <c r="T56" s="4">
        <v>0</v>
      </c>
      <c r="U56" s="4">
        <f t="shared" si="7"/>
        <v>2858794.3099999996</v>
      </c>
      <c r="V56" s="4">
        <f t="shared" si="8"/>
        <v>-16756.30999999959</v>
      </c>
      <c r="W56" s="4">
        <v>857.47</v>
      </c>
      <c r="X56" s="4">
        <v>2473.52</v>
      </c>
      <c r="Y56" s="5">
        <v>3330.99</v>
      </c>
    </row>
    <row r="57" spans="1:25" x14ac:dyDescent="0.2">
      <c r="A57" s="45" t="s">
        <v>514</v>
      </c>
      <c r="B57" s="46" t="s">
        <v>515</v>
      </c>
      <c r="C57" s="46" t="s">
        <v>691</v>
      </c>
      <c r="D57" s="46" t="s">
        <v>646</v>
      </c>
      <c r="E57" s="46" t="s">
        <v>684</v>
      </c>
      <c r="F57" s="46" t="s">
        <v>49</v>
      </c>
      <c r="G57" s="9">
        <v>44226</v>
      </c>
      <c r="H57" s="9">
        <v>42551</v>
      </c>
      <c r="I57" s="4">
        <v>3166986.9</v>
      </c>
      <c r="J57" s="4">
        <v>3083056.06</v>
      </c>
      <c r="K57" s="4">
        <v>0</v>
      </c>
      <c r="L57" s="4">
        <v>0</v>
      </c>
      <c r="M57" s="4">
        <v>0</v>
      </c>
      <c r="N57" s="4">
        <v>0</v>
      </c>
      <c r="O57" s="4">
        <f t="shared" si="6"/>
        <v>3083056.06</v>
      </c>
      <c r="P57" s="4">
        <v>2754308.8</v>
      </c>
      <c r="Q57" s="4">
        <v>0</v>
      </c>
      <c r="R57" s="4">
        <v>4897.59</v>
      </c>
      <c r="S57" s="4">
        <v>25532.59</v>
      </c>
      <c r="T57" s="4">
        <v>0</v>
      </c>
      <c r="U57" s="4">
        <f t="shared" si="7"/>
        <v>2784738.9799999995</v>
      </c>
      <c r="V57" s="4">
        <f t="shared" si="8"/>
        <v>298317.08000000054</v>
      </c>
      <c r="W57" s="4">
        <v>13868.71</v>
      </c>
      <c r="X57" s="4">
        <v>1030.7</v>
      </c>
      <c r="Y57" s="5">
        <v>14899.41</v>
      </c>
    </row>
    <row r="58" spans="1:25" x14ac:dyDescent="0.2">
      <c r="A58" s="45" t="s">
        <v>532</v>
      </c>
      <c r="B58" s="46" t="s">
        <v>533</v>
      </c>
      <c r="C58" s="46" t="s">
        <v>691</v>
      </c>
      <c r="D58" s="46" t="s">
        <v>646</v>
      </c>
      <c r="E58" s="46" t="s">
        <v>172</v>
      </c>
      <c r="F58" s="46" t="s">
        <v>173</v>
      </c>
      <c r="G58" s="9">
        <v>44226</v>
      </c>
      <c r="H58" s="9">
        <v>44195</v>
      </c>
      <c r="I58" s="4">
        <v>0</v>
      </c>
      <c r="J58" s="4">
        <v>0</v>
      </c>
      <c r="K58" s="4">
        <v>0</v>
      </c>
      <c r="L58" s="4">
        <v>0</v>
      </c>
      <c r="M58" s="4">
        <v>0</v>
      </c>
      <c r="N58" s="4">
        <v>0</v>
      </c>
      <c r="O58" s="4">
        <f t="shared" si="6"/>
        <v>0</v>
      </c>
      <c r="P58" s="4">
        <v>0</v>
      </c>
      <c r="Q58" s="4">
        <v>0</v>
      </c>
      <c r="R58" s="4">
        <v>2406.21</v>
      </c>
      <c r="S58" s="4">
        <v>0</v>
      </c>
      <c r="T58" s="4">
        <v>0</v>
      </c>
      <c r="U58" s="4">
        <f t="shared" si="7"/>
        <v>2406.21</v>
      </c>
      <c r="V58" s="4">
        <f t="shared" si="8"/>
        <v>-2406.21</v>
      </c>
      <c r="W58" s="4">
        <v>0</v>
      </c>
      <c r="X58" s="4">
        <v>0</v>
      </c>
      <c r="Y58" s="5">
        <v>0</v>
      </c>
    </row>
    <row r="59" spans="1:25" x14ac:dyDescent="0.2">
      <c r="A59" s="45" t="s">
        <v>495</v>
      </c>
      <c r="B59" s="46" t="s">
        <v>496</v>
      </c>
      <c r="C59" s="46" t="s">
        <v>691</v>
      </c>
      <c r="D59" s="46" t="s">
        <v>646</v>
      </c>
      <c r="E59" s="46" t="s">
        <v>684</v>
      </c>
      <c r="F59" s="46" t="s">
        <v>49</v>
      </c>
      <c r="G59" s="9">
        <v>44258</v>
      </c>
      <c r="H59" s="9">
        <v>43453</v>
      </c>
      <c r="I59" s="4">
        <v>1275974.7</v>
      </c>
      <c r="J59" s="4">
        <v>862400</v>
      </c>
      <c r="K59" s="4">
        <v>0</v>
      </c>
      <c r="L59" s="4">
        <v>144300</v>
      </c>
      <c r="M59" s="4">
        <v>0</v>
      </c>
      <c r="N59" s="4">
        <v>0</v>
      </c>
      <c r="O59" s="4">
        <f t="shared" si="6"/>
        <v>1006700</v>
      </c>
      <c r="P59" s="4">
        <v>904736</v>
      </c>
      <c r="Q59" s="4">
        <v>0</v>
      </c>
      <c r="R59" s="4">
        <v>0</v>
      </c>
      <c r="S59" s="4">
        <v>30296.21</v>
      </c>
      <c r="T59" s="4">
        <v>261.37</v>
      </c>
      <c r="U59" s="4">
        <f t="shared" si="7"/>
        <v>935293.58</v>
      </c>
      <c r="V59" s="4">
        <f t="shared" si="8"/>
        <v>71406.420000000042</v>
      </c>
      <c r="W59" s="4">
        <v>0</v>
      </c>
      <c r="X59" s="4">
        <v>0</v>
      </c>
      <c r="Y59" s="5">
        <v>0</v>
      </c>
    </row>
    <row r="60" spans="1:25" x14ac:dyDescent="0.2">
      <c r="A60" s="45" t="s">
        <v>233</v>
      </c>
      <c r="B60" s="46" t="s">
        <v>234</v>
      </c>
      <c r="C60" s="46" t="s">
        <v>691</v>
      </c>
      <c r="D60" s="46" t="s">
        <v>646</v>
      </c>
      <c r="E60" s="46" t="s">
        <v>684</v>
      </c>
      <c r="F60" s="46" t="s">
        <v>49</v>
      </c>
      <c r="G60" s="9">
        <v>44226</v>
      </c>
      <c r="H60" s="9">
        <v>42373</v>
      </c>
      <c r="I60" s="4">
        <v>0</v>
      </c>
      <c r="J60" s="4">
        <v>0</v>
      </c>
      <c r="K60" s="4">
        <v>0</v>
      </c>
      <c r="L60" s="4">
        <v>0</v>
      </c>
      <c r="M60" s="4">
        <v>0</v>
      </c>
      <c r="N60" s="4">
        <v>0</v>
      </c>
      <c r="O60" s="4">
        <f t="shared" si="6"/>
        <v>0</v>
      </c>
      <c r="P60" s="4">
        <v>0</v>
      </c>
      <c r="Q60" s="4">
        <v>0</v>
      </c>
      <c r="R60" s="4">
        <v>0</v>
      </c>
      <c r="S60" s="4">
        <v>27400.49</v>
      </c>
      <c r="T60" s="4">
        <v>0</v>
      </c>
      <c r="U60" s="4">
        <f t="shared" si="7"/>
        <v>27400.49</v>
      </c>
      <c r="V60" s="4">
        <f t="shared" si="8"/>
        <v>-27400.49</v>
      </c>
      <c r="W60" s="4">
        <v>0</v>
      </c>
      <c r="X60" s="4">
        <v>1592.36</v>
      </c>
      <c r="Y60" s="5">
        <v>1592.36</v>
      </c>
    </row>
    <row r="61" spans="1:25" x14ac:dyDescent="0.2">
      <c r="A61" s="45" t="s">
        <v>231</v>
      </c>
      <c r="B61" s="46" t="s">
        <v>232</v>
      </c>
      <c r="C61" s="46" t="s">
        <v>691</v>
      </c>
      <c r="D61" s="46" t="s">
        <v>646</v>
      </c>
      <c r="E61" s="46" t="s">
        <v>684</v>
      </c>
      <c r="F61" s="46" t="s">
        <v>49</v>
      </c>
      <c r="G61" s="9">
        <v>44226</v>
      </c>
      <c r="H61" s="9">
        <v>42420</v>
      </c>
      <c r="I61" s="4">
        <v>0</v>
      </c>
      <c r="J61" s="4">
        <v>0</v>
      </c>
      <c r="K61" s="4">
        <v>0</v>
      </c>
      <c r="L61" s="4">
        <v>0</v>
      </c>
      <c r="M61" s="4">
        <v>0</v>
      </c>
      <c r="N61" s="4">
        <v>0</v>
      </c>
      <c r="O61" s="4">
        <f t="shared" si="6"/>
        <v>0</v>
      </c>
      <c r="P61" s="4">
        <v>0</v>
      </c>
      <c r="Q61" s="4">
        <v>0</v>
      </c>
      <c r="R61" s="4">
        <v>0</v>
      </c>
      <c r="S61" s="4">
        <v>3088.07</v>
      </c>
      <c r="T61" s="4">
        <v>0</v>
      </c>
      <c r="U61" s="4">
        <f t="shared" si="7"/>
        <v>3088.07</v>
      </c>
      <c r="V61" s="4">
        <f t="shared" si="8"/>
        <v>-3088.07</v>
      </c>
      <c r="W61" s="4">
        <v>0</v>
      </c>
      <c r="X61" s="4">
        <v>0</v>
      </c>
      <c r="Y61" s="5">
        <v>0</v>
      </c>
    </row>
    <row r="62" spans="1:25" x14ac:dyDescent="0.2">
      <c r="A62" s="45" t="s">
        <v>118</v>
      </c>
      <c r="B62" s="46" t="s">
        <v>119</v>
      </c>
      <c r="C62" s="46" t="s">
        <v>691</v>
      </c>
      <c r="D62" s="46" t="s">
        <v>646</v>
      </c>
      <c r="E62" s="46" t="s">
        <v>684</v>
      </c>
      <c r="F62" s="46" t="s">
        <v>49</v>
      </c>
      <c r="G62" s="9">
        <v>44496</v>
      </c>
      <c r="H62" s="9"/>
      <c r="I62" s="4">
        <v>2368200</v>
      </c>
      <c r="J62" s="4">
        <v>0</v>
      </c>
      <c r="K62" s="4">
        <v>0</v>
      </c>
      <c r="L62" s="4">
        <v>1724.58</v>
      </c>
      <c r="M62" s="4">
        <v>0</v>
      </c>
      <c r="N62" s="4">
        <v>0</v>
      </c>
      <c r="O62" s="4">
        <f t="shared" si="6"/>
        <v>1724.58</v>
      </c>
      <c r="P62" s="4">
        <v>0</v>
      </c>
      <c r="Q62" s="4">
        <v>0</v>
      </c>
      <c r="R62" s="4">
        <v>0</v>
      </c>
      <c r="S62" s="4">
        <v>7477.78</v>
      </c>
      <c r="T62" s="4">
        <v>73930.55</v>
      </c>
      <c r="U62" s="4">
        <f t="shared" si="7"/>
        <v>81408.33</v>
      </c>
      <c r="V62" s="4">
        <f t="shared" si="8"/>
        <v>-79683.75</v>
      </c>
      <c r="W62" s="4">
        <v>0</v>
      </c>
      <c r="X62" s="4">
        <v>0</v>
      </c>
      <c r="Y62" s="5">
        <v>0</v>
      </c>
    </row>
    <row r="63" spans="1:25" x14ac:dyDescent="0.2">
      <c r="A63" s="45" t="s">
        <v>170</v>
      </c>
      <c r="B63" s="46" t="s">
        <v>171</v>
      </c>
      <c r="C63" s="46" t="s">
        <v>691</v>
      </c>
      <c r="D63" s="46" t="s">
        <v>646</v>
      </c>
      <c r="E63" s="46" t="s">
        <v>172</v>
      </c>
      <c r="F63" s="46" t="s">
        <v>173</v>
      </c>
      <c r="G63" s="9">
        <v>44757</v>
      </c>
      <c r="H63" s="9"/>
      <c r="I63" s="4">
        <v>419100</v>
      </c>
      <c r="J63" s="4">
        <v>0</v>
      </c>
      <c r="K63" s="4">
        <v>0</v>
      </c>
      <c r="L63" s="4">
        <v>0</v>
      </c>
      <c r="M63" s="4">
        <v>0</v>
      </c>
      <c r="N63" s="4">
        <v>0</v>
      </c>
      <c r="O63" s="4">
        <f t="shared" si="6"/>
        <v>0</v>
      </c>
      <c r="P63" s="4">
        <v>0</v>
      </c>
      <c r="Q63" s="4">
        <v>0</v>
      </c>
      <c r="R63" s="4">
        <v>0</v>
      </c>
      <c r="S63" s="4">
        <v>0</v>
      </c>
      <c r="T63" s="4">
        <v>259.92</v>
      </c>
      <c r="U63" s="4">
        <f t="shared" si="7"/>
        <v>259.92</v>
      </c>
      <c r="V63" s="4">
        <f t="shared" si="8"/>
        <v>-259.92</v>
      </c>
      <c r="W63" s="4">
        <v>0</v>
      </c>
      <c r="X63" s="4">
        <v>0</v>
      </c>
      <c r="Y63" s="5">
        <v>0</v>
      </c>
    </row>
    <row r="64" spans="1:25" x14ac:dyDescent="0.2">
      <c r="A64" s="45" t="s">
        <v>425</v>
      </c>
      <c r="B64" s="46" t="s">
        <v>426</v>
      </c>
      <c r="C64" s="46" t="s">
        <v>691</v>
      </c>
      <c r="D64" s="46" t="s">
        <v>646</v>
      </c>
      <c r="E64" s="46" t="s">
        <v>684</v>
      </c>
      <c r="F64" s="46" t="s">
        <v>49</v>
      </c>
      <c r="G64" s="9">
        <v>44226</v>
      </c>
      <c r="H64" s="9">
        <v>43577</v>
      </c>
      <c r="I64" s="4">
        <v>0</v>
      </c>
      <c r="J64" s="4">
        <v>0</v>
      </c>
      <c r="K64" s="4">
        <v>0</v>
      </c>
      <c r="L64" s="4">
        <v>0</v>
      </c>
      <c r="M64" s="4">
        <v>0</v>
      </c>
      <c r="N64" s="4">
        <v>0</v>
      </c>
      <c r="O64" s="4">
        <f t="shared" si="6"/>
        <v>0</v>
      </c>
      <c r="P64" s="4">
        <v>0</v>
      </c>
      <c r="Q64" s="4">
        <v>0</v>
      </c>
      <c r="R64" s="4">
        <v>0</v>
      </c>
      <c r="S64" s="4">
        <v>0</v>
      </c>
      <c r="T64" s="4">
        <v>0</v>
      </c>
      <c r="U64" s="4">
        <f t="shared" si="7"/>
        <v>0</v>
      </c>
      <c r="V64" s="4">
        <f t="shared" si="8"/>
        <v>0</v>
      </c>
      <c r="W64" s="4">
        <v>0</v>
      </c>
      <c r="X64" s="4">
        <v>47.77</v>
      </c>
      <c r="Y64" s="5">
        <v>47.77</v>
      </c>
    </row>
    <row r="65" spans="1:25" x14ac:dyDescent="0.2">
      <c r="A65" s="45" t="s">
        <v>552</v>
      </c>
      <c r="B65" s="46" t="s">
        <v>553</v>
      </c>
      <c r="C65" s="46" t="s">
        <v>691</v>
      </c>
      <c r="D65" s="46" t="s">
        <v>646</v>
      </c>
      <c r="E65" s="46" t="s">
        <v>685</v>
      </c>
      <c r="F65" s="46" t="s">
        <v>91</v>
      </c>
      <c r="G65" s="9">
        <v>44226</v>
      </c>
      <c r="H65" s="9">
        <v>42908</v>
      </c>
      <c r="I65" s="4">
        <v>0</v>
      </c>
      <c r="J65" s="4">
        <v>0</v>
      </c>
      <c r="K65" s="4">
        <v>0</v>
      </c>
      <c r="L65" s="4">
        <v>7840</v>
      </c>
      <c r="M65" s="4">
        <v>0</v>
      </c>
      <c r="N65" s="4">
        <v>0</v>
      </c>
      <c r="O65" s="4">
        <f t="shared" si="6"/>
        <v>7840</v>
      </c>
      <c r="P65" s="4">
        <v>0</v>
      </c>
      <c r="Q65" s="4">
        <v>0</v>
      </c>
      <c r="R65" s="4">
        <v>0</v>
      </c>
      <c r="S65" s="4">
        <v>0</v>
      </c>
      <c r="T65" s="4">
        <v>4611.71</v>
      </c>
      <c r="U65" s="4">
        <f t="shared" si="7"/>
        <v>4611.71</v>
      </c>
      <c r="V65" s="4">
        <f t="shared" si="8"/>
        <v>3228.29</v>
      </c>
      <c r="W65" s="4">
        <v>0</v>
      </c>
      <c r="X65" s="4">
        <v>0</v>
      </c>
      <c r="Y65" s="5">
        <v>0</v>
      </c>
    </row>
    <row r="66" spans="1:25" x14ac:dyDescent="0.2">
      <c r="A66" s="45" t="s">
        <v>89</v>
      </c>
      <c r="B66" s="46" t="s">
        <v>90</v>
      </c>
      <c r="C66" s="46" t="s">
        <v>691</v>
      </c>
      <c r="D66" s="46" t="s">
        <v>646</v>
      </c>
      <c r="E66" s="46" t="s">
        <v>685</v>
      </c>
      <c r="F66" s="46" t="s">
        <v>91</v>
      </c>
      <c r="G66" s="9">
        <v>44638</v>
      </c>
      <c r="H66" s="9"/>
      <c r="I66" s="4">
        <v>2420000</v>
      </c>
      <c r="J66" s="4">
        <v>0</v>
      </c>
      <c r="K66" s="4">
        <v>0</v>
      </c>
      <c r="L66" s="4">
        <v>0</v>
      </c>
      <c r="M66" s="4">
        <v>0</v>
      </c>
      <c r="N66" s="4">
        <v>0</v>
      </c>
      <c r="O66" s="4">
        <f t="shared" si="6"/>
        <v>0</v>
      </c>
      <c r="P66" s="4">
        <v>0</v>
      </c>
      <c r="Q66" s="4">
        <v>0</v>
      </c>
      <c r="R66" s="4">
        <v>0</v>
      </c>
      <c r="S66" s="4">
        <v>0</v>
      </c>
      <c r="T66" s="4">
        <v>26923.05</v>
      </c>
      <c r="U66" s="4">
        <f t="shared" si="7"/>
        <v>26923.05</v>
      </c>
      <c r="V66" s="4">
        <f t="shared" si="8"/>
        <v>-26923.05</v>
      </c>
      <c r="W66" s="4">
        <v>0</v>
      </c>
      <c r="X66" s="4">
        <v>0</v>
      </c>
      <c r="Y66" s="5">
        <v>0</v>
      </c>
    </row>
    <row r="67" spans="1:25" x14ac:dyDescent="0.2">
      <c r="A67" s="47" t="s">
        <v>150</v>
      </c>
      <c r="B67" s="48" t="s">
        <v>151</v>
      </c>
      <c r="C67" s="48" t="s">
        <v>693</v>
      </c>
      <c r="D67" s="48" t="s">
        <v>621</v>
      </c>
      <c r="E67" s="48" t="s">
        <v>80</v>
      </c>
      <c r="F67" s="48" t="s">
        <v>81</v>
      </c>
      <c r="G67" s="3">
        <v>44623</v>
      </c>
      <c r="H67" s="3"/>
      <c r="I67" s="4">
        <v>1304500</v>
      </c>
      <c r="J67" s="4">
        <v>0</v>
      </c>
      <c r="K67" s="4">
        <v>0</v>
      </c>
      <c r="L67" s="4">
        <v>56134.09</v>
      </c>
      <c r="M67" s="4">
        <v>0</v>
      </c>
      <c r="N67" s="4">
        <v>0</v>
      </c>
      <c r="O67" s="4">
        <f>SUM(J67:N67)</f>
        <v>56134.09</v>
      </c>
      <c r="P67" s="4">
        <v>0</v>
      </c>
      <c r="Q67" s="4">
        <v>0</v>
      </c>
      <c r="R67" s="4">
        <v>0</v>
      </c>
      <c r="S67" s="4">
        <v>41683.71</v>
      </c>
      <c r="T67" s="4">
        <v>81460.009999999995</v>
      </c>
      <c r="U67" s="4">
        <f>SUM(P67:T67)</f>
        <v>123143.72</v>
      </c>
      <c r="V67" s="4">
        <f>O67-U67</f>
        <v>-67009.63</v>
      </c>
      <c r="W67" s="4">
        <v>12284.01</v>
      </c>
      <c r="X67" s="4">
        <v>18361.650000000001</v>
      </c>
      <c r="Y67" s="5">
        <v>30645.66</v>
      </c>
    </row>
    <row r="68" spans="1:25" x14ac:dyDescent="0.2">
      <c r="A68" s="47" t="s">
        <v>345</v>
      </c>
      <c r="B68" s="48" t="s">
        <v>346</v>
      </c>
      <c r="C68" s="48" t="s">
        <v>693</v>
      </c>
      <c r="D68" s="48" t="s">
        <v>621</v>
      </c>
      <c r="E68" s="48" t="s">
        <v>56</v>
      </c>
      <c r="F68" s="48" t="s">
        <v>57</v>
      </c>
      <c r="G68" s="3">
        <v>44226</v>
      </c>
      <c r="H68" s="3">
        <v>44208</v>
      </c>
      <c r="I68" s="4">
        <v>0</v>
      </c>
      <c r="J68" s="4">
        <v>0</v>
      </c>
      <c r="K68" s="4">
        <v>0</v>
      </c>
      <c r="L68" s="4">
        <v>12242.33</v>
      </c>
      <c r="M68" s="4">
        <v>0</v>
      </c>
      <c r="N68" s="4">
        <v>0</v>
      </c>
      <c r="O68" s="4">
        <f t="shared" ref="O68:O87" si="9">SUM(J68:N68)</f>
        <v>12242.33</v>
      </c>
      <c r="P68" s="4">
        <v>0</v>
      </c>
      <c r="Q68" s="4">
        <v>0</v>
      </c>
      <c r="R68" s="4">
        <v>0</v>
      </c>
      <c r="S68" s="4">
        <v>3863.84</v>
      </c>
      <c r="T68" s="4">
        <v>0</v>
      </c>
      <c r="U68" s="4">
        <f t="shared" ref="U68:U87" si="10">SUM(P68:T68)</f>
        <v>3863.84</v>
      </c>
      <c r="V68" s="4">
        <f t="shared" ref="V68:V87" si="11">O68-U68</f>
        <v>8378.49</v>
      </c>
      <c r="W68" s="4">
        <v>39173.89</v>
      </c>
      <c r="X68" s="4">
        <v>67536.92</v>
      </c>
      <c r="Y68" s="5">
        <v>106710.81</v>
      </c>
    </row>
    <row r="69" spans="1:25" x14ac:dyDescent="0.2">
      <c r="A69" s="47" t="s">
        <v>570</v>
      </c>
      <c r="B69" s="48" t="s">
        <v>571</v>
      </c>
      <c r="C69" s="48" t="s">
        <v>693</v>
      </c>
      <c r="D69" s="48" t="s">
        <v>621</v>
      </c>
      <c r="E69" s="48" t="s">
        <v>62</v>
      </c>
      <c r="F69" s="48" t="s">
        <v>63</v>
      </c>
      <c r="G69" s="3">
        <v>44226</v>
      </c>
      <c r="H69" s="3">
        <v>44446</v>
      </c>
      <c r="I69" s="4">
        <v>0</v>
      </c>
      <c r="J69" s="4">
        <v>3338565.956992561</v>
      </c>
      <c r="K69" s="4">
        <v>0</v>
      </c>
      <c r="L69" s="4">
        <v>0</v>
      </c>
      <c r="M69" s="4">
        <v>0</v>
      </c>
      <c r="N69" s="4">
        <v>0</v>
      </c>
      <c r="O69" s="4">
        <f t="shared" si="9"/>
        <v>3338565.956992561</v>
      </c>
      <c r="P69" s="4">
        <v>2654518.079380366</v>
      </c>
      <c r="Q69" s="4">
        <v>0</v>
      </c>
      <c r="R69" s="4">
        <v>10828614.369999999</v>
      </c>
      <c r="S69" s="4">
        <v>102452.1</v>
      </c>
      <c r="T69" s="4">
        <v>0</v>
      </c>
      <c r="U69" s="4">
        <f t="shared" si="10"/>
        <v>13585584.549380364</v>
      </c>
      <c r="V69" s="4">
        <f t="shared" si="11"/>
        <v>-10247018.592387803</v>
      </c>
      <c r="W69" s="4">
        <v>1112885.01</v>
      </c>
      <c r="X69" s="4">
        <v>-706.73</v>
      </c>
      <c r="Y69" s="5">
        <v>1112178.28</v>
      </c>
    </row>
    <row r="70" spans="1:25" x14ac:dyDescent="0.2">
      <c r="A70" s="47" t="s">
        <v>530</v>
      </c>
      <c r="B70" s="48" t="s">
        <v>531</v>
      </c>
      <c r="C70" s="48" t="s">
        <v>693</v>
      </c>
      <c r="D70" s="48" t="s">
        <v>621</v>
      </c>
      <c r="E70" s="48" t="s">
        <v>56</v>
      </c>
      <c r="F70" s="48" t="s">
        <v>57</v>
      </c>
      <c r="G70" s="3">
        <v>44226</v>
      </c>
      <c r="H70" s="3">
        <v>44165</v>
      </c>
      <c r="I70" s="4">
        <v>0</v>
      </c>
      <c r="J70" s="4">
        <v>0</v>
      </c>
      <c r="K70" s="4">
        <v>0</v>
      </c>
      <c r="L70" s="4">
        <v>26786.98</v>
      </c>
      <c r="M70" s="4">
        <v>0</v>
      </c>
      <c r="N70" s="4">
        <v>0</v>
      </c>
      <c r="O70" s="4">
        <f t="shared" si="9"/>
        <v>26786.98</v>
      </c>
      <c r="P70" s="4">
        <v>0</v>
      </c>
      <c r="Q70" s="4">
        <v>0</v>
      </c>
      <c r="R70" s="4">
        <v>45725.82</v>
      </c>
      <c r="S70" s="4">
        <v>2638.12</v>
      </c>
      <c r="T70" s="4">
        <v>0</v>
      </c>
      <c r="U70" s="4">
        <f t="shared" si="10"/>
        <v>48363.94</v>
      </c>
      <c r="V70" s="4">
        <f t="shared" si="11"/>
        <v>-21576.960000000003</v>
      </c>
      <c r="W70" s="4">
        <v>3004.09</v>
      </c>
      <c r="X70" s="4">
        <v>11590.31</v>
      </c>
      <c r="Y70" s="5">
        <v>14594.4</v>
      </c>
    </row>
    <row r="71" spans="1:25" x14ac:dyDescent="0.2">
      <c r="A71" s="47" t="s">
        <v>104</v>
      </c>
      <c r="B71" s="48" t="s">
        <v>105</v>
      </c>
      <c r="C71" s="48" t="s">
        <v>693</v>
      </c>
      <c r="D71" s="48" t="s">
        <v>621</v>
      </c>
      <c r="E71" s="48" t="s">
        <v>56</v>
      </c>
      <c r="F71" s="48" t="s">
        <v>57</v>
      </c>
      <c r="G71" s="3">
        <v>44677</v>
      </c>
      <c r="H71" s="3"/>
      <c r="I71" s="4">
        <v>3304000</v>
      </c>
      <c r="J71" s="4">
        <v>0</v>
      </c>
      <c r="K71" s="4">
        <v>0</v>
      </c>
      <c r="L71" s="4">
        <v>0</v>
      </c>
      <c r="M71" s="4">
        <v>0</v>
      </c>
      <c r="N71" s="4">
        <v>0</v>
      </c>
      <c r="O71" s="4">
        <f t="shared" si="9"/>
        <v>0</v>
      </c>
      <c r="P71" s="4">
        <v>0</v>
      </c>
      <c r="Q71" s="4">
        <v>0</v>
      </c>
      <c r="R71" s="4">
        <v>0</v>
      </c>
      <c r="S71" s="4">
        <v>3953.63</v>
      </c>
      <c r="T71" s="4">
        <v>156247.75</v>
      </c>
      <c r="U71" s="4">
        <f t="shared" si="10"/>
        <v>160201.38</v>
      </c>
      <c r="V71" s="4">
        <f t="shared" si="11"/>
        <v>-160201.38</v>
      </c>
      <c r="W71" s="4">
        <v>177013.81</v>
      </c>
      <c r="X71" s="4">
        <v>3609.97</v>
      </c>
      <c r="Y71" s="5">
        <v>180623.78</v>
      </c>
    </row>
    <row r="72" spans="1:25" x14ac:dyDescent="0.2">
      <c r="A72" s="47" t="s">
        <v>319</v>
      </c>
      <c r="B72" s="48" t="s">
        <v>320</v>
      </c>
      <c r="C72" s="48" t="s">
        <v>693</v>
      </c>
      <c r="D72" s="48" t="s">
        <v>621</v>
      </c>
      <c r="E72" s="48" t="s">
        <v>321</v>
      </c>
      <c r="F72" s="48" t="s">
        <v>322</v>
      </c>
      <c r="G72" s="3">
        <v>44226</v>
      </c>
      <c r="H72" s="3">
        <v>43969</v>
      </c>
      <c r="I72" s="4">
        <v>1950000</v>
      </c>
      <c r="J72" s="4">
        <v>188760</v>
      </c>
      <c r="K72" s="4">
        <v>0</v>
      </c>
      <c r="L72" s="4">
        <v>29338.83</v>
      </c>
      <c r="M72" s="4">
        <v>0</v>
      </c>
      <c r="N72" s="4">
        <v>0</v>
      </c>
      <c r="O72" s="4">
        <f t="shared" si="9"/>
        <v>218098.83000000002</v>
      </c>
      <c r="P72" s="4">
        <v>127417.36</v>
      </c>
      <c r="Q72" s="4">
        <v>0</v>
      </c>
      <c r="R72" s="4">
        <v>131805.62</v>
      </c>
      <c r="S72" s="4">
        <v>0</v>
      </c>
      <c r="T72" s="4">
        <v>11637.7</v>
      </c>
      <c r="U72" s="4">
        <f t="shared" si="10"/>
        <v>270860.68</v>
      </c>
      <c r="V72" s="4">
        <f t="shared" si="11"/>
        <v>-52761.849999999977</v>
      </c>
      <c r="W72" s="4">
        <v>9746.4</v>
      </c>
      <c r="X72" s="4">
        <v>23863.49</v>
      </c>
      <c r="Y72" s="5">
        <v>33609.89</v>
      </c>
    </row>
    <row r="73" spans="1:25" x14ac:dyDescent="0.2">
      <c r="A73" s="47" t="s">
        <v>323</v>
      </c>
      <c r="B73" s="48" t="s">
        <v>324</v>
      </c>
      <c r="C73" s="48" t="s">
        <v>693</v>
      </c>
      <c r="D73" s="48" t="s">
        <v>621</v>
      </c>
      <c r="E73" s="48" t="s">
        <v>62</v>
      </c>
      <c r="F73" s="48" t="s">
        <v>63</v>
      </c>
      <c r="G73" s="3">
        <v>44226</v>
      </c>
      <c r="H73" s="3">
        <v>44344</v>
      </c>
      <c r="I73" s="4">
        <v>825000</v>
      </c>
      <c r="J73" s="4">
        <v>0</v>
      </c>
      <c r="K73" s="4">
        <v>0</v>
      </c>
      <c r="L73" s="4">
        <v>23277.84</v>
      </c>
      <c r="M73" s="4">
        <v>0</v>
      </c>
      <c r="N73" s="4">
        <v>0</v>
      </c>
      <c r="O73" s="4">
        <f t="shared" si="9"/>
        <v>23277.84</v>
      </c>
      <c r="P73" s="4">
        <v>362588.98</v>
      </c>
      <c r="Q73" s="4">
        <v>0</v>
      </c>
      <c r="R73" s="4">
        <v>908645.44</v>
      </c>
      <c r="S73" s="4">
        <v>75783.11</v>
      </c>
      <c r="T73" s="4">
        <v>0</v>
      </c>
      <c r="U73" s="4">
        <f t="shared" si="10"/>
        <v>1347017.53</v>
      </c>
      <c r="V73" s="4">
        <f t="shared" si="11"/>
        <v>-1323739.69</v>
      </c>
      <c r="W73" s="4">
        <v>4753.37</v>
      </c>
      <c r="X73" s="4">
        <v>2036.61</v>
      </c>
      <c r="Y73" s="5">
        <v>6789.98</v>
      </c>
    </row>
    <row r="74" spans="1:25" x14ac:dyDescent="0.2">
      <c r="A74" s="47" t="s">
        <v>349</v>
      </c>
      <c r="B74" s="48" t="s">
        <v>298</v>
      </c>
      <c r="C74" s="48" t="s">
        <v>693</v>
      </c>
      <c r="D74" s="48" t="s">
        <v>621</v>
      </c>
      <c r="E74" s="48" t="s">
        <v>56</v>
      </c>
      <c r="F74" s="48" t="s">
        <v>57</v>
      </c>
      <c r="G74" s="3">
        <v>44226</v>
      </c>
      <c r="H74" s="3">
        <v>44006</v>
      </c>
      <c r="I74" s="4">
        <v>0</v>
      </c>
      <c r="J74" s="4">
        <v>0</v>
      </c>
      <c r="K74" s="4">
        <v>0</v>
      </c>
      <c r="L74" s="4">
        <v>55177.06</v>
      </c>
      <c r="M74" s="4">
        <v>0</v>
      </c>
      <c r="N74" s="4">
        <v>0</v>
      </c>
      <c r="O74" s="4">
        <f t="shared" si="9"/>
        <v>55177.06</v>
      </c>
      <c r="P74" s="4">
        <v>0</v>
      </c>
      <c r="Q74" s="4">
        <v>0</v>
      </c>
      <c r="R74" s="4">
        <v>0</v>
      </c>
      <c r="S74" s="4">
        <v>3791.13</v>
      </c>
      <c r="T74" s="4">
        <v>0</v>
      </c>
      <c r="U74" s="4">
        <f t="shared" si="10"/>
        <v>3791.13</v>
      </c>
      <c r="V74" s="4">
        <f t="shared" si="11"/>
        <v>51385.93</v>
      </c>
      <c r="W74" s="4">
        <v>5317</v>
      </c>
      <c r="X74" s="4">
        <v>2274.7199999999998</v>
      </c>
      <c r="Y74" s="5">
        <v>7591.72</v>
      </c>
    </row>
    <row r="75" spans="1:25" x14ac:dyDescent="0.2">
      <c r="A75" s="47" t="s">
        <v>417</v>
      </c>
      <c r="B75" s="48" t="s">
        <v>418</v>
      </c>
      <c r="C75" s="48" t="s">
        <v>693</v>
      </c>
      <c r="D75" s="48" t="s">
        <v>621</v>
      </c>
      <c r="E75" s="48" t="s">
        <v>685</v>
      </c>
      <c r="F75" s="48" t="s">
        <v>91</v>
      </c>
      <c r="G75" s="3">
        <v>44226</v>
      </c>
      <c r="H75" s="3">
        <v>43655</v>
      </c>
      <c r="I75" s="4">
        <v>0</v>
      </c>
      <c r="J75" s="4">
        <v>0</v>
      </c>
      <c r="K75" s="4">
        <v>0</v>
      </c>
      <c r="L75" s="4">
        <v>0</v>
      </c>
      <c r="M75" s="4">
        <v>5229.28</v>
      </c>
      <c r="N75" s="4">
        <v>0</v>
      </c>
      <c r="O75" s="4">
        <f t="shared" si="9"/>
        <v>5229.28</v>
      </c>
      <c r="P75" s="4">
        <v>0</v>
      </c>
      <c r="Q75" s="4">
        <v>0</v>
      </c>
      <c r="R75" s="4">
        <v>0</v>
      </c>
      <c r="S75" s="4">
        <v>0</v>
      </c>
      <c r="T75" s="4">
        <v>0</v>
      </c>
      <c r="U75" s="4">
        <f t="shared" si="10"/>
        <v>0</v>
      </c>
      <c r="V75" s="4">
        <f t="shared" si="11"/>
        <v>5229.28</v>
      </c>
      <c r="W75" s="4">
        <v>0</v>
      </c>
      <c r="X75" s="4">
        <v>0</v>
      </c>
      <c r="Y75" s="5">
        <v>0</v>
      </c>
    </row>
    <row r="76" spans="1:25" x14ac:dyDescent="0.2">
      <c r="A76" s="47" t="s">
        <v>562</v>
      </c>
      <c r="B76" s="48" t="s">
        <v>563</v>
      </c>
      <c r="C76" s="48" t="s">
        <v>693</v>
      </c>
      <c r="D76" s="48" t="s">
        <v>621</v>
      </c>
      <c r="E76" s="48" t="s">
        <v>52</v>
      </c>
      <c r="F76" s="48" t="s">
        <v>53</v>
      </c>
      <c r="G76" s="3">
        <v>44226</v>
      </c>
      <c r="H76" s="3">
        <v>44424</v>
      </c>
      <c r="I76" s="4">
        <v>0</v>
      </c>
      <c r="J76" s="4">
        <v>187410</v>
      </c>
      <c r="K76" s="4">
        <v>0</v>
      </c>
      <c r="L76" s="4">
        <v>0</v>
      </c>
      <c r="M76" s="4">
        <v>0</v>
      </c>
      <c r="N76" s="4">
        <v>0</v>
      </c>
      <c r="O76" s="4">
        <f t="shared" si="9"/>
        <v>187410</v>
      </c>
      <c r="P76" s="4">
        <v>183827.56</v>
      </c>
      <c r="Q76" s="4">
        <v>0</v>
      </c>
      <c r="R76" s="4">
        <v>130772.39</v>
      </c>
      <c r="S76" s="4">
        <v>72735.69</v>
      </c>
      <c r="T76" s="4">
        <v>0</v>
      </c>
      <c r="U76" s="4">
        <f t="shared" si="10"/>
        <v>387335.64</v>
      </c>
      <c r="V76" s="4">
        <f t="shared" si="11"/>
        <v>-199925.64</v>
      </c>
      <c r="W76" s="4">
        <v>69769.27</v>
      </c>
      <c r="X76" s="4">
        <v>-27251.43</v>
      </c>
      <c r="Y76" s="5">
        <v>42517.84</v>
      </c>
    </row>
    <row r="77" spans="1:25" x14ac:dyDescent="0.2">
      <c r="A77" s="47" t="s">
        <v>343</v>
      </c>
      <c r="B77" s="48" t="s">
        <v>344</v>
      </c>
      <c r="C77" s="48" t="s">
        <v>693</v>
      </c>
      <c r="D77" s="48" t="s">
        <v>621</v>
      </c>
      <c r="E77" s="48" t="s">
        <v>56</v>
      </c>
      <c r="F77" s="48" t="s">
        <v>57</v>
      </c>
      <c r="G77" s="3">
        <v>44226</v>
      </c>
      <c r="H77" s="3">
        <v>44406</v>
      </c>
      <c r="I77" s="4">
        <v>0</v>
      </c>
      <c r="J77" s="4">
        <v>0</v>
      </c>
      <c r="K77" s="4">
        <v>0</v>
      </c>
      <c r="L77" s="4">
        <v>0</v>
      </c>
      <c r="M77" s="4">
        <v>0</v>
      </c>
      <c r="N77" s="4">
        <v>0</v>
      </c>
      <c r="O77" s="4">
        <f t="shared" si="9"/>
        <v>0</v>
      </c>
      <c r="P77" s="4">
        <v>0</v>
      </c>
      <c r="Q77" s="4">
        <v>0</v>
      </c>
      <c r="R77" s="4">
        <v>0</v>
      </c>
      <c r="S77" s="4">
        <v>0</v>
      </c>
      <c r="T77" s="4">
        <v>0</v>
      </c>
      <c r="U77" s="4">
        <f t="shared" si="10"/>
        <v>0</v>
      </c>
      <c r="V77" s="4">
        <f t="shared" si="11"/>
        <v>0</v>
      </c>
      <c r="W77" s="4">
        <v>4184.3999999999996</v>
      </c>
      <c r="X77" s="4">
        <v>2938.31</v>
      </c>
      <c r="Y77" s="5">
        <v>7122.71</v>
      </c>
    </row>
    <row r="78" spans="1:25" x14ac:dyDescent="0.2">
      <c r="A78" s="47" t="s">
        <v>124</v>
      </c>
      <c r="B78" s="48" t="s">
        <v>125</v>
      </c>
      <c r="C78" s="48" t="s">
        <v>693</v>
      </c>
      <c r="D78" s="48" t="s">
        <v>621</v>
      </c>
      <c r="E78" s="48" t="s">
        <v>56</v>
      </c>
      <c r="F78" s="48" t="s">
        <v>57</v>
      </c>
      <c r="G78" s="3">
        <v>44456</v>
      </c>
      <c r="H78" s="3"/>
      <c r="I78" s="4">
        <v>874800</v>
      </c>
      <c r="J78" s="4">
        <v>0</v>
      </c>
      <c r="K78" s="4">
        <v>0</v>
      </c>
      <c r="L78" s="4">
        <v>23270.59</v>
      </c>
      <c r="M78" s="4">
        <v>0</v>
      </c>
      <c r="N78" s="4">
        <v>0</v>
      </c>
      <c r="O78" s="4">
        <f t="shared" si="9"/>
        <v>23270.59</v>
      </c>
      <c r="P78" s="4">
        <v>15814.38</v>
      </c>
      <c r="Q78" s="4">
        <v>8299.7099999999991</v>
      </c>
      <c r="R78" s="4">
        <v>0</v>
      </c>
      <c r="S78" s="4">
        <v>4324.68</v>
      </c>
      <c r="T78" s="4">
        <v>64277.65</v>
      </c>
      <c r="U78" s="4">
        <f t="shared" si="10"/>
        <v>92716.42</v>
      </c>
      <c r="V78" s="4">
        <f t="shared" si="11"/>
        <v>-69445.83</v>
      </c>
      <c r="W78" s="4">
        <v>0</v>
      </c>
      <c r="X78" s="4">
        <v>0</v>
      </c>
      <c r="Y78" s="5">
        <v>0</v>
      </c>
    </row>
    <row r="79" spans="1:25" x14ac:dyDescent="0.2">
      <c r="A79" s="47" t="s">
        <v>70</v>
      </c>
      <c r="B79" s="48" t="s">
        <v>71</v>
      </c>
      <c r="C79" s="48" t="s">
        <v>693</v>
      </c>
      <c r="D79" s="48" t="s">
        <v>621</v>
      </c>
      <c r="E79" s="48" t="s">
        <v>56</v>
      </c>
      <c r="F79" s="48" t="s">
        <v>57</v>
      </c>
      <c r="G79" s="3">
        <v>44558</v>
      </c>
      <c r="H79" s="3"/>
      <c r="I79" s="4">
        <v>234800</v>
      </c>
      <c r="J79" s="4">
        <v>174293.75</v>
      </c>
      <c r="K79" s="4">
        <v>0</v>
      </c>
      <c r="L79" s="4">
        <v>0</v>
      </c>
      <c r="M79" s="4">
        <v>0</v>
      </c>
      <c r="N79" s="4">
        <v>0</v>
      </c>
      <c r="O79" s="4">
        <f t="shared" si="9"/>
        <v>174293.75</v>
      </c>
      <c r="P79" s="4">
        <v>103746.28</v>
      </c>
      <c r="Q79" s="4">
        <v>0</v>
      </c>
      <c r="R79" s="4">
        <v>0</v>
      </c>
      <c r="S79" s="4">
        <v>0</v>
      </c>
      <c r="T79" s="4">
        <v>960.32</v>
      </c>
      <c r="U79" s="4">
        <f t="shared" si="10"/>
        <v>104706.6</v>
      </c>
      <c r="V79" s="4">
        <f t="shared" si="11"/>
        <v>69587.149999999994</v>
      </c>
      <c r="W79" s="4">
        <v>0</v>
      </c>
      <c r="X79" s="4">
        <v>0</v>
      </c>
      <c r="Y79" s="5">
        <v>0</v>
      </c>
    </row>
    <row r="80" spans="1:25" x14ac:dyDescent="0.2">
      <c r="A80" s="47" t="s">
        <v>78</v>
      </c>
      <c r="B80" s="48" t="s">
        <v>79</v>
      </c>
      <c r="C80" s="48" t="s">
        <v>693</v>
      </c>
      <c r="D80" s="48" t="s">
        <v>621</v>
      </c>
      <c r="E80" s="48" t="s">
        <v>80</v>
      </c>
      <c r="F80" s="48" t="s">
        <v>81</v>
      </c>
      <c r="G80" s="3">
        <v>44588</v>
      </c>
      <c r="H80" s="3"/>
      <c r="I80" s="4">
        <v>47500</v>
      </c>
      <c r="J80" s="4">
        <v>25936.58</v>
      </c>
      <c r="K80" s="4">
        <v>0</v>
      </c>
      <c r="L80" s="4">
        <v>0</v>
      </c>
      <c r="M80" s="4">
        <v>0</v>
      </c>
      <c r="N80" s="4">
        <v>0</v>
      </c>
      <c r="O80" s="4">
        <f t="shared" si="9"/>
        <v>25936.58</v>
      </c>
      <c r="P80" s="4">
        <v>28841.47</v>
      </c>
      <c r="Q80" s="4">
        <v>0</v>
      </c>
      <c r="R80" s="4">
        <v>0</v>
      </c>
      <c r="S80" s="4">
        <v>0</v>
      </c>
      <c r="T80" s="4">
        <v>0</v>
      </c>
      <c r="U80" s="4">
        <f t="shared" si="10"/>
        <v>28841.47</v>
      </c>
      <c r="V80" s="4">
        <f t="shared" si="11"/>
        <v>-2904.8899999999994</v>
      </c>
      <c r="W80" s="4">
        <v>0</v>
      </c>
      <c r="X80" s="4">
        <v>0</v>
      </c>
      <c r="Y80" s="5">
        <v>0</v>
      </c>
    </row>
    <row r="81" spans="1:25" x14ac:dyDescent="0.2">
      <c r="A81" s="47" t="s">
        <v>528</v>
      </c>
      <c r="B81" s="48" t="s">
        <v>529</v>
      </c>
      <c r="C81" s="48" t="s">
        <v>693</v>
      </c>
      <c r="D81" s="48" t="s">
        <v>621</v>
      </c>
      <c r="E81" s="48" t="s">
        <v>56</v>
      </c>
      <c r="F81" s="48" t="s">
        <v>57</v>
      </c>
      <c r="G81" s="3">
        <v>44226</v>
      </c>
      <c r="H81" s="3">
        <v>44012</v>
      </c>
      <c r="I81" s="4">
        <v>0</v>
      </c>
      <c r="J81" s="4">
        <v>0</v>
      </c>
      <c r="K81" s="4">
        <v>0</v>
      </c>
      <c r="L81" s="4">
        <v>0</v>
      </c>
      <c r="M81" s="4">
        <v>0</v>
      </c>
      <c r="N81" s="4">
        <v>0</v>
      </c>
      <c r="O81" s="4">
        <f t="shared" si="9"/>
        <v>0</v>
      </c>
      <c r="P81" s="4">
        <v>0</v>
      </c>
      <c r="Q81" s="4">
        <v>0</v>
      </c>
      <c r="R81" s="4">
        <v>16918.63</v>
      </c>
      <c r="S81" s="4">
        <v>0</v>
      </c>
      <c r="T81" s="4">
        <v>0</v>
      </c>
      <c r="U81" s="4">
        <f t="shared" si="10"/>
        <v>16918.63</v>
      </c>
      <c r="V81" s="4">
        <f t="shared" si="11"/>
        <v>-16918.63</v>
      </c>
      <c r="W81" s="4">
        <v>0</v>
      </c>
      <c r="X81" s="4">
        <v>0</v>
      </c>
      <c r="Y81" s="5">
        <v>0</v>
      </c>
    </row>
    <row r="82" spans="1:25" x14ac:dyDescent="0.2">
      <c r="A82" s="47" t="s">
        <v>160</v>
      </c>
      <c r="B82" s="48" t="s">
        <v>161</v>
      </c>
      <c r="C82" s="48" t="s">
        <v>693</v>
      </c>
      <c r="D82" s="48" t="s">
        <v>621</v>
      </c>
      <c r="E82" s="48" t="s">
        <v>62</v>
      </c>
      <c r="F82" s="48" t="s">
        <v>63</v>
      </c>
      <c r="G82" s="3">
        <v>44543</v>
      </c>
      <c r="H82" s="3"/>
      <c r="I82" s="4">
        <v>1401100</v>
      </c>
      <c r="J82" s="4">
        <v>0</v>
      </c>
      <c r="K82" s="4">
        <v>0</v>
      </c>
      <c r="L82" s="4">
        <v>138183.14000000001</v>
      </c>
      <c r="M82" s="4">
        <v>0</v>
      </c>
      <c r="N82" s="4">
        <v>0</v>
      </c>
      <c r="O82" s="4">
        <f t="shared" si="9"/>
        <v>138183.14000000001</v>
      </c>
      <c r="P82" s="4">
        <v>0</v>
      </c>
      <c r="Q82" s="4">
        <v>0</v>
      </c>
      <c r="R82" s="4">
        <v>2012.96</v>
      </c>
      <c r="S82" s="4">
        <v>14849.39</v>
      </c>
      <c r="T82" s="4">
        <v>103148.91</v>
      </c>
      <c r="U82" s="4">
        <f t="shared" si="10"/>
        <v>120011.26000000001</v>
      </c>
      <c r="V82" s="4">
        <f t="shared" si="11"/>
        <v>18171.880000000005</v>
      </c>
      <c r="W82" s="4">
        <v>0</v>
      </c>
      <c r="X82" s="4">
        <v>74837.279999999999</v>
      </c>
      <c r="Y82" s="5">
        <v>74837.279999999999</v>
      </c>
    </row>
    <row r="83" spans="1:25" x14ac:dyDescent="0.2">
      <c r="A83" s="47" t="s">
        <v>413</v>
      </c>
      <c r="B83" s="48" t="s">
        <v>414</v>
      </c>
      <c r="C83" s="48" t="s">
        <v>693</v>
      </c>
      <c r="D83" s="48" t="s">
        <v>621</v>
      </c>
      <c r="E83" s="48" t="s">
        <v>685</v>
      </c>
      <c r="F83" s="48" t="s">
        <v>91</v>
      </c>
      <c r="G83" s="3">
        <v>44226</v>
      </c>
      <c r="H83" s="3">
        <v>43999</v>
      </c>
      <c r="I83" s="4">
        <v>0</v>
      </c>
      <c r="J83" s="4">
        <v>0</v>
      </c>
      <c r="K83" s="4">
        <v>0</v>
      </c>
      <c r="L83" s="4">
        <v>0</v>
      </c>
      <c r="M83" s="4">
        <v>0</v>
      </c>
      <c r="N83" s="4">
        <v>0</v>
      </c>
      <c r="O83" s="4">
        <f t="shared" si="9"/>
        <v>0</v>
      </c>
      <c r="P83" s="4">
        <v>0</v>
      </c>
      <c r="Q83" s="4">
        <v>0</v>
      </c>
      <c r="R83" s="4">
        <v>-9442.0299999999988</v>
      </c>
      <c r="S83" s="4">
        <v>0</v>
      </c>
      <c r="T83" s="4">
        <v>0</v>
      </c>
      <c r="U83" s="4">
        <f t="shared" si="10"/>
        <v>-9442.0299999999988</v>
      </c>
      <c r="V83" s="4">
        <f t="shared" si="11"/>
        <v>9442.0299999999988</v>
      </c>
      <c r="W83" s="4">
        <v>0</v>
      </c>
      <c r="X83" s="4">
        <v>0</v>
      </c>
      <c r="Y83" s="5">
        <v>0</v>
      </c>
    </row>
    <row r="84" spans="1:25" x14ac:dyDescent="0.2">
      <c r="A84" s="47" t="s">
        <v>50</v>
      </c>
      <c r="B84" s="48" t="s">
        <v>51</v>
      </c>
      <c r="C84" s="48" t="s">
        <v>693</v>
      </c>
      <c r="D84" s="48" t="s">
        <v>621</v>
      </c>
      <c r="E84" s="48" t="s">
        <v>52</v>
      </c>
      <c r="F84" s="48" t="s">
        <v>53</v>
      </c>
      <c r="G84" s="3">
        <v>44487</v>
      </c>
      <c r="H84" s="3"/>
      <c r="I84" s="4">
        <v>284500</v>
      </c>
      <c r="J84" s="4">
        <v>195750</v>
      </c>
      <c r="K84" s="4">
        <v>0</v>
      </c>
      <c r="L84" s="4">
        <v>0</v>
      </c>
      <c r="M84" s="4">
        <v>0</v>
      </c>
      <c r="N84" s="4">
        <v>0</v>
      </c>
      <c r="O84" s="4">
        <f t="shared" si="9"/>
        <v>195750</v>
      </c>
      <c r="P84" s="4">
        <v>176175</v>
      </c>
      <c r="Q84" s="4">
        <v>0</v>
      </c>
      <c r="R84" s="4">
        <v>0</v>
      </c>
      <c r="S84" s="4">
        <v>0</v>
      </c>
      <c r="T84" s="4">
        <v>0</v>
      </c>
      <c r="U84" s="4">
        <f t="shared" si="10"/>
        <v>176175</v>
      </c>
      <c r="V84" s="4">
        <f t="shared" si="11"/>
        <v>19575</v>
      </c>
      <c r="W84" s="4">
        <v>0</v>
      </c>
      <c r="X84" s="4">
        <v>0</v>
      </c>
      <c r="Y84" s="5">
        <v>0</v>
      </c>
    </row>
    <row r="85" spans="1:25" x14ac:dyDescent="0.2">
      <c r="A85" s="47" t="s">
        <v>526</v>
      </c>
      <c r="B85" s="48" t="s">
        <v>527</v>
      </c>
      <c r="C85" s="48" t="s">
        <v>693</v>
      </c>
      <c r="D85" s="48" t="s">
        <v>621</v>
      </c>
      <c r="E85" s="48" t="s">
        <v>56</v>
      </c>
      <c r="F85" s="48" t="s">
        <v>57</v>
      </c>
      <c r="G85" s="3">
        <v>44226</v>
      </c>
      <c r="H85" s="3">
        <v>44012</v>
      </c>
      <c r="I85" s="4">
        <v>0</v>
      </c>
      <c r="J85" s="4">
        <v>0</v>
      </c>
      <c r="K85" s="4">
        <v>0</v>
      </c>
      <c r="L85" s="4">
        <v>0</v>
      </c>
      <c r="M85" s="4">
        <v>0</v>
      </c>
      <c r="N85" s="4">
        <v>0</v>
      </c>
      <c r="O85" s="4">
        <f t="shared" si="9"/>
        <v>0</v>
      </c>
      <c r="P85" s="4">
        <v>0</v>
      </c>
      <c r="Q85" s="4">
        <v>0</v>
      </c>
      <c r="R85" s="4">
        <v>0</v>
      </c>
      <c r="S85" s="4">
        <v>0</v>
      </c>
      <c r="T85" s="4">
        <v>0</v>
      </c>
      <c r="U85" s="4">
        <f t="shared" si="10"/>
        <v>0</v>
      </c>
      <c r="V85" s="4">
        <f t="shared" si="11"/>
        <v>0</v>
      </c>
      <c r="W85" s="4">
        <v>14676.25</v>
      </c>
      <c r="X85" s="4">
        <v>0</v>
      </c>
      <c r="Y85" s="5">
        <v>14676.25</v>
      </c>
    </row>
    <row r="86" spans="1:25" x14ac:dyDescent="0.2">
      <c r="A86" s="47" t="s">
        <v>154</v>
      </c>
      <c r="B86" s="48" t="s">
        <v>155</v>
      </c>
      <c r="C86" s="48" t="s">
        <v>693</v>
      </c>
      <c r="D86" s="48" t="s">
        <v>621</v>
      </c>
      <c r="E86" s="48" t="s">
        <v>56</v>
      </c>
      <c r="F86" s="48" t="s">
        <v>57</v>
      </c>
      <c r="G86" s="3">
        <v>44652</v>
      </c>
      <c r="H86" s="3"/>
      <c r="I86" s="4">
        <v>6218750</v>
      </c>
      <c r="J86" s="4">
        <v>0</v>
      </c>
      <c r="K86" s="4">
        <v>0</v>
      </c>
      <c r="L86" s="4">
        <v>226171.92</v>
      </c>
      <c r="M86" s="4">
        <v>0</v>
      </c>
      <c r="N86" s="4">
        <v>0</v>
      </c>
      <c r="O86" s="4">
        <f t="shared" si="9"/>
        <v>226171.92</v>
      </c>
      <c r="P86" s="4">
        <v>0</v>
      </c>
      <c r="Q86" s="4">
        <v>0</v>
      </c>
      <c r="R86" s="4">
        <v>0</v>
      </c>
      <c r="S86" s="4">
        <v>132959.20000000001</v>
      </c>
      <c r="T86" s="4">
        <v>465247.73</v>
      </c>
      <c r="U86" s="4">
        <f t="shared" si="10"/>
        <v>598206.92999999993</v>
      </c>
      <c r="V86" s="4">
        <f t="shared" si="11"/>
        <v>-372035.00999999989</v>
      </c>
      <c r="W86" s="4">
        <v>8725.86</v>
      </c>
      <c r="X86" s="4">
        <v>363.11</v>
      </c>
      <c r="Y86" s="5">
        <v>9088.9699999999993</v>
      </c>
    </row>
    <row r="87" spans="1:25" x14ac:dyDescent="0.2">
      <c r="A87" s="47" t="s">
        <v>54</v>
      </c>
      <c r="B87" s="48" t="s">
        <v>55</v>
      </c>
      <c r="C87" s="48" t="s">
        <v>693</v>
      </c>
      <c r="D87" s="48" t="s">
        <v>621</v>
      </c>
      <c r="E87" s="48" t="s">
        <v>56</v>
      </c>
      <c r="F87" s="48" t="s">
        <v>57</v>
      </c>
      <c r="G87" s="3">
        <v>44461</v>
      </c>
      <c r="H87" s="3"/>
      <c r="I87" s="4">
        <v>136000</v>
      </c>
      <c r="J87" s="4">
        <v>0</v>
      </c>
      <c r="K87" s="4">
        <v>0</v>
      </c>
      <c r="L87" s="4">
        <v>44971.4</v>
      </c>
      <c r="M87" s="4">
        <v>0</v>
      </c>
      <c r="N87" s="4">
        <v>0</v>
      </c>
      <c r="O87" s="4">
        <f t="shared" si="9"/>
        <v>44971.4</v>
      </c>
      <c r="P87" s="4">
        <v>0</v>
      </c>
      <c r="Q87" s="4">
        <v>0</v>
      </c>
      <c r="R87" s="4">
        <v>0</v>
      </c>
      <c r="S87" s="4">
        <v>0</v>
      </c>
      <c r="T87" s="4">
        <v>0</v>
      </c>
      <c r="U87" s="4">
        <f t="shared" si="10"/>
        <v>0</v>
      </c>
      <c r="V87" s="4">
        <f t="shared" si="11"/>
        <v>44971.4</v>
      </c>
      <c r="W87" s="4">
        <v>0</v>
      </c>
      <c r="X87" s="4">
        <v>0</v>
      </c>
      <c r="Y87" s="5">
        <v>0</v>
      </c>
    </row>
    <row r="88" spans="1:25" x14ac:dyDescent="0.2">
      <c r="A88" s="42" t="s">
        <v>406</v>
      </c>
      <c r="B88" s="43" t="s">
        <v>407</v>
      </c>
      <c r="C88" s="43" t="s">
        <v>694</v>
      </c>
      <c r="D88" s="43" t="s">
        <v>658</v>
      </c>
      <c r="E88" s="43" t="s">
        <v>695</v>
      </c>
      <c r="F88" s="43" t="s">
        <v>408</v>
      </c>
      <c r="G88" s="6">
        <v>44226</v>
      </c>
      <c r="H88" s="6">
        <v>44301</v>
      </c>
      <c r="I88" s="7">
        <v>0</v>
      </c>
      <c r="J88" s="7">
        <v>0</v>
      </c>
      <c r="K88" s="7">
        <v>0</v>
      </c>
      <c r="L88" s="7">
        <v>0</v>
      </c>
      <c r="M88" s="7">
        <v>0</v>
      </c>
      <c r="N88" s="7">
        <v>0</v>
      </c>
      <c r="O88" s="7">
        <f>SUM(J88:N88)</f>
        <v>0</v>
      </c>
      <c r="P88" s="7">
        <v>0</v>
      </c>
      <c r="Q88" s="7">
        <v>0</v>
      </c>
      <c r="R88" s="7">
        <v>21891.7</v>
      </c>
      <c r="S88" s="7">
        <v>8622.09</v>
      </c>
      <c r="T88" s="7">
        <v>0</v>
      </c>
      <c r="U88" s="7">
        <f>SUM(P88:T88)</f>
        <v>30513.79</v>
      </c>
      <c r="V88" s="7">
        <f>O88-U88</f>
        <v>-30513.79</v>
      </c>
      <c r="W88" s="7">
        <v>17037.61</v>
      </c>
      <c r="X88" s="7">
        <v>14007.24</v>
      </c>
      <c r="Y88" s="8">
        <f>X88+W88</f>
        <v>31044.85</v>
      </c>
    </row>
    <row r="89" spans="1:25" x14ac:dyDescent="0.2">
      <c r="A89" s="42" t="s">
        <v>415</v>
      </c>
      <c r="B89" s="43" t="s">
        <v>416</v>
      </c>
      <c r="C89" s="43" t="s">
        <v>694</v>
      </c>
      <c r="D89" s="43" t="s">
        <v>658</v>
      </c>
      <c r="E89" s="43" t="s">
        <v>685</v>
      </c>
      <c r="F89" s="43" t="s">
        <v>91</v>
      </c>
      <c r="G89" s="6">
        <v>44226</v>
      </c>
      <c r="H89" s="6">
        <v>44237</v>
      </c>
      <c r="I89" s="7">
        <v>711496.5</v>
      </c>
      <c r="J89" s="7">
        <v>0</v>
      </c>
      <c r="K89" s="7">
        <v>0</v>
      </c>
      <c r="L89" s="7">
        <v>49117.2</v>
      </c>
      <c r="M89" s="7">
        <v>0</v>
      </c>
      <c r="N89" s="7">
        <v>10035.200000000001</v>
      </c>
      <c r="O89" s="7">
        <f t="shared" ref="O89:O139" si="12">SUM(J89:N89)</f>
        <v>59152.399999999994</v>
      </c>
      <c r="P89" s="7">
        <v>0</v>
      </c>
      <c r="Q89" s="7">
        <v>0</v>
      </c>
      <c r="R89" s="7">
        <v>60202.31</v>
      </c>
      <c r="S89" s="7">
        <v>5711.67</v>
      </c>
      <c r="T89" s="7">
        <v>0</v>
      </c>
      <c r="U89" s="7">
        <f t="shared" ref="U89:U139" si="13">SUM(P89:T89)</f>
        <v>65913.98</v>
      </c>
      <c r="V89" s="7">
        <f t="shared" ref="V89:V139" si="14">O89-U89</f>
        <v>-6761.5800000000017</v>
      </c>
      <c r="W89" s="7">
        <v>51113.61</v>
      </c>
      <c r="X89" s="7">
        <v>15756.34</v>
      </c>
      <c r="Y89" s="8">
        <f t="shared" ref="Y89:Y139" si="15">X89+W89</f>
        <v>66869.95</v>
      </c>
    </row>
    <row r="90" spans="1:25" x14ac:dyDescent="0.2">
      <c r="A90" s="42" t="s">
        <v>238</v>
      </c>
      <c r="B90" s="43" t="s">
        <v>239</v>
      </c>
      <c r="C90" s="43" t="s">
        <v>694</v>
      </c>
      <c r="D90" s="43" t="s">
        <v>658</v>
      </c>
      <c r="E90" s="43" t="s">
        <v>692</v>
      </c>
      <c r="F90" s="43" t="s">
        <v>237</v>
      </c>
      <c r="G90" s="6">
        <v>44226</v>
      </c>
      <c r="H90" s="6">
        <v>42657</v>
      </c>
      <c r="I90" s="7">
        <v>0</v>
      </c>
      <c r="J90" s="7">
        <v>0</v>
      </c>
      <c r="K90" s="7">
        <v>0</v>
      </c>
      <c r="L90" s="7">
        <v>0</v>
      </c>
      <c r="M90" s="7">
        <v>0</v>
      </c>
      <c r="N90" s="7">
        <v>0</v>
      </c>
      <c r="O90" s="7">
        <f t="shared" si="12"/>
        <v>0</v>
      </c>
      <c r="P90" s="7">
        <v>0</v>
      </c>
      <c r="Q90" s="7">
        <v>0</v>
      </c>
      <c r="R90" s="7">
        <v>61248.97</v>
      </c>
      <c r="S90" s="7">
        <v>3853.05</v>
      </c>
      <c r="T90" s="7">
        <v>0</v>
      </c>
      <c r="U90" s="7">
        <f t="shared" si="13"/>
        <v>65102.020000000004</v>
      </c>
      <c r="V90" s="7">
        <f t="shared" si="14"/>
        <v>-65102.020000000004</v>
      </c>
      <c r="W90" s="7">
        <v>130920.84</v>
      </c>
      <c r="X90" s="7">
        <v>21751.13</v>
      </c>
      <c r="Y90" s="8">
        <f t="shared" si="15"/>
        <v>152671.97</v>
      </c>
    </row>
    <row r="91" spans="1:25" x14ac:dyDescent="0.2">
      <c r="A91" s="42" t="s">
        <v>404</v>
      </c>
      <c r="B91" s="43" t="s">
        <v>405</v>
      </c>
      <c r="C91" s="43" t="s">
        <v>694</v>
      </c>
      <c r="D91" s="43" t="s">
        <v>658</v>
      </c>
      <c r="E91" s="43" t="s">
        <v>692</v>
      </c>
      <c r="F91" s="43" t="s">
        <v>237</v>
      </c>
      <c r="G91" s="6">
        <v>44226</v>
      </c>
      <c r="H91" s="6">
        <v>44034</v>
      </c>
      <c r="I91" s="7">
        <v>0</v>
      </c>
      <c r="J91" s="7">
        <v>0</v>
      </c>
      <c r="K91" s="7">
        <v>0</v>
      </c>
      <c r="L91" s="7">
        <v>0</v>
      </c>
      <c r="M91" s="7">
        <v>0</v>
      </c>
      <c r="N91" s="7">
        <v>0</v>
      </c>
      <c r="O91" s="7">
        <f t="shared" si="12"/>
        <v>0</v>
      </c>
      <c r="P91" s="7">
        <v>0</v>
      </c>
      <c r="Q91" s="7">
        <v>0</v>
      </c>
      <c r="R91" s="7">
        <v>71803.600000000006</v>
      </c>
      <c r="S91" s="7">
        <v>3347.99</v>
      </c>
      <c r="T91" s="7">
        <v>735.31</v>
      </c>
      <c r="U91" s="7">
        <f t="shared" si="13"/>
        <v>75886.900000000009</v>
      </c>
      <c r="V91" s="7">
        <f t="shared" si="14"/>
        <v>-75886.900000000009</v>
      </c>
      <c r="W91" s="7">
        <v>36530.9</v>
      </c>
      <c r="X91" s="7">
        <v>0</v>
      </c>
      <c r="Y91" s="8">
        <f t="shared" si="15"/>
        <v>36530.9</v>
      </c>
    </row>
    <row r="92" spans="1:25" x14ac:dyDescent="0.2">
      <c r="A92" s="42" t="s">
        <v>516</v>
      </c>
      <c r="B92" s="43" t="s">
        <v>517</v>
      </c>
      <c r="C92" s="43" t="s">
        <v>694</v>
      </c>
      <c r="D92" s="43" t="s">
        <v>658</v>
      </c>
      <c r="E92" s="43" t="s">
        <v>696</v>
      </c>
      <c r="F92" s="43" t="s">
        <v>246</v>
      </c>
      <c r="G92" s="6">
        <v>44226</v>
      </c>
      <c r="H92" s="6">
        <v>44407</v>
      </c>
      <c r="I92" s="7">
        <v>283800</v>
      </c>
      <c r="J92" s="7">
        <v>0</v>
      </c>
      <c r="K92" s="7">
        <v>0</v>
      </c>
      <c r="L92" s="7">
        <v>0</v>
      </c>
      <c r="M92" s="7">
        <v>0</v>
      </c>
      <c r="N92" s="7">
        <v>0</v>
      </c>
      <c r="O92" s="7">
        <f t="shared" si="12"/>
        <v>0</v>
      </c>
      <c r="P92" s="7">
        <v>0</v>
      </c>
      <c r="Q92" s="7">
        <v>0</v>
      </c>
      <c r="R92" s="7">
        <v>157786.32999999999</v>
      </c>
      <c r="S92" s="7">
        <v>29302.25</v>
      </c>
      <c r="T92" s="7">
        <v>0</v>
      </c>
      <c r="U92" s="7">
        <f t="shared" si="13"/>
        <v>187088.58</v>
      </c>
      <c r="V92" s="7">
        <f t="shared" si="14"/>
        <v>-187088.58</v>
      </c>
      <c r="W92" s="7">
        <v>31564.07</v>
      </c>
      <c r="X92" s="7">
        <v>0</v>
      </c>
      <c r="Y92" s="8">
        <f t="shared" si="15"/>
        <v>31564.07</v>
      </c>
    </row>
    <row r="93" spans="1:25" x14ac:dyDescent="0.2">
      <c r="A93" s="42" t="s">
        <v>392</v>
      </c>
      <c r="B93" s="43" t="s">
        <v>393</v>
      </c>
      <c r="C93" s="43" t="s">
        <v>694</v>
      </c>
      <c r="D93" s="43" t="s">
        <v>658</v>
      </c>
      <c r="E93" s="43" t="s">
        <v>696</v>
      </c>
      <c r="F93" s="43" t="s">
        <v>246</v>
      </c>
      <c r="G93" s="6">
        <v>44226</v>
      </c>
      <c r="H93" s="6">
        <v>44364</v>
      </c>
      <c r="I93" s="7">
        <v>0</v>
      </c>
      <c r="J93" s="7">
        <v>0</v>
      </c>
      <c r="K93" s="7">
        <v>0</v>
      </c>
      <c r="L93" s="7">
        <v>0</v>
      </c>
      <c r="M93" s="7">
        <v>0</v>
      </c>
      <c r="N93" s="7">
        <v>0</v>
      </c>
      <c r="O93" s="7">
        <f t="shared" si="12"/>
        <v>0</v>
      </c>
      <c r="P93" s="7">
        <v>0</v>
      </c>
      <c r="Q93" s="7">
        <v>0</v>
      </c>
      <c r="R93" s="7">
        <v>18852.240000000002</v>
      </c>
      <c r="S93" s="7">
        <v>3921.16</v>
      </c>
      <c r="T93" s="7">
        <v>0</v>
      </c>
      <c r="U93" s="7">
        <f t="shared" si="13"/>
        <v>22773.4</v>
      </c>
      <c r="V93" s="7">
        <f t="shared" si="14"/>
        <v>-22773.4</v>
      </c>
      <c r="W93" s="7">
        <v>9435.1200000000008</v>
      </c>
      <c r="X93" s="7">
        <v>0</v>
      </c>
      <c r="Y93" s="8">
        <f t="shared" si="15"/>
        <v>9435.1200000000008</v>
      </c>
    </row>
    <row r="94" spans="1:25" x14ac:dyDescent="0.2">
      <c r="A94" s="42" t="s">
        <v>396</v>
      </c>
      <c r="B94" s="43" t="s">
        <v>397</v>
      </c>
      <c r="C94" s="43" t="s">
        <v>694</v>
      </c>
      <c r="D94" s="43" t="s">
        <v>658</v>
      </c>
      <c r="E94" s="43" t="s">
        <v>696</v>
      </c>
      <c r="F94" s="43" t="s">
        <v>246</v>
      </c>
      <c r="G94" s="6">
        <v>44226</v>
      </c>
      <c r="H94" s="6">
        <v>44042</v>
      </c>
      <c r="I94" s="7">
        <v>0</v>
      </c>
      <c r="J94" s="7">
        <v>0</v>
      </c>
      <c r="K94" s="7">
        <v>0</v>
      </c>
      <c r="L94" s="7">
        <v>0</v>
      </c>
      <c r="M94" s="7">
        <v>0</v>
      </c>
      <c r="N94" s="7">
        <v>0</v>
      </c>
      <c r="O94" s="7">
        <f t="shared" si="12"/>
        <v>0</v>
      </c>
      <c r="P94" s="7">
        <v>0</v>
      </c>
      <c r="Q94" s="7">
        <v>0</v>
      </c>
      <c r="R94" s="7">
        <v>17663.27</v>
      </c>
      <c r="S94" s="7">
        <v>0</v>
      </c>
      <c r="T94" s="7">
        <v>0</v>
      </c>
      <c r="U94" s="7">
        <f t="shared" si="13"/>
        <v>17663.27</v>
      </c>
      <c r="V94" s="7">
        <f t="shared" si="14"/>
        <v>-17663.27</v>
      </c>
      <c r="W94" s="7">
        <v>876.12</v>
      </c>
      <c r="X94" s="7">
        <v>0</v>
      </c>
      <c r="Y94" s="8">
        <f t="shared" si="15"/>
        <v>876.12</v>
      </c>
    </row>
    <row r="95" spans="1:25" x14ac:dyDescent="0.2">
      <c r="A95" s="42" t="s">
        <v>520</v>
      </c>
      <c r="B95" s="43" t="s">
        <v>521</v>
      </c>
      <c r="C95" s="43" t="s">
        <v>694</v>
      </c>
      <c r="D95" s="43" t="s">
        <v>658</v>
      </c>
      <c r="E95" s="43" t="s">
        <v>697</v>
      </c>
      <c r="F95" s="43" t="s">
        <v>2</v>
      </c>
      <c r="G95" s="6">
        <v>44329</v>
      </c>
      <c r="H95" s="6">
        <v>44431</v>
      </c>
      <c r="I95" s="7">
        <v>3140500</v>
      </c>
      <c r="J95" s="7">
        <v>0</v>
      </c>
      <c r="K95" s="7">
        <v>0</v>
      </c>
      <c r="L95" s="7">
        <v>30151.4</v>
      </c>
      <c r="M95" s="7">
        <v>0</v>
      </c>
      <c r="N95" s="7">
        <v>0</v>
      </c>
      <c r="O95" s="7">
        <f t="shared" si="12"/>
        <v>30151.4</v>
      </c>
      <c r="P95" s="7">
        <v>0</v>
      </c>
      <c r="Q95" s="7">
        <v>0</v>
      </c>
      <c r="R95" s="7">
        <v>0</v>
      </c>
      <c r="S95" s="7">
        <v>2599.62</v>
      </c>
      <c r="T95" s="7">
        <v>186681.1</v>
      </c>
      <c r="U95" s="7">
        <f t="shared" si="13"/>
        <v>189280.72</v>
      </c>
      <c r="V95" s="7">
        <f t="shared" si="14"/>
        <v>-159129.32</v>
      </c>
      <c r="W95" s="7">
        <v>8157.99</v>
      </c>
      <c r="X95" s="7">
        <v>0</v>
      </c>
      <c r="Y95" s="8">
        <f t="shared" si="15"/>
        <v>8157.99</v>
      </c>
    </row>
    <row r="96" spans="1:25" x14ac:dyDescent="0.2">
      <c r="A96" s="42" t="s">
        <v>368</v>
      </c>
      <c r="B96" s="43" t="s">
        <v>369</v>
      </c>
      <c r="C96" s="43" t="s">
        <v>694</v>
      </c>
      <c r="D96" s="43" t="s">
        <v>658</v>
      </c>
      <c r="E96" s="43" t="s">
        <v>697</v>
      </c>
      <c r="F96" s="43" t="s">
        <v>2</v>
      </c>
      <c r="G96" s="6">
        <v>44226</v>
      </c>
      <c r="H96" s="6">
        <v>44169</v>
      </c>
      <c r="I96" s="7">
        <v>0</v>
      </c>
      <c r="J96" s="7">
        <v>1223824</v>
      </c>
      <c r="K96" s="7">
        <v>0</v>
      </c>
      <c r="L96" s="7">
        <v>0</v>
      </c>
      <c r="M96" s="7">
        <v>0</v>
      </c>
      <c r="N96" s="7">
        <v>0</v>
      </c>
      <c r="O96" s="7">
        <f t="shared" si="12"/>
        <v>1223824</v>
      </c>
      <c r="P96" s="7">
        <v>1016064</v>
      </c>
      <c r="Q96" s="7">
        <v>0</v>
      </c>
      <c r="R96" s="7">
        <v>0</v>
      </c>
      <c r="S96" s="7">
        <v>0</v>
      </c>
      <c r="T96" s="7">
        <v>118.9</v>
      </c>
      <c r="U96" s="7">
        <f t="shared" si="13"/>
        <v>1016182.9</v>
      </c>
      <c r="V96" s="7">
        <f t="shared" si="14"/>
        <v>207641.09999999998</v>
      </c>
      <c r="W96" s="7">
        <v>829.96</v>
      </c>
      <c r="X96" s="7">
        <v>0</v>
      </c>
      <c r="Y96" s="8">
        <f t="shared" si="15"/>
        <v>829.96</v>
      </c>
    </row>
    <row r="97" spans="1:25" x14ac:dyDescent="0.2">
      <c r="A97" s="42" t="s">
        <v>524</v>
      </c>
      <c r="B97" s="43" t="s">
        <v>525</v>
      </c>
      <c r="C97" s="43" t="s">
        <v>694</v>
      </c>
      <c r="D97" s="43" t="s">
        <v>658</v>
      </c>
      <c r="E97" s="43" t="s">
        <v>697</v>
      </c>
      <c r="F97" s="43" t="s">
        <v>2</v>
      </c>
      <c r="G97" s="6">
        <v>44329</v>
      </c>
      <c r="H97" s="6">
        <v>44431</v>
      </c>
      <c r="I97" s="7">
        <v>8536000</v>
      </c>
      <c r="J97" s="7">
        <v>390432</v>
      </c>
      <c r="K97" s="7">
        <v>0</v>
      </c>
      <c r="L97" s="7">
        <v>23128</v>
      </c>
      <c r="M97" s="7">
        <v>35145</v>
      </c>
      <c r="N97" s="7">
        <v>0</v>
      </c>
      <c r="O97" s="7">
        <f t="shared" si="12"/>
        <v>448705</v>
      </c>
      <c r="P97" s="7">
        <v>371616</v>
      </c>
      <c r="Q97" s="7">
        <v>0</v>
      </c>
      <c r="R97" s="7">
        <v>6540.74</v>
      </c>
      <c r="S97" s="7">
        <v>28063.98</v>
      </c>
      <c r="T97" s="7">
        <v>54179.22</v>
      </c>
      <c r="U97" s="7">
        <f t="shared" si="13"/>
        <v>460399.93999999994</v>
      </c>
      <c r="V97" s="7">
        <f t="shared" si="14"/>
        <v>-11694.939999999944</v>
      </c>
      <c r="W97" s="7">
        <v>153342.79</v>
      </c>
      <c r="X97" s="7">
        <v>3292.86</v>
      </c>
      <c r="Y97" s="8">
        <f t="shared" si="15"/>
        <v>156635.65</v>
      </c>
    </row>
    <row r="98" spans="1:25" x14ac:dyDescent="0.2">
      <c r="A98" s="42" t="s">
        <v>536</v>
      </c>
      <c r="B98" s="43" t="s">
        <v>537</v>
      </c>
      <c r="C98" s="43" t="s">
        <v>694</v>
      </c>
      <c r="D98" s="43" t="s">
        <v>658</v>
      </c>
      <c r="E98" s="43" t="s">
        <v>697</v>
      </c>
      <c r="F98" s="43" t="s">
        <v>2</v>
      </c>
      <c r="G98" s="6">
        <v>44446</v>
      </c>
      <c r="H98" s="6">
        <v>44581</v>
      </c>
      <c r="I98" s="7">
        <v>3011964</v>
      </c>
      <c r="J98" s="7">
        <v>3112480</v>
      </c>
      <c r="K98" s="7">
        <v>0</v>
      </c>
      <c r="L98" s="7">
        <v>0</v>
      </c>
      <c r="M98" s="7">
        <v>117000</v>
      </c>
      <c r="N98" s="7">
        <v>0</v>
      </c>
      <c r="O98" s="7">
        <f t="shared" si="12"/>
        <v>3229480</v>
      </c>
      <c r="P98" s="7">
        <v>2769777.92</v>
      </c>
      <c r="Q98" s="7">
        <v>0</v>
      </c>
      <c r="R98" s="7">
        <v>0</v>
      </c>
      <c r="S98" s="7">
        <v>866.54</v>
      </c>
      <c r="T98" s="7">
        <v>303206.71000000002</v>
      </c>
      <c r="U98" s="7">
        <f t="shared" si="13"/>
        <v>3073851.17</v>
      </c>
      <c r="V98" s="7">
        <f t="shared" si="14"/>
        <v>155628.83000000007</v>
      </c>
      <c r="W98" s="7">
        <v>0</v>
      </c>
      <c r="X98" s="7">
        <v>23329.26</v>
      </c>
      <c r="Y98" s="8">
        <f t="shared" si="15"/>
        <v>23329.26</v>
      </c>
    </row>
    <row r="99" spans="1:25" x14ac:dyDescent="0.2">
      <c r="A99" s="42" t="s">
        <v>402</v>
      </c>
      <c r="B99" s="43" t="s">
        <v>403</v>
      </c>
      <c r="C99" s="43" t="s">
        <v>694</v>
      </c>
      <c r="D99" s="43" t="s">
        <v>658</v>
      </c>
      <c r="E99" s="43" t="s">
        <v>692</v>
      </c>
      <c r="F99" s="43" t="s">
        <v>237</v>
      </c>
      <c r="G99" s="6">
        <v>44226</v>
      </c>
      <c r="H99" s="6">
        <v>43003</v>
      </c>
      <c r="I99" s="7">
        <v>0</v>
      </c>
      <c r="J99" s="7">
        <v>0</v>
      </c>
      <c r="K99" s="7">
        <v>0</v>
      </c>
      <c r="L99" s="7">
        <v>0</v>
      </c>
      <c r="M99" s="7">
        <v>0</v>
      </c>
      <c r="N99" s="7">
        <v>0</v>
      </c>
      <c r="O99" s="7">
        <f t="shared" si="12"/>
        <v>0</v>
      </c>
      <c r="P99" s="7">
        <v>0</v>
      </c>
      <c r="Q99" s="7">
        <v>0</v>
      </c>
      <c r="R99" s="7">
        <v>0</v>
      </c>
      <c r="S99" s="7">
        <v>0</v>
      </c>
      <c r="T99" s="7">
        <v>0</v>
      </c>
      <c r="U99" s="7">
        <f t="shared" si="13"/>
        <v>0</v>
      </c>
      <c r="V99" s="7">
        <f t="shared" si="14"/>
        <v>0</v>
      </c>
      <c r="W99" s="7">
        <v>8037.92</v>
      </c>
      <c r="X99" s="7">
        <v>0</v>
      </c>
      <c r="Y99" s="8">
        <f t="shared" si="15"/>
        <v>8037.92</v>
      </c>
    </row>
    <row r="100" spans="1:25" x14ac:dyDescent="0.2">
      <c r="A100" s="42" t="s">
        <v>331</v>
      </c>
      <c r="B100" s="43" t="s">
        <v>332</v>
      </c>
      <c r="C100" s="43" t="s">
        <v>694</v>
      </c>
      <c r="D100" s="43" t="s">
        <v>658</v>
      </c>
      <c r="E100" s="43" t="s">
        <v>696</v>
      </c>
      <c r="F100" s="43" t="s">
        <v>246</v>
      </c>
      <c r="G100" s="6">
        <v>44488</v>
      </c>
      <c r="H100" s="6">
        <v>44774</v>
      </c>
      <c r="I100" s="7">
        <v>730100</v>
      </c>
      <c r="J100" s="7">
        <v>0</v>
      </c>
      <c r="K100" s="7">
        <v>0</v>
      </c>
      <c r="L100" s="7">
        <v>580915.1</v>
      </c>
      <c r="M100" s="7">
        <v>0</v>
      </c>
      <c r="N100" s="7">
        <v>0</v>
      </c>
      <c r="O100" s="7">
        <f t="shared" si="12"/>
        <v>580915.1</v>
      </c>
      <c r="P100" s="7">
        <v>0</v>
      </c>
      <c r="Q100" s="7">
        <v>0</v>
      </c>
      <c r="R100" s="7">
        <v>0</v>
      </c>
      <c r="S100" s="7">
        <v>30099.41</v>
      </c>
      <c r="T100" s="7">
        <v>362876.23</v>
      </c>
      <c r="U100" s="7">
        <f t="shared" si="13"/>
        <v>392975.63999999996</v>
      </c>
      <c r="V100" s="7">
        <f t="shared" si="14"/>
        <v>187939.46000000002</v>
      </c>
      <c r="W100" s="7">
        <v>37085.07</v>
      </c>
      <c r="X100" s="7">
        <v>0</v>
      </c>
      <c r="Y100" s="8">
        <f t="shared" si="15"/>
        <v>37085.07</v>
      </c>
    </row>
    <row r="101" spans="1:25" x14ac:dyDescent="0.2">
      <c r="A101" s="42" t="s">
        <v>244</v>
      </c>
      <c r="B101" s="43" t="s">
        <v>245</v>
      </c>
      <c r="C101" s="43" t="s">
        <v>694</v>
      </c>
      <c r="D101" s="43" t="s">
        <v>658</v>
      </c>
      <c r="E101" s="43" t="s">
        <v>696</v>
      </c>
      <c r="F101" s="43" t="s">
        <v>246</v>
      </c>
      <c r="G101" s="6">
        <v>44226</v>
      </c>
      <c r="H101" s="6">
        <v>44175</v>
      </c>
      <c r="I101" s="7">
        <v>1742500</v>
      </c>
      <c r="J101" s="7">
        <v>661359</v>
      </c>
      <c r="K101" s="7">
        <v>0</v>
      </c>
      <c r="L101" s="7">
        <v>396787.4</v>
      </c>
      <c r="M101" s="7">
        <v>0</v>
      </c>
      <c r="N101" s="7">
        <v>0</v>
      </c>
      <c r="O101" s="7">
        <f t="shared" si="12"/>
        <v>1058146.3999999999</v>
      </c>
      <c r="P101" s="7">
        <v>542740.26140567195</v>
      </c>
      <c r="Q101" s="7">
        <v>0</v>
      </c>
      <c r="R101" s="7">
        <v>57340.68</v>
      </c>
      <c r="S101" s="7">
        <v>64660.1</v>
      </c>
      <c r="T101" s="7">
        <v>3450.14</v>
      </c>
      <c r="U101" s="7">
        <f t="shared" si="13"/>
        <v>668191.18140567199</v>
      </c>
      <c r="V101" s="7">
        <f t="shared" si="14"/>
        <v>389955.21859432792</v>
      </c>
      <c r="W101" s="7">
        <v>85168.84</v>
      </c>
      <c r="X101" s="7">
        <v>6022.26</v>
      </c>
      <c r="Y101" s="8">
        <f t="shared" si="15"/>
        <v>91191.099999999991</v>
      </c>
    </row>
    <row r="102" spans="1:25" x14ac:dyDescent="0.2">
      <c r="A102" s="42" t="s">
        <v>23</v>
      </c>
      <c r="B102" s="43" t="s">
        <v>24</v>
      </c>
      <c r="C102" s="43" t="s">
        <v>694</v>
      </c>
      <c r="D102" s="43" t="s">
        <v>658</v>
      </c>
      <c r="E102" s="43" t="s">
        <v>697</v>
      </c>
      <c r="F102" s="43" t="s">
        <v>2</v>
      </c>
      <c r="G102" s="6">
        <v>44698</v>
      </c>
      <c r="H102" s="6">
        <v>44826</v>
      </c>
      <c r="I102" s="7">
        <v>5393395</v>
      </c>
      <c r="J102" s="7">
        <v>0</v>
      </c>
      <c r="K102" s="7">
        <v>0</v>
      </c>
      <c r="L102" s="7">
        <v>0</v>
      </c>
      <c r="M102" s="7">
        <v>430808</v>
      </c>
      <c r="N102" s="7">
        <v>0</v>
      </c>
      <c r="O102" s="7">
        <f t="shared" si="12"/>
        <v>430808</v>
      </c>
      <c r="P102" s="7">
        <v>0</v>
      </c>
      <c r="Q102" s="7">
        <v>0</v>
      </c>
      <c r="R102" s="7">
        <v>0</v>
      </c>
      <c r="S102" s="7">
        <v>58824.12</v>
      </c>
      <c r="T102" s="7">
        <v>60834.3</v>
      </c>
      <c r="U102" s="7">
        <f t="shared" si="13"/>
        <v>119658.42000000001</v>
      </c>
      <c r="V102" s="7">
        <f t="shared" si="14"/>
        <v>311149.57999999996</v>
      </c>
      <c r="W102" s="7">
        <v>22203</v>
      </c>
      <c r="X102" s="7">
        <v>9469.0499999999993</v>
      </c>
      <c r="Y102" s="8">
        <f t="shared" si="15"/>
        <v>31672.05</v>
      </c>
    </row>
    <row r="103" spans="1:25" x14ac:dyDescent="0.2">
      <c r="A103" s="42" t="s">
        <v>11</v>
      </c>
      <c r="B103" s="43" t="s">
        <v>12</v>
      </c>
      <c r="C103" s="43" t="s">
        <v>694</v>
      </c>
      <c r="D103" s="43" t="s">
        <v>658</v>
      </c>
      <c r="E103" s="43" t="s">
        <v>697</v>
      </c>
      <c r="F103" s="43" t="s">
        <v>2</v>
      </c>
      <c r="G103" s="6">
        <v>44698</v>
      </c>
      <c r="H103" s="6">
        <v>44826</v>
      </c>
      <c r="I103" s="7">
        <v>3606768</v>
      </c>
      <c r="J103" s="7">
        <v>0</v>
      </c>
      <c r="K103" s="7">
        <v>0</v>
      </c>
      <c r="L103" s="7">
        <v>0</v>
      </c>
      <c r="M103" s="7">
        <v>279104</v>
      </c>
      <c r="N103" s="7">
        <v>0</v>
      </c>
      <c r="O103" s="7">
        <f t="shared" si="12"/>
        <v>279104</v>
      </c>
      <c r="P103" s="7">
        <v>0</v>
      </c>
      <c r="Q103" s="7">
        <v>0</v>
      </c>
      <c r="R103" s="7">
        <v>0</v>
      </c>
      <c r="S103" s="7">
        <v>67156</v>
      </c>
      <c r="T103" s="7">
        <v>426827.02</v>
      </c>
      <c r="U103" s="7">
        <f t="shared" si="13"/>
        <v>493983.02</v>
      </c>
      <c r="V103" s="7">
        <f t="shared" si="14"/>
        <v>-214879.02000000002</v>
      </c>
      <c r="W103" s="7">
        <v>150497.51999999999</v>
      </c>
      <c r="X103" s="7">
        <v>0</v>
      </c>
      <c r="Y103" s="8">
        <f t="shared" si="15"/>
        <v>150497.51999999999</v>
      </c>
    </row>
    <row r="104" spans="1:25" x14ac:dyDescent="0.2">
      <c r="A104" s="42" t="s">
        <v>13</v>
      </c>
      <c r="B104" s="43" t="s">
        <v>14</v>
      </c>
      <c r="C104" s="43" t="s">
        <v>694</v>
      </c>
      <c r="D104" s="43" t="s">
        <v>658</v>
      </c>
      <c r="E104" s="43" t="s">
        <v>697</v>
      </c>
      <c r="F104" s="43" t="s">
        <v>2</v>
      </c>
      <c r="G104" s="6">
        <v>44698</v>
      </c>
      <c r="H104" s="6">
        <v>44830</v>
      </c>
      <c r="I104" s="7">
        <v>3821928</v>
      </c>
      <c r="J104" s="7">
        <v>73696</v>
      </c>
      <c r="K104" s="7">
        <v>0</v>
      </c>
      <c r="L104" s="7">
        <v>0</v>
      </c>
      <c r="M104" s="7">
        <v>188160</v>
      </c>
      <c r="N104" s="7">
        <v>0</v>
      </c>
      <c r="O104" s="7">
        <f t="shared" si="12"/>
        <v>261856</v>
      </c>
      <c r="P104" s="7">
        <v>43904</v>
      </c>
      <c r="Q104" s="7">
        <v>0</v>
      </c>
      <c r="R104" s="7">
        <v>0</v>
      </c>
      <c r="S104" s="7">
        <v>33613.800000000003</v>
      </c>
      <c r="T104" s="7">
        <v>330.5</v>
      </c>
      <c r="U104" s="7">
        <f t="shared" si="13"/>
        <v>77848.3</v>
      </c>
      <c r="V104" s="7">
        <f t="shared" si="14"/>
        <v>184007.7</v>
      </c>
      <c r="W104" s="7">
        <v>46.68</v>
      </c>
      <c r="X104" s="7">
        <v>0</v>
      </c>
      <c r="Y104" s="8">
        <f t="shared" si="15"/>
        <v>46.68</v>
      </c>
    </row>
    <row r="105" spans="1:25" x14ac:dyDescent="0.2">
      <c r="A105" s="42" t="s">
        <v>19</v>
      </c>
      <c r="B105" s="43" t="s">
        <v>20</v>
      </c>
      <c r="C105" s="43" t="s">
        <v>694</v>
      </c>
      <c r="D105" s="43" t="s">
        <v>658</v>
      </c>
      <c r="E105" s="43" t="s">
        <v>697</v>
      </c>
      <c r="F105" s="43" t="s">
        <v>2</v>
      </c>
      <c r="G105" s="6">
        <v>44698</v>
      </c>
      <c r="H105" s="6">
        <v>44830</v>
      </c>
      <c r="I105" s="7">
        <v>3795528</v>
      </c>
      <c r="J105" s="7">
        <v>0</v>
      </c>
      <c r="K105" s="7">
        <v>0</v>
      </c>
      <c r="L105" s="7">
        <v>0</v>
      </c>
      <c r="M105" s="7">
        <v>188160</v>
      </c>
      <c r="N105" s="7">
        <v>0</v>
      </c>
      <c r="O105" s="7">
        <f t="shared" si="12"/>
        <v>188160</v>
      </c>
      <c r="P105" s="7">
        <v>0</v>
      </c>
      <c r="Q105" s="7">
        <v>0</v>
      </c>
      <c r="R105" s="7">
        <v>0</v>
      </c>
      <c r="S105" s="7">
        <v>621344.22275058273</v>
      </c>
      <c r="T105" s="7">
        <v>37705.440000000002</v>
      </c>
      <c r="U105" s="7">
        <f t="shared" si="13"/>
        <v>659049.66275058268</v>
      </c>
      <c r="V105" s="7">
        <f t="shared" si="14"/>
        <v>-470889.66275058268</v>
      </c>
      <c r="W105" s="7">
        <v>0</v>
      </c>
      <c r="X105" s="7">
        <v>0</v>
      </c>
      <c r="Y105" s="8">
        <f t="shared" si="15"/>
        <v>0</v>
      </c>
    </row>
    <row r="106" spans="1:25" x14ac:dyDescent="0.2">
      <c r="A106" s="42" t="s">
        <v>21</v>
      </c>
      <c r="B106" s="43" t="s">
        <v>22</v>
      </c>
      <c r="C106" s="43" t="s">
        <v>694</v>
      </c>
      <c r="D106" s="43" t="s">
        <v>658</v>
      </c>
      <c r="E106" s="43" t="s">
        <v>697</v>
      </c>
      <c r="F106" s="43" t="s">
        <v>2</v>
      </c>
      <c r="G106" s="6">
        <v>44699</v>
      </c>
      <c r="H106" s="6">
        <v>44830</v>
      </c>
      <c r="I106" s="7">
        <v>5277486.9000000004</v>
      </c>
      <c r="J106" s="7">
        <v>0</v>
      </c>
      <c r="K106" s="7">
        <v>0</v>
      </c>
      <c r="L106" s="7">
        <v>0</v>
      </c>
      <c r="M106" s="7">
        <v>381416</v>
      </c>
      <c r="N106" s="7">
        <v>0</v>
      </c>
      <c r="O106" s="7">
        <f t="shared" si="12"/>
        <v>381416</v>
      </c>
      <c r="P106" s="7">
        <v>0</v>
      </c>
      <c r="Q106" s="7">
        <v>0</v>
      </c>
      <c r="R106" s="7">
        <v>0</v>
      </c>
      <c r="S106" s="7">
        <v>79656.37</v>
      </c>
      <c r="T106" s="7">
        <v>826.24</v>
      </c>
      <c r="U106" s="7">
        <f t="shared" si="13"/>
        <v>80482.61</v>
      </c>
      <c r="V106" s="7">
        <f t="shared" si="14"/>
        <v>300933.39</v>
      </c>
      <c r="W106" s="7">
        <v>28531.66</v>
      </c>
      <c r="X106" s="7">
        <v>7621.32</v>
      </c>
      <c r="Y106" s="8">
        <f t="shared" si="15"/>
        <v>36152.979999999996</v>
      </c>
    </row>
    <row r="107" spans="1:25" x14ac:dyDescent="0.2">
      <c r="A107" s="42" t="s">
        <v>15</v>
      </c>
      <c r="B107" s="43" t="s">
        <v>16</v>
      </c>
      <c r="C107" s="43" t="s">
        <v>694</v>
      </c>
      <c r="D107" s="43" t="s">
        <v>658</v>
      </c>
      <c r="E107" s="43" t="s">
        <v>697</v>
      </c>
      <c r="F107" s="43" t="s">
        <v>2</v>
      </c>
      <c r="G107" s="6">
        <v>44699</v>
      </c>
      <c r="H107" s="6">
        <v>44830</v>
      </c>
      <c r="I107" s="7">
        <v>3130529.6</v>
      </c>
      <c r="J107" s="7">
        <v>0</v>
      </c>
      <c r="K107" s="7">
        <v>0</v>
      </c>
      <c r="L107" s="7">
        <v>0</v>
      </c>
      <c r="M107" s="7">
        <v>188160</v>
      </c>
      <c r="N107" s="7">
        <v>0</v>
      </c>
      <c r="O107" s="7">
        <f t="shared" si="12"/>
        <v>188160</v>
      </c>
      <c r="P107" s="7">
        <v>0</v>
      </c>
      <c r="Q107" s="7">
        <v>0</v>
      </c>
      <c r="R107" s="7">
        <v>0</v>
      </c>
      <c r="S107" s="7">
        <v>118012.74</v>
      </c>
      <c r="T107" s="7">
        <v>2689.06</v>
      </c>
      <c r="U107" s="7">
        <f t="shared" si="13"/>
        <v>120701.8</v>
      </c>
      <c r="V107" s="7">
        <f t="shared" si="14"/>
        <v>67458.2</v>
      </c>
      <c r="W107" s="7">
        <v>3247.16</v>
      </c>
      <c r="X107" s="7">
        <v>0</v>
      </c>
      <c r="Y107" s="8">
        <f t="shared" si="15"/>
        <v>3247.16</v>
      </c>
    </row>
    <row r="108" spans="1:25" x14ac:dyDescent="0.2">
      <c r="A108" s="42" t="s">
        <v>398</v>
      </c>
      <c r="B108" s="43" t="s">
        <v>399</v>
      </c>
      <c r="C108" s="43" t="s">
        <v>694</v>
      </c>
      <c r="D108" s="43" t="s">
        <v>658</v>
      </c>
      <c r="E108" s="43" t="s">
        <v>696</v>
      </c>
      <c r="F108" s="43" t="s">
        <v>246</v>
      </c>
      <c r="G108" s="6">
        <v>44226</v>
      </c>
      <c r="H108" s="6">
        <v>43993</v>
      </c>
      <c r="I108" s="7">
        <v>0</v>
      </c>
      <c r="J108" s="7">
        <v>0</v>
      </c>
      <c r="K108" s="7">
        <v>0</v>
      </c>
      <c r="L108" s="7">
        <v>0</v>
      </c>
      <c r="M108" s="7">
        <v>0</v>
      </c>
      <c r="N108" s="7">
        <v>0</v>
      </c>
      <c r="O108" s="7">
        <f t="shared" si="12"/>
        <v>0</v>
      </c>
      <c r="P108" s="7">
        <v>0</v>
      </c>
      <c r="Q108" s="7">
        <v>0</v>
      </c>
      <c r="R108" s="7">
        <v>178818.16</v>
      </c>
      <c r="S108" s="7">
        <v>0</v>
      </c>
      <c r="T108" s="7">
        <v>0</v>
      </c>
      <c r="U108" s="7">
        <f t="shared" si="13"/>
        <v>178818.16</v>
      </c>
      <c r="V108" s="7">
        <f t="shared" si="14"/>
        <v>-178818.16</v>
      </c>
      <c r="W108" s="7">
        <v>4015.52</v>
      </c>
      <c r="X108" s="7">
        <v>0</v>
      </c>
      <c r="Y108" s="8">
        <f t="shared" si="15"/>
        <v>4015.52</v>
      </c>
    </row>
    <row r="109" spans="1:25" x14ac:dyDescent="0.2">
      <c r="A109" s="42" t="s">
        <v>201</v>
      </c>
      <c r="B109" s="43" t="s">
        <v>177</v>
      </c>
      <c r="C109" s="43" t="s">
        <v>694</v>
      </c>
      <c r="D109" s="43" t="s">
        <v>658</v>
      </c>
      <c r="E109" s="43" t="s">
        <v>697</v>
      </c>
      <c r="F109" s="43" t="s">
        <v>2</v>
      </c>
      <c r="G109" s="6">
        <v>44757</v>
      </c>
      <c r="H109" s="6"/>
      <c r="I109" s="7">
        <v>0</v>
      </c>
      <c r="J109" s="7">
        <v>0</v>
      </c>
      <c r="K109" s="7">
        <v>0</v>
      </c>
      <c r="L109" s="7">
        <v>0</v>
      </c>
      <c r="M109" s="7">
        <v>125440</v>
      </c>
      <c r="N109" s="7">
        <v>0</v>
      </c>
      <c r="O109" s="7">
        <f t="shared" si="12"/>
        <v>125440</v>
      </c>
      <c r="P109" s="7">
        <v>0</v>
      </c>
      <c r="Q109" s="7">
        <v>0</v>
      </c>
      <c r="R109" s="7">
        <v>0</v>
      </c>
      <c r="S109" s="7">
        <v>0</v>
      </c>
      <c r="T109" s="7">
        <v>0</v>
      </c>
      <c r="U109" s="7">
        <f t="shared" si="13"/>
        <v>0</v>
      </c>
      <c r="V109" s="7">
        <f t="shared" si="14"/>
        <v>125440</v>
      </c>
      <c r="W109" s="7">
        <v>0</v>
      </c>
      <c r="X109" s="7">
        <v>0</v>
      </c>
      <c r="Y109" s="8">
        <f t="shared" si="15"/>
        <v>0</v>
      </c>
    </row>
    <row r="110" spans="1:25" x14ac:dyDescent="0.2">
      <c r="A110" s="42" t="s">
        <v>522</v>
      </c>
      <c r="B110" s="43" t="s">
        <v>523</v>
      </c>
      <c r="C110" s="43" t="s">
        <v>694</v>
      </c>
      <c r="D110" s="43" t="s">
        <v>658</v>
      </c>
      <c r="E110" s="43" t="s">
        <v>697</v>
      </c>
      <c r="F110" s="43" t="s">
        <v>2</v>
      </c>
      <c r="G110" s="6">
        <v>44329</v>
      </c>
      <c r="H110" s="6">
        <v>44431</v>
      </c>
      <c r="I110" s="7">
        <v>7056473.5999999996</v>
      </c>
      <c r="J110" s="7">
        <v>0</v>
      </c>
      <c r="K110" s="7">
        <v>0</v>
      </c>
      <c r="L110" s="7">
        <v>4625.6000000000004</v>
      </c>
      <c r="M110" s="7">
        <v>46800</v>
      </c>
      <c r="N110" s="7">
        <v>0</v>
      </c>
      <c r="O110" s="7">
        <f t="shared" si="12"/>
        <v>51425.599999999999</v>
      </c>
      <c r="P110" s="7">
        <v>0</v>
      </c>
      <c r="Q110" s="7">
        <v>0</v>
      </c>
      <c r="R110" s="7">
        <v>0</v>
      </c>
      <c r="S110" s="7">
        <v>0</v>
      </c>
      <c r="T110" s="7">
        <v>42824.65</v>
      </c>
      <c r="U110" s="7">
        <f t="shared" si="13"/>
        <v>42824.65</v>
      </c>
      <c r="V110" s="7">
        <f t="shared" si="14"/>
        <v>8600.9499999999971</v>
      </c>
      <c r="W110" s="7">
        <v>0</v>
      </c>
      <c r="X110" s="7">
        <v>272.81</v>
      </c>
      <c r="Y110" s="8">
        <f t="shared" si="15"/>
        <v>272.81</v>
      </c>
    </row>
    <row r="111" spans="1:25" x14ac:dyDescent="0.2">
      <c r="A111" s="42" t="s">
        <v>257</v>
      </c>
      <c r="B111" s="43" t="s">
        <v>258</v>
      </c>
      <c r="C111" s="43" t="s">
        <v>694</v>
      </c>
      <c r="D111" s="43" t="s">
        <v>658</v>
      </c>
      <c r="E111" s="43" t="s">
        <v>697</v>
      </c>
      <c r="F111" s="43" t="s">
        <v>2</v>
      </c>
      <c r="G111" s="6">
        <v>44250</v>
      </c>
      <c r="H111" s="6">
        <v>44377</v>
      </c>
      <c r="I111" s="7">
        <v>90783</v>
      </c>
      <c r="J111" s="7">
        <v>0</v>
      </c>
      <c r="K111" s="7">
        <v>0</v>
      </c>
      <c r="L111" s="7">
        <v>0</v>
      </c>
      <c r="M111" s="7">
        <v>0</v>
      </c>
      <c r="N111" s="7">
        <v>0</v>
      </c>
      <c r="O111" s="7">
        <f t="shared" si="12"/>
        <v>0</v>
      </c>
      <c r="P111" s="7">
        <v>0</v>
      </c>
      <c r="Q111" s="7">
        <v>0</v>
      </c>
      <c r="R111" s="7">
        <v>0</v>
      </c>
      <c r="S111" s="7">
        <v>0</v>
      </c>
      <c r="T111" s="7">
        <v>4659.71</v>
      </c>
      <c r="U111" s="7">
        <f t="shared" si="13"/>
        <v>4659.71</v>
      </c>
      <c r="V111" s="7">
        <f t="shared" si="14"/>
        <v>-4659.71</v>
      </c>
      <c r="W111" s="7">
        <v>0</v>
      </c>
      <c r="X111" s="7">
        <v>0</v>
      </c>
      <c r="Y111" s="8">
        <f t="shared" si="15"/>
        <v>0</v>
      </c>
    </row>
    <row r="112" spans="1:25" x14ac:dyDescent="0.2">
      <c r="A112" s="42" t="s">
        <v>259</v>
      </c>
      <c r="B112" s="43" t="s">
        <v>260</v>
      </c>
      <c r="C112" s="43" t="s">
        <v>694</v>
      </c>
      <c r="D112" s="43" t="s">
        <v>658</v>
      </c>
      <c r="E112" s="43" t="s">
        <v>697</v>
      </c>
      <c r="F112" s="43" t="s">
        <v>2</v>
      </c>
      <c r="G112" s="6">
        <v>44329</v>
      </c>
      <c r="H112" s="6">
        <v>44390</v>
      </c>
      <c r="I112" s="7">
        <v>5467550</v>
      </c>
      <c r="J112" s="7">
        <v>247744</v>
      </c>
      <c r="K112" s="7">
        <v>0</v>
      </c>
      <c r="L112" s="7">
        <v>0</v>
      </c>
      <c r="M112" s="7">
        <v>0</v>
      </c>
      <c r="N112" s="7">
        <v>0</v>
      </c>
      <c r="O112" s="7">
        <f t="shared" si="12"/>
        <v>247744</v>
      </c>
      <c r="P112" s="7">
        <v>194432</v>
      </c>
      <c r="Q112" s="7">
        <v>0</v>
      </c>
      <c r="R112" s="7">
        <v>0</v>
      </c>
      <c r="S112" s="7">
        <v>4490.5</v>
      </c>
      <c r="T112" s="7">
        <v>0</v>
      </c>
      <c r="U112" s="7">
        <f t="shared" si="13"/>
        <v>198922.5</v>
      </c>
      <c r="V112" s="7">
        <f t="shared" si="14"/>
        <v>48821.5</v>
      </c>
      <c r="W112" s="7">
        <v>0</v>
      </c>
      <c r="X112" s="7">
        <v>0</v>
      </c>
      <c r="Y112" s="8">
        <f t="shared" si="15"/>
        <v>0</v>
      </c>
    </row>
    <row r="113" spans="1:25" x14ac:dyDescent="0.2">
      <c r="A113" s="42" t="s">
        <v>0</v>
      </c>
      <c r="B113" s="43" t="s">
        <v>1</v>
      </c>
      <c r="C113" s="43" t="s">
        <v>694</v>
      </c>
      <c r="D113" s="43" t="s">
        <v>658</v>
      </c>
      <c r="E113" s="43" t="s">
        <v>697</v>
      </c>
      <c r="F113" s="43" t="s">
        <v>2</v>
      </c>
      <c r="G113" s="6">
        <v>44698</v>
      </c>
      <c r="H113" s="6">
        <v>44838</v>
      </c>
      <c r="I113" s="7">
        <v>5222910</v>
      </c>
      <c r="J113" s="7">
        <v>94080</v>
      </c>
      <c r="K113" s="7">
        <v>0</v>
      </c>
      <c r="L113" s="7">
        <v>79340.800000000003</v>
      </c>
      <c r="M113" s="7">
        <v>0</v>
      </c>
      <c r="N113" s="7">
        <v>0</v>
      </c>
      <c r="O113" s="7">
        <f t="shared" si="12"/>
        <v>173420.79999999999</v>
      </c>
      <c r="P113" s="7">
        <v>47040</v>
      </c>
      <c r="Q113" s="7">
        <v>0</v>
      </c>
      <c r="R113" s="7">
        <v>6085.38</v>
      </c>
      <c r="S113" s="7">
        <v>142858.63</v>
      </c>
      <c r="T113" s="7">
        <v>49166.65</v>
      </c>
      <c r="U113" s="7">
        <f t="shared" si="13"/>
        <v>245150.66</v>
      </c>
      <c r="V113" s="7">
        <f t="shared" si="14"/>
        <v>-71729.860000000015</v>
      </c>
      <c r="W113" s="7">
        <v>36755.86</v>
      </c>
      <c r="X113" s="7">
        <v>0</v>
      </c>
      <c r="Y113" s="8">
        <f t="shared" si="15"/>
        <v>36755.86</v>
      </c>
    </row>
    <row r="114" spans="1:25" x14ac:dyDescent="0.2">
      <c r="A114" s="42" t="s">
        <v>247</v>
      </c>
      <c r="B114" s="43" t="s">
        <v>248</v>
      </c>
      <c r="C114" s="43" t="s">
        <v>694</v>
      </c>
      <c r="D114" s="43" t="s">
        <v>658</v>
      </c>
      <c r="E114" s="43" t="s">
        <v>696</v>
      </c>
      <c r="F114" s="43" t="s">
        <v>246</v>
      </c>
      <c r="G114" s="6">
        <v>44384</v>
      </c>
      <c r="H114" s="6">
        <v>44426</v>
      </c>
      <c r="I114" s="7">
        <v>805290</v>
      </c>
      <c r="J114" s="7">
        <v>0</v>
      </c>
      <c r="K114" s="7">
        <v>0</v>
      </c>
      <c r="L114" s="7">
        <v>375877.42</v>
      </c>
      <c r="M114" s="7">
        <v>199136</v>
      </c>
      <c r="N114" s="7">
        <v>0</v>
      </c>
      <c r="O114" s="7">
        <f t="shared" si="12"/>
        <v>575013.41999999993</v>
      </c>
      <c r="P114" s="7">
        <v>0</v>
      </c>
      <c r="Q114" s="7">
        <v>0</v>
      </c>
      <c r="R114" s="7">
        <v>12977.84</v>
      </c>
      <c r="S114" s="7">
        <v>1955.47</v>
      </c>
      <c r="T114" s="7">
        <v>457345.74</v>
      </c>
      <c r="U114" s="7">
        <f t="shared" si="13"/>
        <v>472279.05</v>
      </c>
      <c r="V114" s="7">
        <f t="shared" si="14"/>
        <v>102734.36999999994</v>
      </c>
      <c r="W114" s="7">
        <v>163378.76</v>
      </c>
      <c r="X114" s="7">
        <v>21968.21</v>
      </c>
      <c r="Y114" s="8">
        <f t="shared" si="15"/>
        <v>185346.97</v>
      </c>
    </row>
    <row r="115" spans="1:25" x14ac:dyDescent="0.2">
      <c r="A115" s="42" t="s">
        <v>261</v>
      </c>
      <c r="B115" s="43" t="s">
        <v>262</v>
      </c>
      <c r="C115" s="43" t="s">
        <v>694</v>
      </c>
      <c r="D115" s="43" t="s">
        <v>658</v>
      </c>
      <c r="E115" s="43" t="s">
        <v>697</v>
      </c>
      <c r="F115" s="43" t="s">
        <v>2</v>
      </c>
      <c r="G115" s="6">
        <v>44329</v>
      </c>
      <c r="H115" s="6">
        <v>44391</v>
      </c>
      <c r="I115" s="7">
        <v>11309113.199999999</v>
      </c>
      <c r="J115" s="7">
        <v>0</v>
      </c>
      <c r="K115" s="7">
        <v>0</v>
      </c>
      <c r="L115" s="7">
        <v>0</v>
      </c>
      <c r="M115" s="7">
        <v>0</v>
      </c>
      <c r="N115" s="7">
        <v>0</v>
      </c>
      <c r="O115" s="7">
        <f t="shared" si="12"/>
        <v>0</v>
      </c>
      <c r="P115" s="7">
        <v>0</v>
      </c>
      <c r="Q115" s="7">
        <v>0</v>
      </c>
      <c r="R115" s="7">
        <v>0</v>
      </c>
      <c r="S115" s="7">
        <v>11555.36</v>
      </c>
      <c r="T115" s="7">
        <v>9215.89</v>
      </c>
      <c r="U115" s="7">
        <f t="shared" si="13"/>
        <v>20771.25</v>
      </c>
      <c r="V115" s="7">
        <f t="shared" si="14"/>
        <v>-20771.25</v>
      </c>
      <c r="W115" s="7">
        <v>0</v>
      </c>
      <c r="X115" s="7">
        <v>0</v>
      </c>
      <c r="Y115" s="8">
        <f t="shared" si="15"/>
        <v>0</v>
      </c>
    </row>
    <row r="116" spans="1:25" x14ac:dyDescent="0.2">
      <c r="A116" s="42" t="s">
        <v>546</v>
      </c>
      <c r="B116" s="43" t="s">
        <v>547</v>
      </c>
      <c r="C116" s="43" t="s">
        <v>694</v>
      </c>
      <c r="D116" s="43" t="s">
        <v>658</v>
      </c>
      <c r="E116" s="43" t="s">
        <v>697</v>
      </c>
      <c r="F116" s="43" t="s">
        <v>2</v>
      </c>
      <c r="G116" s="6">
        <v>44446</v>
      </c>
      <c r="H116" s="6">
        <v>44649</v>
      </c>
      <c r="I116" s="7">
        <v>3011964</v>
      </c>
      <c r="J116" s="7">
        <v>3100570</v>
      </c>
      <c r="K116" s="7">
        <v>0</v>
      </c>
      <c r="L116" s="7">
        <v>0</v>
      </c>
      <c r="M116" s="7">
        <v>117000</v>
      </c>
      <c r="N116" s="7">
        <v>0</v>
      </c>
      <c r="O116" s="7">
        <f t="shared" si="12"/>
        <v>3217570</v>
      </c>
      <c r="P116" s="7">
        <v>2759179.28</v>
      </c>
      <c r="Q116" s="7">
        <v>0</v>
      </c>
      <c r="R116" s="7">
        <v>0</v>
      </c>
      <c r="S116" s="7">
        <v>834.05</v>
      </c>
      <c r="T116" s="7">
        <v>0</v>
      </c>
      <c r="U116" s="7">
        <f t="shared" si="13"/>
        <v>2760013.3299999996</v>
      </c>
      <c r="V116" s="7">
        <f t="shared" si="14"/>
        <v>457556.67000000039</v>
      </c>
      <c r="W116" s="7">
        <v>1356.45</v>
      </c>
      <c r="X116" s="7">
        <v>0</v>
      </c>
      <c r="Y116" s="8">
        <f t="shared" si="15"/>
        <v>1356.45</v>
      </c>
    </row>
    <row r="117" spans="1:25" x14ac:dyDescent="0.2">
      <c r="A117" s="42" t="s">
        <v>538</v>
      </c>
      <c r="B117" s="43" t="s">
        <v>539</v>
      </c>
      <c r="C117" s="43" t="s">
        <v>694</v>
      </c>
      <c r="D117" s="43" t="s">
        <v>658</v>
      </c>
      <c r="E117" s="43" t="s">
        <v>697</v>
      </c>
      <c r="F117" s="43" t="s">
        <v>2</v>
      </c>
      <c r="G117" s="6">
        <v>44446</v>
      </c>
      <c r="H117" s="6">
        <v>44581</v>
      </c>
      <c r="I117" s="7">
        <v>3011964</v>
      </c>
      <c r="J117" s="7">
        <v>3231648</v>
      </c>
      <c r="K117" s="7">
        <v>0</v>
      </c>
      <c r="L117" s="7">
        <v>0</v>
      </c>
      <c r="M117" s="7">
        <v>117000</v>
      </c>
      <c r="N117" s="7">
        <v>0</v>
      </c>
      <c r="O117" s="7">
        <f t="shared" si="12"/>
        <v>3348648</v>
      </c>
      <c r="P117" s="7">
        <v>2819953.92</v>
      </c>
      <c r="Q117" s="7">
        <v>0</v>
      </c>
      <c r="R117" s="7">
        <v>0</v>
      </c>
      <c r="S117" s="7">
        <v>34161.9</v>
      </c>
      <c r="T117" s="7">
        <v>160.54</v>
      </c>
      <c r="U117" s="7">
        <f t="shared" si="13"/>
        <v>2854276.36</v>
      </c>
      <c r="V117" s="7">
        <f t="shared" si="14"/>
        <v>494371.64000000013</v>
      </c>
      <c r="W117" s="7">
        <v>0</v>
      </c>
      <c r="X117" s="7">
        <v>0</v>
      </c>
      <c r="Y117" s="8">
        <f t="shared" si="15"/>
        <v>0</v>
      </c>
    </row>
    <row r="118" spans="1:25" x14ac:dyDescent="0.2">
      <c r="A118" s="42" t="s">
        <v>540</v>
      </c>
      <c r="B118" s="43" t="s">
        <v>541</v>
      </c>
      <c r="C118" s="43" t="s">
        <v>694</v>
      </c>
      <c r="D118" s="43" t="s">
        <v>658</v>
      </c>
      <c r="E118" s="43" t="s">
        <v>697</v>
      </c>
      <c r="F118" s="43" t="s">
        <v>2</v>
      </c>
      <c r="G118" s="6">
        <v>44329</v>
      </c>
      <c r="H118" s="6">
        <v>44391</v>
      </c>
      <c r="I118" s="7">
        <v>3547957.6</v>
      </c>
      <c r="J118" s="7">
        <v>0</v>
      </c>
      <c r="K118" s="7">
        <v>0</v>
      </c>
      <c r="L118" s="7">
        <v>53076.800000000003</v>
      </c>
      <c r="M118" s="7">
        <v>0</v>
      </c>
      <c r="N118" s="7">
        <v>0</v>
      </c>
      <c r="O118" s="7">
        <f t="shared" si="12"/>
        <v>53076.800000000003</v>
      </c>
      <c r="P118" s="7">
        <v>0</v>
      </c>
      <c r="Q118" s="7">
        <v>0</v>
      </c>
      <c r="R118" s="7">
        <v>0</v>
      </c>
      <c r="S118" s="7">
        <v>0</v>
      </c>
      <c r="T118" s="7">
        <v>0</v>
      </c>
      <c r="U118" s="7">
        <f t="shared" si="13"/>
        <v>0</v>
      </c>
      <c r="V118" s="7">
        <f t="shared" si="14"/>
        <v>53076.800000000003</v>
      </c>
      <c r="W118" s="7">
        <v>0</v>
      </c>
      <c r="X118" s="7">
        <v>0</v>
      </c>
      <c r="Y118" s="8">
        <f t="shared" si="15"/>
        <v>0</v>
      </c>
    </row>
    <row r="119" spans="1:25" x14ac:dyDescent="0.2">
      <c r="A119" s="42" t="s">
        <v>41</v>
      </c>
      <c r="B119" s="43" t="s">
        <v>42</v>
      </c>
      <c r="C119" s="43" t="s">
        <v>694</v>
      </c>
      <c r="D119" s="43" t="s">
        <v>658</v>
      </c>
      <c r="E119" s="43" t="s">
        <v>697</v>
      </c>
      <c r="F119" s="43" t="s">
        <v>2</v>
      </c>
      <c r="G119" s="6">
        <v>44371</v>
      </c>
      <c r="H119" s="6"/>
      <c r="I119" s="7">
        <v>3193960</v>
      </c>
      <c r="J119" s="7">
        <v>122931.2</v>
      </c>
      <c r="K119" s="7">
        <v>0</v>
      </c>
      <c r="L119" s="7">
        <v>0</v>
      </c>
      <c r="M119" s="7">
        <v>0</v>
      </c>
      <c r="N119" s="7">
        <v>0</v>
      </c>
      <c r="O119" s="7">
        <f t="shared" si="12"/>
        <v>122931.2</v>
      </c>
      <c r="P119" s="7">
        <v>60211.199999999997</v>
      </c>
      <c r="Q119" s="7">
        <v>0</v>
      </c>
      <c r="R119" s="7">
        <v>0</v>
      </c>
      <c r="S119" s="7">
        <v>7227.34</v>
      </c>
      <c r="T119" s="7">
        <v>0</v>
      </c>
      <c r="U119" s="7">
        <f t="shared" si="13"/>
        <v>67438.539999999994</v>
      </c>
      <c r="V119" s="7">
        <f t="shared" si="14"/>
        <v>55492.66</v>
      </c>
      <c r="W119" s="7">
        <v>0</v>
      </c>
      <c r="X119" s="7">
        <v>0</v>
      </c>
      <c r="Y119" s="8">
        <f t="shared" si="15"/>
        <v>0</v>
      </c>
    </row>
    <row r="120" spans="1:25" x14ac:dyDescent="0.2">
      <c r="A120" s="42" t="s">
        <v>518</v>
      </c>
      <c r="B120" s="43" t="s">
        <v>519</v>
      </c>
      <c r="C120" s="43" t="s">
        <v>694</v>
      </c>
      <c r="D120" s="43" t="s">
        <v>658</v>
      </c>
      <c r="E120" s="43" t="s">
        <v>697</v>
      </c>
      <c r="F120" s="43" t="s">
        <v>2</v>
      </c>
      <c r="G120" s="6">
        <v>44226</v>
      </c>
      <c r="H120" s="6">
        <v>44195</v>
      </c>
      <c r="I120" s="7">
        <v>0</v>
      </c>
      <c r="J120" s="7">
        <v>609180</v>
      </c>
      <c r="K120" s="7">
        <v>0</v>
      </c>
      <c r="L120" s="7">
        <v>0</v>
      </c>
      <c r="M120" s="7">
        <v>0</v>
      </c>
      <c r="N120" s="7">
        <v>0</v>
      </c>
      <c r="O120" s="7">
        <f t="shared" si="12"/>
        <v>609180</v>
      </c>
      <c r="P120" s="7">
        <v>452980</v>
      </c>
      <c r="Q120" s="7">
        <v>0</v>
      </c>
      <c r="R120" s="7">
        <v>0</v>
      </c>
      <c r="S120" s="7">
        <v>0</v>
      </c>
      <c r="T120" s="7">
        <v>0</v>
      </c>
      <c r="U120" s="7">
        <f t="shared" si="13"/>
        <v>452980</v>
      </c>
      <c r="V120" s="7">
        <f t="shared" si="14"/>
        <v>156200</v>
      </c>
      <c r="W120" s="7">
        <v>0</v>
      </c>
      <c r="X120" s="7">
        <v>0</v>
      </c>
      <c r="Y120" s="8">
        <f t="shared" si="15"/>
        <v>0</v>
      </c>
    </row>
    <row r="121" spans="1:25" x14ac:dyDescent="0.2">
      <c r="A121" s="42" t="s">
        <v>366</v>
      </c>
      <c r="B121" s="43" t="s">
        <v>367</v>
      </c>
      <c r="C121" s="43" t="s">
        <v>694</v>
      </c>
      <c r="D121" s="43" t="s">
        <v>658</v>
      </c>
      <c r="E121" s="43" t="s">
        <v>697</v>
      </c>
      <c r="F121" s="43" t="s">
        <v>2</v>
      </c>
      <c r="G121" s="6">
        <v>44226</v>
      </c>
      <c r="H121" s="6">
        <v>44336</v>
      </c>
      <c r="I121" s="7">
        <v>0</v>
      </c>
      <c r="J121" s="7">
        <v>130144</v>
      </c>
      <c r="K121" s="7">
        <v>0</v>
      </c>
      <c r="L121" s="7">
        <v>0</v>
      </c>
      <c r="M121" s="7">
        <v>0</v>
      </c>
      <c r="N121" s="7">
        <v>0</v>
      </c>
      <c r="O121" s="7">
        <f t="shared" si="12"/>
        <v>130144</v>
      </c>
      <c r="P121" s="7">
        <v>17248</v>
      </c>
      <c r="Q121" s="7">
        <v>0</v>
      </c>
      <c r="R121" s="7">
        <v>0</v>
      </c>
      <c r="S121" s="7">
        <v>12642.22</v>
      </c>
      <c r="T121" s="7">
        <v>0</v>
      </c>
      <c r="U121" s="7">
        <f t="shared" si="13"/>
        <v>29890.22</v>
      </c>
      <c r="V121" s="7">
        <f t="shared" si="14"/>
        <v>100253.78</v>
      </c>
      <c r="W121" s="7">
        <v>992289.45</v>
      </c>
      <c r="X121" s="7">
        <v>0</v>
      </c>
      <c r="Y121" s="8">
        <f t="shared" si="15"/>
        <v>992289.45</v>
      </c>
    </row>
    <row r="122" spans="1:25" x14ac:dyDescent="0.2">
      <c r="A122" s="42" t="s">
        <v>357</v>
      </c>
      <c r="B122" s="43" t="s">
        <v>358</v>
      </c>
      <c r="C122" s="43" t="s">
        <v>694</v>
      </c>
      <c r="D122" s="43" t="s">
        <v>658</v>
      </c>
      <c r="E122" s="43" t="s">
        <v>698</v>
      </c>
      <c r="F122" s="43" t="s">
        <v>359</v>
      </c>
      <c r="G122" s="6">
        <v>44226</v>
      </c>
      <c r="H122" s="6">
        <v>43350</v>
      </c>
      <c r="I122" s="7">
        <v>0</v>
      </c>
      <c r="J122" s="7">
        <v>0</v>
      </c>
      <c r="K122" s="7">
        <v>0</v>
      </c>
      <c r="L122" s="7">
        <v>0</v>
      </c>
      <c r="M122" s="7">
        <v>0</v>
      </c>
      <c r="N122" s="7">
        <v>0</v>
      </c>
      <c r="O122" s="7">
        <f t="shared" si="12"/>
        <v>0</v>
      </c>
      <c r="P122" s="7">
        <v>0</v>
      </c>
      <c r="Q122" s="7">
        <v>0</v>
      </c>
      <c r="R122" s="7">
        <v>0</v>
      </c>
      <c r="S122" s="7">
        <v>0</v>
      </c>
      <c r="T122" s="7">
        <v>0</v>
      </c>
      <c r="U122" s="7">
        <f t="shared" si="13"/>
        <v>0</v>
      </c>
      <c r="V122" s="7">
        <f t="shared" si="14"/>
        <v>0</v>
      </c>
      <c r="W122" s="7">
        <v>996.52</v>
      </c>
      <c r="X122" s="7">
        <v>0</v>
      </c>
      <c r="Y122" s="8">
        <f t="shared" si="15"/>
        <v>996.52</v>
      </c>
    </row>
    <row r="123" spans="1:25" x14ac:dyDescent="0.2">
      <c r="A123" s="42" t="s">
        <v>506</v>
      </c>
      <c r="B123" s="43" t="s">
        <v>507</v>
      </c>
      <c r="C123" s="43" t="s">
        <v>694</v>
      </c>
      <c r="D123" s="43" t="s">
        <v>658</v>
      </c>
      <c r="E123" s="43" t="s">
        <v>685</v>
      </c>
      <c r="F123" s="43" t="s">
        <v>91</v>
      </c>
      <c r="G123" s="6">
        <v>44226</v>
      </c>
      <c r="H123" s="6">
        <v>42373</v>
      </c>
      <c r="I123" s="7">
        <v>3262699</v>
      </c>
      <c r="J123" s="7">
        <v>1197705.6000000001</v>
      </c>
      <c r="K123" s="7">
        <v>0</v>
      </c>
      <c r="L123" s="7">
        <v>62563.199999999997</v>
      </c>
      <c r="M123" s="7">
        <v>123088</v>
      </c>
      <c r="N123" s="7">
        <v>0</v>
      </c>
      <c r="O123" s="7">
        <f t="shared" si="12"/>
        <v>1383356.8</v>
      </c>
      <c r="P123" s="7">
        <v>1247586.6000000001</v>
      </c>
      <c r="Q123" s="7">
        <v>0</v>
      </c>
      <c r="R123" s="7">
        <v>24222.39</v>
      </c>
      <c r="S123" s="7">
        <v>1423.81</v>
      </c>
      <c r="T123" s="7">
        <v>0</v>
      </c>
      <c r="U123" s="7">
        <f t="shared" si="13"/>
        <v>1273232.8</v>
      </c>
      <c r="V123" s="7">
        <f t="shared" si="14"/>
        <v>110124</v>
      </c>
      <c r="W123" s="7">
        <v>0</v>
      </c>
      <c r="X123" s="7">
        <v>0</v>
      </c>
      <c r="Y123" s="8">
        <f t="shared" si="15"/>
        <v>0</v>
      </c>
    </row>
    <row r="124" spans="1:25" x14ac:dyDescent="0.2">
      <c r="A124" s="42" t="s">
        <v>87</v>
      </c>
      <c r="B124" s="43" t="s">
        <v>88</v>
      </c>
      <c r="C124" s="43" t="s">
        <v>694</v>
      </c>
      <c r="D124" s="43" t="s">
        <v>658</v>
      </c>
      <c r="E124" s="43" t="s">
        <v>697</v>
      </c>
      <c r="F124" s="43" t="s">
        <v>2</v>
      </c>
      <c r="G124" s="6">
        <v>44578</v>
      </c>
      <c r="H124" s="6"/>
      <c r="I124" s="7">
        <v>511225</v>
      </c>
      <c r="J124" s="7">
        <v>501760</v>
      </c>
      <c r="K124" s="7">
        <v>0</v>
      </c>
      <c r="L124" s="7">
        <v>0</v>
      </c>
      <c r="M124" s="7">
        <v>58500</v>
      </c>
      <c r="N124" s="7">
        <v>0</v>
      </c>
      <c r="O124" s="7">
        <f t="shared" si="12"/>
        <v>560260</v>
      </c>
      <c r="P124" s="7">
        <v>447664</v>
      </c>
      <c r="Q124" s="7">
        <v>0</v>
      </c>
      <c r="R124" s="7">
        <v>0</v>
      </c>
      <c r="S124" s="7">
        <v>20190.490000000002</v>
      </c>
      <c r="T124" s="7">
        <v>35782.39</v>
      </c>
      <c r="U124" s="7">
        <f t="shared" si="13"/>
        <v>503636.88</v>
      </c>
      <c r="V124" s="7">
        <f t="shared" si="14"/>
        <v>56623.119999999995</v>
      </c>
      <c r="W124" s="7">
        <v>27046.53</v>
      </c>
      <c r="X124" s="7">
        <v>22514.49</v>
      </c>
      <c r="Y124" s="8">
        <f t="shared" si="15"/>
        <v>49561.020000000004</v>
      </c>
    </row>
    <row r="125" spans="1:25" x14ac:dyDescent="0.2">
      <c r="A125" s="42" t="s">
        <v>370</v>
      </c>
      <c r="B125" s="43" t="s">
        <v>371</v>
      </c>
      <c r="C125" s="43" t="s">
        <v>694</v>
      </c>
      <c r="D125" s="43" t="s">
        <v>658</v>
      </c>
      <c r="E125" s="43" t="s">
        <v>697</v>
      </c>
      <c r="F125" s="43" t="s">
        <v>2</v>
      </c>
      <c r="G125" s="6">
        <v>44226</v>
      </c>
      <c r="H125" s="6">
        <v>43754</v>
      </c>
      <c r="I125" s="7">
        <v>0</v>
      </c>
      <c r="J125" s="7">
        <v>47040</v>
      </c>
      <c r="K125" s="7">
        <v>0</v>
      </c>
      <c r="L125" s="7">
        <v>0</v>
      </c>
      <c r="M125" s="7">
        <v>0</v>
      </c>
      <c r="N125" s="7">
        <v>0</v>
      </c>
      <c r="O125" s="7">
        <f t="shared" si="12"/>
        <v>47040</v>
      </c>
      <c r="P125" s="7">
        <v>13328</v>
      </c>
      <c r="Q125" s="7">
        <v>0</v>
      </c>
      <c r="R125" s="7">
        <v>0</v>
      </c>
      <c r="S125" s="7">
        <v>0</v>
      </c>
      <c r="T125" s="7">
        <v>0</v>
      </c>
      <c r="U125" s="7">
        <f t="shared" si="13"/>
        <v>13328</v>
      </c>
      <c r="V125" s="7">
        <f t="shared" si="14"/>
        <v>33712</v>
      </c>
      <c r="W125" s="7">
        <v>0</v>
      </c>
      <c r="X125" s="7">
        <v>0</v>
      </c>
      <c r="Y125" s="8">
        <f t="shared" si="15"/>
        <v>0</v>
      </c>
    </row>
    <row r="126" spans="1:25" x14ac:dyDescent="0.2">
      <c r="A126" s="42" t="s">
        <v>76</v>
      </c>
      <c r="B126" s="43" t="s">
        <v>77</v>
      </c>
      <c r="C126" s="43" t="s">
        <v>694</v>
      </c>
      <c r="D126" s="43" t="s">
        <v>658</v>
      </c>
      <c r="E126" s="43" t="s">
        <v>697</v>
      </c>
      <c r="F126" s="43" t="s">
        <v>2</v>
      </c>
      <c r="G126" s="6">
        <v>44461</v>
      </c>
      <c r="H126" s="6"/>
      <c r="I126" s="7">
        <v>3526490</v>
      </c>
      <c r="J126" s="7">
        <v>2145937</v>
      </c>
      <c r="K126" s="7">
        <v>639600</v>
      </c>
      <c r="L126" s="7">
        <v>0</v>
      </c>
      <c r="M126" s="7">
        <v>210600</v>
      </c>
      <c r="N126" s="7">
        <v>0</v>
      </c>
      <c r="O126" s="7">
        <f t="shared" si="12"/>
        <v>2996137</v>
      </c>
      <c r="P126" s="7">
        <v>1798704.89</v>
      </c>
      <c r="Q126" s="7">
        <v>161805.04</v>
      </c>
      <c r="R126" s="7">
        <v>0</v>
      </c>
      <c r="S126" s="7">
        <v>130567.62</v>
      </c>
      <c r="T126" s="7">
        <v>23990.23</v>
      </c>
      <c r="U126" s="7">
        <f t="shared" si="13"/>
        <v>2115067.7799999998</v>
      </c>
      <c r="V126" s="7">
        <f t="shared" si="14"/>
        <v>881069.2200000002</v>
      </c>
      <c r="W126" s="7">
        <v>95198.39</v>
      </c>
      <c r="X126" s="7">
        <v>0</v>
      </c>
      <c r="Y126" s="8">
        <f t="shared" si="15"/>
        <v>95198.39</v>
      </c>
    </row>
    <row r="127" spans="1:25" x14ac:dyDescent="0.2">
      <c r="A127" s="42" t="s">
        <v>255</v>
      </c>
      <c r="B127" s="43" t="s">
        <v>256</v>
      </c>
      <c r="C127" s="43" t="s">
        <v>694</v>
      </c>
      <c r="D127" s="43" t="s">
        <v>658</v>
      </c>
      <c r="E127" s="43" t="s">
        <v>697</v>
      </c>
      <c r="F127" s="43" t="s">
        <v>2</v>
      </c>
      <c r="G127" s="6">
        <v>44228</v>
      </c>
      <c r="H127" s="6">
        <v>44313</v>
      </c>
      <c r="I127" s="7">
        <v>2689334</v>
      </c>
      <c r="J127" s="7">
        <v>167776</v>
      </c>
      <c r="K127" s="7">
        <v>120736</v>
      </c>
      <c r="L127" s="7">
        <v>0</v>
      </c>
      <c r="M127" s="7">
        <v>0</v>
      </c>
      <c r="N127" s="7">
        <v>0</v>
      </c>
      <c r="O127" s="7">
        <f t="shared" si="12"/>
        <v>288512</v>
      </c>
      <c r="P127" s="7">
        <v>233540.22</v>
      </c>
      <c r="Q127" s="7">
        <v>39343.67</v>
      </c>
      <c r="R127" s="7">
        <v>3198.17</v>
      </c>
      <c r="S127" s="7">
        <v>8074.97</v>
      </c>
      <c r="T127" s="7">
        <v>0</v>
      </c>
      <c r="U127" s="7">
        <f t="shared" si="13"/>
        <v>284157.02999999997</v>
      </c>
      <c r="V127" s="7">
        <f t="shared" si="14"/>
        <v>4354.9700000000303</v>
      </c>
      <c r="W127" s="7">
        <v>0</v>
      </c>
      <c r="X127" s="7">
        <v>0</v>
      </c>
      <c r="Y127" s="8">
        <f t="shared" si="15"/>
        <v>0</v>
      </c>
    </row>
    <row r="128" spans="1:25" x14ac:dyDescent="0.2">
      <c r="A128" s="42" t="s">
        <v>132</v>
      </c>
      <c r="B128" s="43" t="s">
        <v>133</v>
      </c>
      <c r="C128" s="43" t="s">
        <v>694</v>
      </c>
      <c r="D128" s="43" t="s">
        <v>658</v>
      </c>
      <c r="E128" s="43" t="s">
        <v>697</v>
      </c>
      <c r="F128" s="43" t="s">
        <v>2</v>
      </c>
      <c r="G128" s="6">
        <v>44623</v>
      </c>
      <c r="H128" s="6"/>
      <c r="I128" s="7">
        <v>1463116.6</v>
      </c>
      <c r="J128" s="7">
        <v>63974.400000000001</v>
      </c>
      <c r="K128" s="7">
        <v>160720</v>
      </c>
      <c r="L128" s="7">
        <v>0</v>
      </c>
      <c r="M128" s="7">
        <v>82320</v>
      </c>
      <c r="N128" s="7">
        <v>0</v>
      </c>
      <c r="O128" s="7">
        <f t="shared" si="12"/>
        <v>307014.40000000002</v>
      </c>
      <c r="P128" s="7">
        <v>30262.400000000001</v>
      </c>
      <c r="Q128" s="7">
        <v>38744.050000000003</v>
      </c>
      <c r="R128" s="7">
        <v>0</v>
      </c>
      <c r="S128" s="7">
        <v>32998.300000000003</v>
      </c>
      <c r="T128" s="7">
        <v>64672.44</v>
      </c>
      <c r="U128" s="7">
        <f t="shared" si="13"/>
        <v>166677.19</v>
      </c>
      <c r="V128" s="7">
        <f t="shared" si="14"/>
        <v>140337.21000000002</v>
      </c>
      <c r="W128" s="7">
        <v>171318.22</v>
      </c>
      <c r="X128" s="7">
        <v>0</v>
      </c>
      <c r="Y128" s="8">
        <f t="shared" si="15"/>
        <v>171318.22</v>
      </c>
    </row>
    <row r="129" spans="1:25" x14ac:dyDescent="0.2">
      <c r="A129" s="42" t="s">
        <v>502</v>
      </c>
      <c r="B129" s="43" t="s">
        <v>503</v>
      </c>
      <c r="C129" s="43" t="s">
        <v>694</v>
      </c>
      <c r="D129" s="43" t="s">
        <v>658</v>
      </c>
      <c r="E129" s="43" t="s">
        <v>685</v>
      </c>
      <c r="F129" s="43" t="s">
        <v>91</v>
      </c>
      <c r="G129" s="6">
        <v>44226</v>
      </c>
      <c r="H129" s="6">
        <v>42181</v>
      </c>
      <c r="I129" s="7">
        <v>0</v>
      </c>
      <c r="J129" s="7">
        <v>0</v>
      </c>
      <c r="K129" s="7">
        <v>0</v>
      </c>
      <c r="L129" s="7">
        <v>0</v>
      </c>
      <c r="M129" s="7">
        <v>0</v>
      </c>
      <c r="N129" s="7">
        <v>0</v>
      </c>
      <c r="O129" s="7">
        <f t="shared" si="12"/>
        <v>0</v>
      </c>
      <c r="P129" s="7">
        <v>0</v>
      </c>
      <c r="Q129" s="7">
        <v>0</v>
      </c>
      <c r="R129" s="7">
        <v>6142.69</v>
      </c>
      <c r="S129" s="7">
        <v>0</v>
      </c>
      <c r="T129" s="7">
        <v>0</v>
      </c>
      <c r="U129" s="7">
        <f t="shared" si="13"/>
        <v>6142.69</v>
      </c>
      <c r="V129" s="7">
        <f t="shared" si="14"/>
        <v>-6142.69</v>
      </c>
      <c r="W129" s="7">
        <v>0</v>
      </c>
      <c r="X129" s="7">
        <v>0</v>
      </c>
      <c r="Y129" s="8">
        <f t="shared" si="15"/>
        <v>0</v>
      </c>
    </row>
    <row r="130" spans="1:25" x14ac:dyDescent="0.2">
      <c r="A130" s="42" t="s">
        <v>427</v>
      </c>
      <c r="B130" s="43" t="s">
        <v>428</v>
      </c>
      <c r="C130" s="43" t="s">
        <v>694</v>
      </c>
      <c r="D130" s="43" t="s">
        <v>658</v>
      </c>
      <c r="E130" s="43" t="s">
        <v>684</v>
      </c>
      <c r="F130" s="43" t="s">
        <v>49</v>
      </c>
      <c r="G130" s="6">
        <v>44226</v>
      </c>
      <c r="H130" s="6">
        <v>43266</v>
      </c>
      <c r="I130" s="7">
        <v>0</v>
      </c>
      <c r="J130" s="7">
        <v>0</v>
      </c>
      <c r="K130" s="7">
        <v>0</v>
      </c>
      <c r="L130" s="7">
        <v>0</v>
      </c>
      <c r="M130" s="7">
        <v>0</v>
      </c>
      <c r="N130" s="7">
        <v>0</v>
      </c>
      <c r="O130" s="7">
        <f t="shared" si="12"/>
        <v>0</v>
      </c>
      <c r="P130" s="7">
        <v>0</v>
      </c>
      <c r="Q130" s="7">
        <v>0</v>
      </c>
      <c r="R130" s="7">
        <v>25377.95</v>
      </c>
      <c r="S130" s="7">
        <v>0</v>
      </c>
      <c r="T130" s="7">
        <v>0</v>
      </c>
      <c r="U130" s="7">
        <f t="shared" si="13"/>
        <v>25377.95</v>
      </c>
      <c r="V130" s="7">
        <f t="shared" si="14"/>
        <v>-25377.95</v>
      </c>
      <c r="W130" s="7">
        <v>0</v>
      </c>
      <c r="X130" s="7">
        <v>0</v>
      </c>
      <c r="Y130" s="8">
        <f t="shared" si="15"/>
        <v>0</v>
      </c>
    </row>
    <row r="131" spans="1:25" x14ac:dyDescent="0.2">
      <c r="A131" s="42" t="s">
        <v>411</v>
      </c>
      <c r="B131" s="43" t="s">
        <v>412</v>
      </c>
      <c r="C131" s="43" t="s">
        <v>694</v>
      </c>
      <c r="D131" s="43" t="s">
        <v>658</v>
      </c>
      <c r="E131" s="43" t="s">
        <v>685</v>
      </c>
      <c r="F131" s="43" t="s">
        <v>91</v>
      </c>
      <c r="G131" s="6">
        <v>44226</v>
      </c>
      <c r="H131" s="6">
        <v>44384</v>
      </c>
      <c r="I131" s="7">
        <v>1257685</v>
      </c>
      <c r="J131" s="7">
        <v>0</v>
      </c>
      <c r="K131" s="7">
        <v>0</v>
      </c>
      <c r="L131" s="7">
        <v>0</v>
      </c>
      <c r="M131" s="7">
        <v>0</v>
      </c>
      <c r="N131" s="7">
        <v>0</v>
      </c>
      <c r="O131" s="7">
        <f t="shared" si="12"/>
        <v>0</v>
      </c>
      <c r="P131" s="7">
        <v>0</v>
      </c>
      <c r="Q131" s="7">
        <v>0</v>
      </c>
      <c r="R131" s="7">
        <v>7648.42</v>
      </c>
      <c r="S131" s="7">
        <v>0</v>
      </c>
      <c r="T131" s="7">
        <v>10156.870000000001</v>
      </c>
      <c r="U131" s="7">
        <f t="shared" si="13"/>
        <v>17805.29</v>
      </c>
      <c r="V131" s="7">
        <f t="shared" si="14"/>
        <v>-17805.29</v>
      </c>
      <c r="W131" s="7">
        <v>0</v>
      </c>
      <c r="X131" s="7">
        <v>15743.84</v>
      </c>
      <c r="Y131" s="8">
        <f t="shared" si="15"/>
        <v>15743.84</v>
      </c>
    </row>
    <row r="132" spans="1:25" x14ac:dyDescent="0.2">
      <c r="A132" s="42" t="s">
        <v>315</v>
      </c>
      <c r="B132" s="43" t="s">
        <v>316</v>
      </c>
      <c r="C132" s="43" t="s">
        <v>694</v>
      </c>
      <c r="D132" s="43" t="s">
        <v>658</v>
      </c>
      <c r="E132" s="43" t="s">
        <v>692</v>
      </c>
      <c r="F132" s="43" t="s">
        <v>237</v>
      </c>
      <c r="G132" s="6">
        <v>44334</v>
      </c>
      <c r="H132" s="6">
        <v>43328</v>
      </c>
      <c r="I132" s="7">
        <v>2469500</v>
      </c>
      <c r="J132" s="7">
        <v>0</v>
      </c>
      <c r="K132" s="7">
        <v>0</v>
      </c>
      <c r="L132" s="7">
        <v>102175</v>
      </c>
      <c r="M132" s="7">
        <v>0</v>
      </c>
      <c r="N132" s="7">
        <v>0</v>
      </c>
      <c r="O132" s="7">
        <f t="shared" si="12"/>
        <v>102175</v>
      </c>
      <c r="P132" s="7">
        <v>0</v>
      </c>
      <c r="Q132" s="7">
        <v>0</v>
      </c>
      <c r="R132" s="7">
        <v>17081.82</v>
      </c>
      <c r="S132" s="7">
        <v>62375.81</v>
      </c>
      <c r="T132" s="7">
        <v>121244.47</v>
      </c>
      <c r="U132" s="7">
        <f t="shared" si="13"/>
        <v>200702.1</v>
      </c>
      <c r="V132" s="7">
        <f t="shared" si="14"/>
        <v>-98527.1</v>
      </c>
      <c r="W132" s="7">
        <v>22606.37</v>
      </c>
      <c r="X132" s="7">
        <v>0</v>
      </c>
      <c r="Y132" s="8">
        <f t="shared" si="15"/>
        <v>22606.37</v>
      </c>
    </row>
    <row r="133" spans="1:25" x14ac:dyDescent="0.2">
      <c r="A133" s="42" t="s">
        <v>394</v>
      </c>
      <c r="B133" s="43" t="s">
        <v>395</v>
      </c>
      <c r="C133" s="43" t="s">
        <v>694</v>
      </c>
      <c r="D133" s="43" t="s">
        <v>658</v>
      </c>
      <c r="E133" s="43" t="s">
        <v>696</v>
      </c>
      <c r="F133" s="43" t="s">
        <v>246</v>
      </c>
      <c r="G133" s="6">
        <v>44226</v>
      </c>
      <c r="H133" s="6">
        <v>44041</v>
      </c>
      <c r="I133" s="7">
        <v>0</v>
      </c>
      <c r="J133" s="7">
        <v>0</v>
      </c>
      <c r="K133" s="7">
        <v>0</v>
      </c>
      <c r="L133" s="7">
        <v>0</v>
      </c>
      <c r="M133" s="7">
        <v>0</v>
      </c>
      <c r="N133" s="7">
        <v>0</v>
      </c>
      <c r="O133" s="7">
        <f t="shared" si="12"/>
        <v>0</v>
      </c>
      <c r="P133" s="7">
        <v>0</v>
      </c>
      <c r="Q133" s="7">
        <v>0</v>
      </c>
      <c r="R133" s="7">
        <v>18929.11</v>
      </c>
      <c r="S133" s="7">
        <v>17543.75</v>
      </c>
      <c r="T133" s="7">
        <v>0</v>
      </c>
      <c r="U133" s="7">
        <f t="shared" si="13"/>
        <v>36472.86</v>
      </c>
      <c r="V133" s="7">
        <f t="shared" si="14"/>
        <v>-36472.86</v>
      </c>
      <c r="W133" s="7">
        <v>4755.3599999999997</v>
      </c>
      <c r="X133" s="7">
        <v>0</v>
      </c>
      <c r="Y133" s="8">
        <f t="shared" si="15"/>
        <v>4755.3599999999997</v>
      </c>
    </row>
    <row r="134" spans="1:25" x14ac:dyDescent="0.2">
      <c r="A134" s="42" t="s">
        <v>263</v>
      </c>
      <c r="B134" s="43" t="s">
        <v>131</v>
      </c>
      <c r="C134" s="43" t="s">
        <v>694</v>
      </c>
      <c r="D134" s="43" t="s">
        <v>658</v>
      </c>
      <c r="E134" s="43" t="s">
        <v>689</v>
      </c>
      <c r="F134" s="43" t="s">
        <v>264</v>
      </c>
      <c r="G134" s="6">
        <v>44226</v>
      </c>
      <c r="H134" s="6">
        <v>43976</v>
      </c>
      <c r="I134" s="7">
        <v>0</v>
      </c>
      <c r="J134" s="7">
        <v>0</v>
      </c>
      <c r="K134" s="7">
        <v>0</v>
      </c>
      <c r="L134" s="7">
        <v>0</v>
      </c>
      <c r="M134" s="7">
        <v>0</v>
      </c>
      <c r="N134" s="7">
        <v>0</v>
      </c>
      <c r="O134" s="7">
        <f t="shared" si="12"/>
        <v>0</v>
      </c>
      <c r="P134" s="7">
        <v>0</v>
      </c>
      <c r="Q134" s="7">
        <v>0</v>
      </c>
      <c r="R134" s="7">
        <v>19431.98</v>
      </c>
      <c r="S134" s="7">
        <v>0</v>
      </c>
      <c r="T134" s="7">
        <v>0</v>
      </c>
      <c r="U134" s="7">
        <f t="shared" si="13"/>
        <v>19431.98</v>
      </c>
      <c r="V134" s="7">
        <f t="shared" si="14"/>
        <v>-19431.98</v>
      </c>
      <c r="W134" s="7">
        <v>0</v>
      </c>
      <c r="X134" s="7">
        <v>0</v>
      </c>
      <c r="Y134" s="8">
        <f t="shared" si="15"/>
        <v>0</v>
      </c>
    </row>
    <row r="135" spans="1:25" x14ac:dyDescent="0.2">
      <c r="A135" s="42" t="s">
        <v>156</v>
      </c>
      <c r="B135" s="43" t="s">
        <v>157</v>
      </c>
      <c r="C135" s="43" t="s">
        <v>694</v>
      </c>
      <c r="D135" s="43" t="s">
        <v>658</v>
      </c>
      <c r="E135" s="43" t="s">
        <v>158</v>
      </c>
      <c r="F135" s="43" t="s">
        <v>159</v>
      </c>
      <c r="G135" s="6">
        <v>44629</v>
      </c>
      <c r="H135" s="6"/>
      <c r="I135" s="7">
        <v>904500</v>
      </c>
      <c r="J135" s="7">
        <v>0</v>
      </c>
      <c r="K135" s="7">
        <v>0</v>
      </c>
      <c r="L135" s="7">
        <v>0</v>
      </c>
      <c r="M135" s="7">
        <v>0</v>
      </c>
      <c r="N135" s="7">
        <v>0</v>
      </c>
      <c r="O135" s="7">
        <f t="shared" si="12"/>
        <v>0</v>
      </c>
      <c r="P135" s="7">
        <v>0</v>
      </c>
      <c r="Q135" s="7">
        <v>0</v>
      </c>
      <c r="R135" s="7">
        <v>0</v>
      </c>
      <c r="S135" s="7">
        <v>520.87</v>
      </c>
      <c r="T135" s="7">
        <v>69672.160000000003</v>
      </c>
      <c r="U135" s="7">
        <f t="shared" si="13"/>
        <v>70193.03</v>
      </c>
      <c r="V135" s="7">
        <f t="shared" si="14"/>
        <v>-70193.03</v>
      </c>
      <c r="W135" s="7">
        <v>62980.959999999999</v>
      </c>
      <c r="X135" s="7">
        <v>0</v>
      </c>
      <c r="Y135" s="8">
        <f t="shared" si="15"/>
        <v>62980.959999999999</v>
      </c>
    </row>
    <row r="136" spans="1:25" x14ac:dyDescent="0.2">
      <c r="A136" s="42" t="s">
        <v>17</v>
      </c>
      <c r="B136" s="43" t="s">
        <v>18</v>
      </c>
      <c r="C136" s="43" t="s">
        <v>694</v>
      </c>
      <c r="D136" s="43" t="s">
        <v>658</v>
      </c>
      <c r="E136" s="43" t="s">
        <v>697</v>
      </c>
      <c r="F136" s="43" t="s">
        <v>2</v>
      </c>
      <c r="G136" s="6">
        <v>44698</v>
      </c>
      <c r="H136" s="6"/>
      <c r="I136" s="7">
        <v>3911996</v>
      </c>
      <c r="J136" s="7">
        <v>0</v>
      </c>
      <c r="K136" s="7">
        <v>0</v>
      </c>
      <c r="L136" s="7">
        <v>0</v>
      </c>
      <c r="M136" s="7">
        <v>139552</v>
      </c>
      <c r="N136" s="7">
        <v>0</v>
      </c>
      <c r="O136" s="7">
        <f t="shared" si="12"/>
        <v>139552</v>
      </c>
      <c r="P136" s="7">
        <v>0</v>
      </c>
      <c r="Q136" s="7">
        <v>0</v>
      </c>
      <c r="R136" s="7">
        <v>0</v>
      </c>
      <c r="S136" s="7">
        <v>52703.12</v>
      </c>
      <c r="T136" s="7">
        <v>1506237.08</v>
      </c>
      <c r="U136" s="7">
        <f t="shared" si="13"/>
        <v>1558940.2000000002</v>
      </c>
      <c r="V136" s="7">
        <f t="shared" si="14"/>
        <v>-1419388.2000000002</v>
      </c>
      <c r="W136" s="7">
        <v>3667.72</v>
      </c>
      <c r="X136" s="7">
        <v>0</v>
      </c>
      <c r="Y136" s="8">
        <f t="shared" si="15"/>
        <v>3667.72</v>
      </c>
    </row>
    <row r="137" spans="1:25" x14ac:dyDescent="0.2">
      <c r="A137" s="42" t="s">
        <v>176</v>
      </c>
      <c r="B137" s="43" t="s">
        <v>177</v>
      </c>
      <c r="C137" s="43" t="s">
        <v>694</v>
      </c>
      <c r="D137" s="43" t="s">
        <v>658</v>
      </c>
      <c r="E137" s="43" t="s">
        <v>697</v>
      </c>
      <c r="F137" s="43" t="s">
        <v>2</v>
      </c>
      <c r="G137" s="6">
        <v>44698</v>
      </c>
      <c r="H137" s="6"/>
      <c r="I137" s="7">
        <v>2606630.4</v>
      </c>
      <c r="J137" s="7">
        <v>0</v>
      </c>
      <c r="K137" s="7">
        <v>0</v>
      </c>
      <c r="L137" s="7">
        <v>0</v>
      </c>
      <c r="M137" s="7">
        <v>0</v>
      </c>
      <c r="N137" s="7">
        <v>0</v>
      </c>
      <c r="O137" s="7">
        <f t="shared" si="12"/>
        <v>0</v>
      </c>
      <c r="P137" s="7">
        <v>0</v>
      </c>
      <c r="Q137" s="7">
        <v>0</v>
      </c>
      <c r="R137" s="7">
        <v>0</v>
      </c>
      <c r="S137" s="7">
        <v>33417.919999999998</v>
      </c>
      <c r="T137" s="7">
        <v>163944.94</v>
      </c>
      <c r="U137" s="7">
        <f t="shared" si="13"/>
        <v>197362.86</v>
      </c>
      <c r="V137" s="7">
        <f t="shared" si="14"/>
        <v>-197362.86</v>
      </c>
      <c r="W137" s="7">
        <v>4950.8</v>
      </c>
      <c r="X137" s="7">
        <v>0</v>
      </c>
      <c r="Y137" s="8">
        <f t="shared" si="15"/>
        <v>4950.8</v>
      </c>
    </row>
    <row r="138" spans="1:25" x14ac:dyDescent="0.2">
      <c r="A138" s="42" t="s">
        <v>174</v>
      </c>
      <c r="B138" s="43" t="s">
        <v>175</v>
      </c>
      <c r="C138" s="43" t="s">
        <v>694</v>
      </c>
      <c r="D138" s="43" t="s">
        <v>658</v>
      </c>
      <c r="E138" s="43" t="s">
        <v>685</v>
      </c>
      <c r="F138" s="43" t="s">
        <v>91</v>
      </c>
      <c r="G138" s="6">
        <v>44722</v>
      </c>
      <c r="H138" s="6"/>
      <c r="I138" s="7">
        <v>440000</v>
      </c>
      <c r="J138" s="7">
        <v>0</v>
      </c>
      <c r="K138" s="7">
        <v>0</v>
      </c>
      <c r="L138" s="7">
        <v>0</v>
      </c>
      <c r="M138" s="7">
        <v>0</v>
      </c>
      <c r="N138" s="7">
        <v>0</v>
      </c>
      <c r="O138" s="7">
        <f t="shared" si="12"/>
        <v>0</v>
      </c>
      <c r="P138" s="7">
        <v>0</v>
      </c>
      <c r="Q138" s="7">
        <v>0</v>
      </c>
      <c r="R138" s="7">
        <v>0</v>
      </c>
      <c r="S138" s="7">
        <v>0</v>
      </c>
      <c r="T138" s="7">
        <v>27647.8</v>
      </c>
      <c r="U138" s="7">
        <f t="shared" si="13"/>
        <v>27647.8</v>
      </c>
      <c r="V138" s="7">
        <f t="shared" si="14"/>
        <v>-27647.8</v>
      </c>
      <c r="W138" s="7">
        <v>0</v>
      </c>
      <c r="X138" s="7">
        <v>0</v>
      </c>
      <c r="Y138" s="8">
        <f t="shared" si="15"/>
        <v>0</v>
      </c>
    </row>
    <row r="139" spans="1:25" x14ac:dyDescent="0.2">
      <c r="A139" s="42" t="s">
        <v>100</v>
      </c>
      <c r="B139" s="43" t="s">
        <v>101</v>
      </c>
      <c r="C139" s="43" t="s">
        <v>694</v>
      </c>
      <c r="D139" s="43" t="s">
        <v>658</v>
      </c>
      <c r="E139" s="43" t="s">
        <v>685</v>
      </c>
      <c r="F139" s="43" t="s">
        <v>91</v>
      </c>
      <c r="G139" s="6">
        <v>44657</v>
      </c>
      <c r="H139" s="6"/>
      <c r="I139" s="7">
        <v>167200</v>
      </c>
      <c r="J139" s="7">
        <v>0</v>
      </c>
      <c r="K139" s="7">
        <v>0</v>
      </c>
      <c r="L139" s="7">
        <v>0</v>
      </c>
      <c r="M139" s="7">
        <v>0</v>
      </c>
      <c r="N139" s="7">
        <v>0</v>
      </c>
      <c r="O139" s="7">
        <f t="shared" si="12"/>
        <v>0</v>
      </c>
      <c r="P139" s="7">
        <v>0</v>
      </c>
      <c r="Q139" s="7">
        <v>0</v>
      </c>
      <c r="R139" s="7">
        <v>0</v>
      </c>
      <c r="S139" s="7">
        <v>0</v>
      </c>
      <c r="T139" s="7">
        <v>6457.78</v>
      </c>
      <c r="U139" s="7">
        <f t="shared" si="13"/>
        <v>6457.78</v>
      </c>
      <c r="V139" s="7">
        <f t="shared" si="14"/>
        <v>-6457.78</v>
      </c>
      <c r="W139" s="7">
        <v>0</v>
      </c>
      <c r="X139" s="7">
        <v>0</v>
      </c>
      <c r="Y139" s="8">
        <f t="shared" si="15"/>
        <v>0</v>
      </c>
    </row>
    <row r="140" spans="1:25" x14ac:dyDescent="0.2">
      <c r="A140" s="42" t="s">
        <v>376</v>
      </c>
      <c r="B140" s="43" t="s">
        <v>377</v>
      </c>
      <c r="C140" s="43" t="s">
        <v>699</v>
      </c>
      <c r="D140" s="43" t="s">
        <v>650</v>
      </c>
      <c r="E140" s="43" t="s">
        <v>700</v>
      </c>
      <c r="F140" s="43" t="s">
        <v>86</v>
      </c>
      <c r="G140" s="6">
        <v>44226</v>
      </c>
      <c r="H140" s="6">
        <v>44054</v>
      </c>
      <c r="I140" s="7">
        <v>0</v>
      </c>
      <c r="J140" s="7">
        <v>0</v>
      </c>
      <c r="K140" s="7">
        <v>0</v>
      </c>
      <c r="L140" s="7">
        <v>12105.26</v>
      </c>
      <c r="M140" s="7">
        <v>0</v>
      </c>
      <c r="N140" s="7">
        <v>0</v>
      </c>
      <c r="O140" s="7">
        <f>SUM(J140:N140)</f>
        <v>12105.26</v>
      </c>
      <c r="P140" s="7">
        <v>0</v>
      </c>
      <c r="Q140" s="7">
        <v>0</v>
      </c>
      <c r="R140" s="7">
        <v>10827.93</v>
      </c>
      <c r="S140" s="7">
        <v>0</v>
      </c>
      <c r="T140" s="7">
        <v>0</v>
      </c>
      <c r="U140" s="7">
        <f>SUM(P140:T140)</f>
        <v>10827.93</v>
      </c>
      <c r="V140" s="7">
        <f>O140-U140</f>
        <v>1277.33</v>
      </c>
      <c r="W140" s="7">
        <v>0</v>
      </c>
      <c r="X140" s="7">
        <v>2095.02</v>
      </c>
      <c r="Y140" s="8">
        <v>2095.02</v>
      </c>
    </row>
    <row r="141" spans="1:25" x14ac:dyDescent="0.2">
      <c r="A141" s="42" t="s">
        <v>384</v>
      </c>
      <c r="B141" s="43" t="s">
        <v>385</v>
      </c>
      <c r="C141" s="43" t="s">
        <v>699</v>
      </c>
      <c r="D141" s="43" t="s">
        <v>650</v>
      </c>
      <c r="E141" s="43" t="s">
        <v>700</v>
      </c>
      <c r="F141" s="43" t="s">
        <v>86</v>
      </c>
      <c r="G141" s="6">
        <v>44226</v>
      </c>
      <c r="H141" s="6">
        <v>43124</v>
      </c>
      <c r="I141" s="7">
        <v>0</v>
      </c>
      <c r="J141" s="7">
        <v>0</v>
      </c>
      <c r="K141" s="7">
        <v>0</v>
      </c>
      <c r="L141" s="7">
        <v>16071.43</v>
      </c>
      <c r="M141" s="7">
        <v>0</v>
      </c>
      <c r="N141" s="7">
        <v>0</v>
      </c>
      <c r="O141" s="7">
        <f t="shared" ref="O141:O161" si="16">SUM(J141:N141)</f>
        <v>16071.43</v>
      </c>
      <c r="P141" s="7">
        <v>0</v>
      </c>
      <c r="Q141" s="7">
        <v>0</v>
      </c>
      <c r="R141" s="7">
        <v>52745.4</v>
      </c>
      <c r="S141" s="7">
        <v>0</v>
      </c>
      <c r="T141" s="7">
        <v>-17.670000000000002</v>
      </c>
      <c r="U141" s="7">
        <f t="shared" ref="U141:U161" si="17">SUM(P141:T141)</f>
        <v>52727.73</v>
      </c>
      <c r="V141" s="7">
        <f t="shared" ref="V141:V161" si="18">O141-U141</f>
        <v>-36656.300000000003</v>
      </c>
      <c r="W141" s="7">
        <v>0</v>
      </c>
      <c r="X141" s="7">
        <v>5202.9799999999996</v>
      </c>
      <c r="Y141" s="8">
        <v>5202.9799999999996</v>
      </c>
    </row>
    <row r="142" spans="1:25" x14ac:dyDescent="0.2">
      <c r="A142" s="42" t="s">
        <v>386</v>
      </c>
      <c r="B142" s="43" t="s">
        <v>387</v>
      </c>
      <c r="C142" s="43" t="s">
        <v>699</v>
      </c>
      <c r="D142" s="43" t="s">
        <v>650</v>
      </c>
      <c r="E142" s="43" t="s">
        <v>700</v>
      </c>
      <c r="F142" s="43" t="s">
        <v>86</v>
      </c>
      <c r="G142" s="6">
        <v>44226</v>
      </c>
      <c r="H142" s="6">
        <v>43118</v>
      </c>
      <c r="I142" s="7">
        <v>0</v>
      </c>
      <c r="J142" s="7">
        <v>0</v>
      </c>
      <c r="K142" s="7">
        <v>0</v>
      </c>
      <c r="L142" s="7">
        <v>6392.57</v>
      </c>
      <c r="M142" s="7">
        <v>0</v>
      </c>
      <c r="N142" s="7">
        <v>0</v>
      </c>
      <c r="O142" s="7">
        <f t="shared" si="16"/>
        <v>6392.57</v>
      </c>
      <c r="P142" s="7">
        <v>0</v>
      </c>
      <c r="Q142" s="7">
        <v>0</v>
      </c>
      <c r="R142" s="7">
        <v>20008.830000000002</v>
      </c>
      <c r="S142" s="7">
        <v>0</v>
      </c>
      <c r="T142" s="7">
        <v>0</v>
      </c>
      <c r="U142" s="7">
        <f t="shared" si="17"/>
        <v>20008.830000000002</v>
      </c>
      <c r="V142" s="7">
        <f t="shared" si="18"/>
        <v>-13616.260000000002</v>
      </c>
      <c r="W142" s="7">
        <v>0</v>
      </c>
      <c r="X142" s="7">
        <v>4121.28</v>
      </c>
      <c r="Y142" s="8">
        <v>4121.28</v>
      </c>
    </row>
    <row r="143" spans="1:25" x14ac:dyDescent="0.2">
      <c r="A143" s="42" t="s">
        <v>390</v>
      </c>
      <c r="B143" s="43" t="s">
        <v>391</v>
      </c>
      <c r="C143" s="43" t="s">
        <v>699</v>
      </c>
      <c r="D143" s="43" t="s">
        <v>650</v>
      </c>
      <c r="E143" s="43" t="s">
        <v>700</v>
      </c>
      <c r="F143" s="43" t="s">
        <v>86</v>
      </c>
      <c r="G143" s="6">
        <v>44226</v>
      </c>
      <c r="H143" s="6">
        <v>42936</v>
      </c>
      <c r="I143" s="7">
        <v>0</v>
      </c>
      <c r="J143" s="7">
        <v>0</v>
      </c>
      <c r="K143" s="7">
        <v>0</v>
      </c>
      <c r="L143" s="7">
        <v>45621.78</v>
      </c>
      <c r="M143" s="7">
        <v>0</v>
      </c>
      <c r="N143" s="7">
        <v>0</v>
      </c>
      <c r="O143" s="7">
        <f t="shared" si="16"/>
        <v>45621.78</v>
      </c>
      <c r="P143" s="7">
        <v>0</v>
      </c>
      <c r="Q143" s="7">
        <v>0</v>
      </c>
      <c r="R143" s="7">
        <v>69074.070000000007</v>
      </c>
      <c r="S143" s="7">
        <v>0</v>
      </c>
      <c r="T143" s="7">
        <v>0</v>
      </c>
      <c r="U143" s="7">
        <f t="shared" si="17"/>
        <v>69074.070000000007</v>
      </c>
      <c r="V143" s="7">
        <f t="shared" si="18"/>
        <v>-23452.290000000008</v>
      </c>
      <c r="W143" s="7">
        <v>0</v>
      </c>
      <c r="X143" s="7">
        <v>9225.14</v>
      </c>
      <c r="Y143" s="8">
        <v>9225.14</v>
      </c>
    </row>
    <row r="144" spans="1:25" x14ac:dyDescent="0.2">
      <c r="A144" s="42" t="s">
        <v>388</v>
      </c>
      <c r="B144" s="43" t="s">
        <v>389</v>
      </c>
      <c r="C144" s="43" t="s">
        <v>699</v>
      </c>
      <c r="D144" s="43" t="s">
        <v>650</v>
      </c>
      <c r="E144" s="43" t="s">
        <v>700</v>
      </c>
      <c r="F144" s="43" t="s">
        <v>86</v>
      </c>
      <c r="G144" s="6">
        <v>44226</v>
      </c>
      <c r="H144" s="6">
        <v>42909</v>
      </c>
      <c r="I144" s="7">
        <v>1025400</v>
      </c>
      <c r="J144" s="7">
        <v>0</v>
      </c>
      <c r="K144" s="7">
        <v>0</v>
      </c>
      <c r="L144" s="7">
        <v>163524.42000000001</v>
      </c>
      <c r="M144" s="7">
        <v>0</v>
      </c>
      <c r="N144" s="7">
        <v>0</v>
      </c>
      <c r="O144" s="7">
        <f t="shared" si="16"/>
        <v>163524.42000000001</v>
      </c>
      <c r="P144" s="7">
        <v>0</v>
      </c>
      <c r="Q144" s="7">
        <v>0</v>
      </c>
      <c r="R144" s="7">
        <v>4281.1499999999996</v>
      </c>
      <c r="S144" s="7">
        <v>0</v>
      </c>
      <c r="T144" s="7">
        <v>17831.509999999998</v>
      </c>
      <c r="U144" s="7">
        <f t="shared" si="17"/>
        <v>22112.659999999996</v>
      </c>
      <c r="V144" s="7">
        <f t="shared" si="18"/>
        <v>141411.76</v>
      </c>
      <c r="W144" s="7">
        <v>4526.22</v>
      </c>
      <c r="X144" s="7">
        <v>27572.12</v>
      </c>
      <c r="Y144" s="8">
        <v>32098.34</v>
      </c>
    </row>
    <row r="145" spans="1:25" x14ac:dyDescent="0.2">
      <c r="A145" s="42" t="s">
        <v>251</v>
      </c>
      <c r="B145" s="43" t="s">
        <v>252</v>
      </c>
      <c r="C145" s="43" t="s">
        <v>699</v>
      </c>
      <c r="D145" s="43" t="s">
        <v>650</v>
      </c>
      <c r="E145" s="43" t="s">
        <v>700</v>
      </c>
      <c r="F145" s="43" t="s">
        <v>86</v>
      </c>
      <c r="G145" s="6">
        <v>44226</v>
      </c>
      <c r="H145" s="6">
        <v>42391</v>
      </c>
      <c r="I145" s="7">
        <v>0</v>
      </c>
      <c r="J145" s="7">
        <v>0</v>
      </c>
      <c r="K145" s="7">
        <v>0</v>
      </c>
      <c r="L145" s="7">
        <v>0</v>
      </c>
      <c r="M145" s="7">
        <v>0</v>
      </c>
      <c r="N145" s="7">
        <v>0</v>
      </c>
      <c r="O145" s="7">
        <f t="shared" si="16"/>
        <v>0</v>
      </c>
      <c r="P145" s="7">
        <v>0</v>
      </c>
      <c r="Q145" s="7">
        <v>0</v>
      </c>
      <c r="R145" s="7">
        <v>8686.83</v>
      </c>
      <c r="S145" s="7">
        <v>0</v>
      </c>
      <c r="T145" s="7">
        <v>0</v>
      </c>
      <c r="U145" s="7">
        <f t="shared" si="17"/>
        <v>8686.83</v>
      </c>
      <c r="V145" s="7">
        <f t="shared" si="18"/>
        <v>-8686.83</v>
      </c>
      <c r="W145" s="7">
        <v>0</v>
      </c>
      <c r="X145" s="7">
        <v>0</v>
      </c>
      <c r="Y145" s="8">
        <v>0</v>
      </c>
    </row>
    <row r="146" spans="1:25" x14ac:dyDescent="0.2">
      <c r="A146" s="42" t="s">
        <v>380</v>
      </c>
      <c r="B146" s="43" t="s">
        <v>381</v>
      </c>
      <c r="C146" s="43" t="s">
        <v>699</v>
      </c>
      <c r="D146" s="43" t="s">
        <v>650</v>
      </c>
      <c r="E146" s="43" t="s">
        <v>700</v>
      </c>
      <c r="F146" s="43" t="s">
        <v>86</v>
      </c>
      <c r="G146" s="6">
        <v>44226</v>
      </c>
      <c r="H146" s="6">
        <v>43420</v>
      </c>
      <c r="I146" s="7">
        <v>0</v>
      </c>
      <c r="J146" s="7">
        <v>0</v>
      </c>
      <c r="K146" s="7">
        <v>0</v>
      </c>
      <c r="L146" s="7">
        <v>0</v>
      </c>
      <c r="M146" s="7">
        <v>0</v>
      </c>
      <c r="N146" s="7">
        <v>0</v>
      </c>
      <c r="O146" s="7">
        <f t="shared" si="16"/>
        <v>0</v>
      </c>
      <c r="P146" s="7">
        <v>0</v>
      </c>
      <c r="Q146" s="7">
        <v>0</v>
      </c>
      <c r="R146" s="7">
        <v>1237.31</v>
      </c>
      <c r="S146" s="7">
        <v>0</v>
      </c>
      <c r="T146" s="7">
        <v>0</v>
      </c>
      <c r="U146" s="7">
        <f t="shared" si="17"/>
        <v>1237.31</v>
      </c>
      <c r="V146" s="7">
        <f t="shared" si="18"/>
        <v>-1237.31</v>
      </c>
      <c r="W146" s="7">
        <v>0</v>
      </c>
      <c r="X146" s="7">
        <v>0</v>
      </c>
      <c r="Y146" s="8">
        <v>0</v>
      </c>
    </row>
    <row r="147" spans="1:25" x14ac:dyDescent="0.2">
      <c r="A147" s="42" t="s">
        <v>374</v>
      </c>
      <c r="B147" s="43" t="s">
        <v>375</v>
      </c>
      <c r="C147" s="43" t="s">
        <v>699</v>
      </c>
      <c r="D147" s="43" t="s">
        <v>650</v>
      </c>
      <c r="E147" s="43" t="s">
        <v>700</v>
      </c>
      <c r="F147" s="43" t="s">
        <v>86</v>
      </c>
      <c r="G147" s="6">
        <v>44226</v>
      </c>
      <c r="H147" s="6">
        <v>44005</v>
      </c>
      <c r="I147" s="7">
        <v>0</v>
      </c>
      <c r="J147" s="7">
        <v>0</v>
      </c>
      <c r="K147" s="7">
        <v>0</v>
      </c>
      <c r="L147" s="7">
        <v>2225.4499999999998</v>
      </c>
      <c r="M147" s="7">
        <v>0</v>
      </c>
      <c r="N147" s="7">
        <v>0</v>
      </c>
      <c r="O147" s="7">
        <f t="shared" si="16"/>
        <v>2225.4499999999998</v>
      </c>
      <c r="P147" s="7">
        <v>0</v>
      </c>
      <c r="Q147" s="7">
        <v>0</v>
      </c>
      <c r="R147" s="7">
        <v>29747.39</v>
      </c>
      <c r="S147" s="7">
        <v>12998.13</v>
      </c>
      <c r="T147" s="7">
        <v>0</v>
      </c>
      <c r="U147" s="7">
        <f t="shared" si="17"/>
        <v>42745.52</v>
      </c>
      <c r="V147" s="7">
        <f t="shared" si="18"/>
        <v>-40520.07</v>
      </c>
      <c r="W147" s="7">
        <v>0</v>
      </c>
      <c r="X147" s="7">
        <v>3810.91</v>
      </c>
      <c r="Y147" s="8">
        <v>3810.91</v>
      </c>
    </row>
    <row r="148" spans="1:25" x14ac:dyDescent="0.2">
      <c r="A148" s="42" t="s">
        <v>382</v>
      </c>
      <c r="B148" s="43" t="s">
        <v>383</v>
      </c>
      <c r="C148" s="43" t="s">
        <v>699</v>
      </c>
      <c r="D148" s="43" t="s">
        <v>650</v>
      </c>
      <c r="E148" s="43" t="s">
        <v>700</v>
      </c>
      <c r="F148" s="43" t="s">
        <v>86</v>
      </c>
      <c r="G148" s="6">
        <v>44226</v>
      </c>
      <c r="H148" s="6">
        <v>43447</v>
      </c>
      <c r="I148" s="7">
        <v>0</v>
      </c>
      <c r="J148" s="7">
        <v>0</v>
      </c>
      <c r="K148" s="7">
        <v>0</v>
      </c>
      <c r="L148" s="7">
        <v>0</v>
      </c>
      <c r="M148" s="7">
        <v>0</v>
      </c>
      <c r="N148" s="7">
        <v>0</v>
      </c>
      <c r="O148" s="7">
        <f t="shared" si="16"/>
        <v>0</v>
      </c>
      <c r="P148" s="7">
        <v>0</v>
      </c>
      <c r="Q148" s="7">
        <v>0</v>
      </c>
      <c r="R148" s="7">
        <v>0</v>
      </c>
      <c r="S148" s="7">
        <v>0</v>
      </c>
      <c r="T148" s="7">
        <v>0</v>
      </c>
      <c r="U148" s="7">
        <f t="shared" si="17"/>
        <v>0</v>
      </c>
      <c r="V148" s="7">
        <f t="shared" si="18"/>
        <v>0</v>
      </c>
      <c r="W148" s="7">
        <v>0</v>
      </c>
      <c r="X148" s="7">
        <v>9.64</v>
      </c>
      <c r="Y148" s="8">
        <v>9.64</v>
      </c>
    </row>
    <row r="149" spans="1:25" x14ac:dyDescent="0.2">
      <c r="A149" s="42" t="s">
        <v>472</v>
      </c>
      <c r="B149" s="43" t="s">
        <v>473</v>
      </c>
      <c r="C149" s="43" t="s">
        <v>699</v>
      </c>
      <c r="D149" s="43" t="s">
        <v>650</v>
      </c>
      <c r="E149" s="43" t="s">
        <v>9</v>
      </c>
      <c r="F149" s="43" t="s">
        <v>10</v>
      </c>
      <c r="G149" s="6">
        <v>44226</v>
      </c>
      <c r="H149" s="6">
        <v>44249</v>
      </c>
      <c r="I149" s="7">
        <v>0</v>
      </c>
      <c r="J149" s="7">
        <v>648714.81999999995</v>
      </c>
      <c r="K149" s="7">
        <v>0</v>
      </c>
      <c r="L149" s="7">
        <v>0</v>
      </c>
      <c r="M149" s="7">
        <v>0</v>
      </c>
      <c r="N149" s="7">
        <v>0</v>
      </c>
      <c r="O149" s="7">
        <f t="shared" si="16"/>
        <v>648714.81999999995</v>
      </c>
      <c r="P149" s="7">
        <v>636474.9</v>
      </c>
      <c r="Q149" s="7">
        <v>0</v>
      </c>
      <c r="R149" s="7">
        <v>17584.11</v>
      </c>
      <c r="S149" s="7">
        <v>0</v>
      </c>
      <c r="T149" s="7">
        <v>0</v>
      </c>
      <c r="U149" s="7">
        <f t="shared" si="17"/>
        <v>654059.01</v>
      </c>
      <c r="V149" s="7">
        <f t="shared" si="18"/>
        <v>-5344.1900000000605</v>
      </c>
      <c r="W149" s="7">
        <v>0</v>
      </c>
      <c r="X149" s="7">
        <v>0</v>
      </c>
      <c r="Y149" s="8">
        <v>0</v>
      </c>
    </row>
    <row r="150" spans="1:25" x14ac:dyDescent="0.2">
      <c r="A150" s="42" t="s">
        <v>337</v>
      </c>
      <c r="B150" s="43" t="s">
        <v>338</v>
      </c>
      <c r="C150" s="43" t="s">
        <v>699</v>
      </c>
      <c r="D150" s="43" t="s">
        <v>650</v>
      </c>
      <c r="E150" s="43" t="s">
        <v>39</v>
      </c>
      <c r="F150" s="43" t="s">
        <v>40</v>
      </c>
      <c r="G150" s="6">
        <v>44226</v>
      </c>
      <c r="H150" s="6">
        <v>44362</v>
      </c>
      <c r="I150" s="7">
        <v>0</v>
      </c>
      <c r="J150" s="7">
        <v>23.43</v>
      </c>
      <c r="K150" s="7">
        <v>0</v>
      </c>
      <c r="L150" s="7">
        <v>0</v>
      </c>
      <c r="M150" s="7">
        <v>0</v>
      </c>
      <c r="N150" s="7">
        <v>0</v>
      </c>
      <c r="O150" s="7">
        <f t="shared" si="16"/>
        <v>23.43</v>
      </c>
      <c r="P150" s="7">
        <v>0</v>
      </c>
      <c r="Q150" s="7">
        <v>0</v>
      </c>
      <c r="R150" s="7">
        <v>11425.7</v>
      </c>
      <c r="S150" s="7">
        <v>3357.85</v>
      </c>
      <c r="T150" s="7">
        <v>19936.02</v>
      </c>
      <c r="U150" s="7">
        <f t="shared" si="17"/>
        <v>34719.57</v>
      </c>
      <c r="V150" s="7">
        <f t="shared" si="18"/>
        <v>-34696.14</v>
      </c>
      <c r="W150" s="7">
        <v>0</v>
      </c>
      <c r="X150" s="7">
        <v>7992.1</v>
      </c>
      <c r="Y150" s="8">
        <v>7992.1</v>
      </c>
    </row>
    <row r="151" spans="1:25" x14ac:dyDescent="0.2">
      <c r="A151" s="42" t="s">
        <v>566</v>
      </c>
      <c r="B151" s="43" t="s">
        <v>567</v>
      </c>
      <c r="C151" s="43" t="s">
        <v>699</v>
      </c>
      <c r="D151" s="43" t="s">
        <v>650</v>
      </c>
      <c r="E151" s="43" t="s">
        <v>568</v>
      </c>
      <c r="F151" s="43" t="s">
        <v>569</v>
      </c>
      <c r="G151" s="6">
        <v>44226</v>
      </c>
      <c r="H151" s="6">
        <v>44088</v>
      </c>
      <c r="I151" s="7">
        <v>0</v>
      </c>
      <c r="J151" s="7">
        <v>2868305.14</v>
      </c>
      <c r="K151" s="7">
        <v>0</v>
      </c>
      <c r="L151" s="7">
        <v>0</v>
      </c>
      <c r="M151" s="7">
        <v>0</v>
      </c>
      <c r="N151" s="7">
        <v>0</v>
      </c>
      <c r="O151" s="7">
        <f t="shared" si="16"/>
        <v>2868305.14</v>
      </c>
      <c r="P151" s="7">
        <v>4391955.9400000004</v>
      </c>
      <c r="Q151" s="7">
        <v>0</v>
      </c>
      <c r="R151" s="7">
        <v>0</v>
      </c>
      <c r="S151" s="7">
        <v>79235.95</v>
      </c>
      <c r="T151" s="7">
        <v>43813.89</v>
      </c>
      <c r="U151" s="7">
        <f t="shared" si="17"/>
        <v>4515005.78</v>
      </c>
      <c r="V151" s="7">
        <f t="shared" si="18"/>
        <v>-1646700.6400000001</v>
      </c>
      <c r="W151" s="7">
        <v>3856.47</v>
      </c>
      <c r="X151" s="7">
        <v>45544.55</v>
      </c>
      <c r="Y151" s="8">
        <v>49401.02</v>
      </c>
    </row>
    <row r="152" spans="1:25" x14ac:dyDescent="0.2">
      <c r="A152" s="42" t="s">
        <v>378</v>
      </c>
      <c r="B152" s="43" t="s">
        <v>379</v>
      </c>
      <c r="C152" s="43" t="s">
        <v>699</v>
      </c>
      <c r="D152" s="43" t="s">
        <v>650</v>
      </c>
      <c r="E152" s="43" t="s">
        <v>700</v>
      </c>
      <c r="F152" s="43" t="s">
        <v>86</v>
      </c>
      <c r="G152" s="6">
        <v>44226</v>
      </c>
      <c r="H152" s="6">
        <v>43817</v>
      </c>
      <c r="I152" s="7">
        <v>0</v>
      </c>
      <c r="J152" s="7">
        <v>0</v>
      </c>
      <c r="K152" s="7">
        <v>0</v>
      </c>
      <c r="L152" s="7">
        <v>0</v>
      </c>
      <c r="M152" s="7">
        <v>0</v>
      </c>
      <c r="N152" s="7">
        <v>0</v>
      </c>
      <c r="O152" s="7">
        <f t="shared" si="16"/>
        <v>0</v>
      </c>
      <c r="P152" s="7">
        <v>0</v>
      </c>
      <c r="Q152" s="7">
        <v>0</v>
      </c>
      <c r="R152" s="7">
        <v>13116.42</v>
      </c>
      <c r="S152" s="7">
        <v>0</v>
      </c>
      <c r="T152" s="7">
        <v>0</v>
      </c>
      <c r="U152" s="7">
        <f t="shared" si="17"/>
        <v>13116.42</v>
      </c>
      <c r="V152" s="7">
        <f t="shared" si="18"/>
        <v>-13116.42</v>
      </c>
      <c r="W152" s="7">
        <v>0</v>
      </c>
      <c r="X152" s="7">
        <v>0</v>
      </c>
      <c r="Y152" s="8">
        <v>0</v>
      </c>
    </row>
    <row r="153" spans="1:25" x14ac:dyDescent="0.2">
      <c r="A153" s="42" t="s">
        <v>249</v>
      </c>
      <c r="B153" s="43" t="s">
        <v>250</v>
      </c>
      <c r="C153" s="43" t="s">
        <v>699</v>
      </c>
      <c r="D153" s="43" t="s">
        <v>650</v>
      </c>
      <c r="E153" s="43" t="s">
        <v>700</v>
      </c>
      <c r="F153" s="43" t="s">
        <v>86</v>
      </c>
      <c r="G153" s="6">
        <v>44226</v>
      </c>
      <c r="H153" s="6">
        <v>42472</v>
      </c>
      <c r="I153" s="7">
        <v>0</v>
      </c>
      <c r="J153" s="7">
        <v>0</v>
      </c>
      <c r="K153" s="7">
        <v>0</v>
      </c>
      <c r="L153" s="7">
        <v>0</v>
      </c>
      <c r="M153" s="7">
        <v>0</v>
      </c>
      <c r="N153" s="7">
        <v>0</v>
      </c>
      <c r="O153" s="7">
        <f t="shared" si="16"/>
        <v>0</v>
      </c>
      <c r="P153" s="7">
        <v>0</v>
      </c>
      <c r="Q153" s="7">
        <v>0</v>
      </c>
      <c r="R153" s="7">
        <v>4934.57</v>
      </c>
      <c r="S153" s="7">
        <v>0</v>
      </c>
      <c r="T153" s="7">
        <v>0</v>
      </c>
      <c r="U153" s="7">
        <f t="shared" si="17"/>
        <v>4934.57</v>
      </c>
      <c r="V153" s="7">
        <f t="shared" si="18"/>
        <v>-4934.57</v>
      </c>
      <c r="W153" s="7">
        <v>0</v>
      </c>
      <c r="X153" s="7">
        <v>0</v>
      </c>
      <c r="Y153" s="8">
        <v>0</v>
      </c>
    </row>
    <row r="154" spans="1:25" x14ac:dyDescent="0.2">
      <c r="A154" s="42" t="s">
        <v>37</v>
      </c>
      <c r="B154" s="43" t="s">
        <v>38</v>
      </c>
      <c r="C154" s="43" t="s">
        <v>699</v>
      </c>
      <c r="D154" s="43" t="s">
        <v>650</v>
      </c>
      <c r="E154" s="43" t="s">
        <v>39</v>
      </c>
      <c r="F154" s="43" t="s">
        <v>40</v>
      </c>
      <c r="G154" s="6">
        <v>44446</v>
      </c>
      <c r="H154" s="6"/>
      <c r="I154" s="7">
        <v>2096100</v>
      </c>
      <c r="J154" s="7">
        <v>0</v>
      </c>
      <c r="K154" s="7">
        <v>0</v>
      </c>
      <c r="L154" s="7">
        <v>0</v>
      </c>
      <c r="M154" s="7">
        <v>0</v>
      </c>
      <c r="N154" s="7">
        <v>0</v>
      </c>
      <c r="O154" s="7">
        <f t="shared" si="16"/>
        <v>0</v>
      </c>
      <c r="P154" s="7">
        <v>0</v>
      </c>
      <c r="Q154" s="7">
        <v>0</v>
      </c>
      <c r="R154" s="7">
        <v>0</v>
      </c>
      <c r="S154" s="7">
        <v>14329.63</v>
      </c>
      <c r="T154" s="7">
        <v>47774.32</v>
      </c>
      <c r="U154" s="7">
        <f t="shared" si="17"/>
        <v>62103.95</v>
      </c>
      <c r="V154" s="7">
        <f t="shared" si="18"/>
        <v>-62103.95</v>
      </c>
      <c r="W154" s="7">
        <v>0</v>
      </c>
      <c r="X154" s="7">
        <v>0</v>
      </c>
      <c r="Y154" s="8">
        <v>0</v>
      </c>
    </row>
    <row r="155" spans="1:25" x14ac:dyDescent="0.2">
      <c r="A155" s="42" t="s">
        <v>372</v>
      </c>
      <c r="B155" s="43" t="s">
        <v>373</v>
      </c>
      <c r="C155" s="43" t="s">
        <v>699</v>
      </c>
      <c r="D155" s="43" t="s">
        <v>650</v>
      </c>
      <c r="E155" s="43" t="s">
        <v>700</v>
      </c>
      <c r="F155" s="43" t="s">
        <v>86</v>
      </c>
      <c r="G155" s="6">
        <v>44226</v>
      </c>
      <c r="H155" s="6">
        <v>44252</v>
      </c>
      <c r="I155" s="7">
        <v>99000</v>
      </c>
      <c r="J155" s="7">
        <v>0</v>
      </c>
      <c r="K155" s="7">
        <v>0</v>
      </c>
      <c r="L155" s="7">
        <v>0</v>
      </c>
      <c r="M155" s="7">
        <v>0</v>
      </c>
      <c r="N155" s="7">
        <v>0</v>
      </c>
      <c r="O155" s="7">
        <f t="shared" si="16"/>
        <v>0</v>
      </c>
      <c r="P155" s="7">
        <v>0</v>
      </c>
      <c r="Q155" s="7">
        <v>0</v>
      </c>
      <c r="R155" s="7">
        <v>85643.38</v>
      </c>
      <c r="S155" s="7">
        <v>1029.02</v>
      </c>
      <c r="T155" s="7">
        <v>0</v>
      </c>
      <c r="U155" s="7">
        <f t="shared" si="17"/>
        <v>86672.400000000009</v>
      </c>
      <c r="V155" s="7">
        <f t="shared" si="18"/>
        <v>-86672.400000000009</v>
      </c>
      <c r="W155" s="7">
        <v>0</v>
      </c>
      <c r="X155" s="7">
        <v>10424.76</v>
      </c>
      <c r="Y155" s="8">
        <v>10424.76</v>
      </c>
    </row>
    <row r="156" spans="1:25" x14ac:dyDescent="0.2">
      <c r="A156" s="42" t="s">
        <v>126</v>
      </c>
      <c r="B156" s="43" t="s">
        <v>127</v>
      </c>
      <c r="C156" s="43" t="s">
        <v>699</v>
      </c>
      <c r="D156" s="43" t="s">
        <v>650</v>
      </c>
      <c r="E156" s="43" t="s">
        <v>700</v>
      </c>
      <c r="F156" s="43" t="s">
        <v>86</v>
      </c>
      <c r="G156" s="6">
        <v>44516</v>
      </c>
      <c r="H156" s="6"/>
      <c r="I156" s="7">
        <v>3671300</v>
      </c>
      <c r="J156" s="7">
        <v>0</v>
      </c>
      <c r="K156" s="7">
        <v>0</v>
      </c>
      <c r="L156" s="7">
        <v>187618.99</v>
      </c>
      <c r="M156" s="7">
        <v>0</v>
      </c>
      <c r="N156" s="7">
        <v>0</v>
      </c>
      <c r="O156" s="7">
        <f t="shared" si="16"/>
        <v>187618.99</v>
      </c>
      <c r="P156" s="7">
        <v>0</v>
      </c>
      <c r="Q156" s="7">
        <v>0</v>
      </c>
      <c r="R156" s="7">
        <v>0</v>
      </c>
      <c r="S156" s="7">
        <v>53238.15</v>
      </c>
      <c r="T156" s="7">
        <v>83899.95</v>
      </c>
      <c r="U156" s="7">
        <f t="shared" si="17"/>
        <v>137138.1</v>
      </c>
      <c r="V156" s="7">
        <f t="shared" si="18"/>
        <v>50480.889999999985</v>
      </c>
      <c r="W156" s="7">
        <v>0</v>
      </c>
      <c r="X156" s="7">
        <v>0</v>
      </c>
      <c r="Y156" s="8">
        <v>0</v>
      </c>
    </row>
    <row r="157" spans="1:25" x14ac:dyDescent="0.2">
      <c r="A157" s="42" t="s">
        <v>220</v>
      </c>
      <c r="B157" s="43" t="s">
        <v>221</v>
      </c>
      <c r="C157" s="43" t="s">
        <v>699</v>
      </c>
      <c r="D157" s="43" t="s">
        <v>650</v>
      </c>
      <c r="E157" s="43" t="s">
        <v>9</v>
      </c>
      <c r="F157" s="43" t="s">
        <v>10</v>
      </c>
      <c r="G157" s="6">
        <v>44226</v>
      </c>
      <c r="H157" s="6">
        <v>44195</v>
      </c>
      <c r="I157" s="7">
        <v>1071400</v>
      </c>
      <c r="J157" s="7">
        <v>2376419.52</v>
      </c>
      <c r="K157" s="7">
        <v>0</v>
      </c>
      <c r="L157" s="7">
        <v>0</v>
      </c>
      <c r="M157" s="7">
        <v>0</v>
      </c>
      <c r="N157" s="7">
        <v>0</v>
      </c>
      <c r="O157" s="7">
        <f t="shared" si="16"/>
        <v>2376419.52</v>
      </c>
      <c r="P157" s="7">
        <v>2354756.7599999998</v>
      </c>
      <c r="Q157" s="7">
        <v>0</v>
      </c>
      <c r="R157" s="7">
        <v>0</v>
      </c>
      <c r="S157" s="7">
        <v>8581.3700000000008</v>
      </c>
      <c r="T157" s="7">
        <v>0</v>
      </c>
      <c r="U157" s="7">
        <f t="shared" si="17"/>
        <v>2363338.13</v>
      </c>
      <c r="V157" s="7">
        <f t="shared" si="18"/>
        <v>13081.39000000013</v>
      </c>
      <c r="W157" s="7">
        <v>9185.06</v>
      </c>
      <c r="X157" s="7">
        <v>0</v>
      </c>
      <c r="Y157" s="8">
        <v>9185.06</v>
      </c>
    </row>
    <row r="158" spans="1:25" x14ac:dyDescent="0.2">
      <c r="A158" s="42" t="s">
        <v>253</v>
      </c>
      <c r="B158" s="43" t="s">
        <v>254</v>
      </c>
      <c r="C158" s="43" t="s">
        <v>699</v>
      </c>
      <c r="D158" s="43" t="s">
        <v>650</v>
      </c>
      <c r="E158" s="43" t="s">
        <v>700</v>
      </c>
      <c r="F158" s="43" t="s">
        <v>86</v>
      </c>
      <c r="G158" s="6">
        <v>44302</v>
      </c>
      <c r="H158" s="6">
        <v>44364</v>
      </c>
      <c r="I158" s="7">
        <v>523426.2</v>
      </c>
      <c r="J158" s="7">
        <v>548883</v>
      </c>
      <c r="K158" s="7">
        <v>0</v>
      </c>
      <c r="L158" s="7">
        <v>25000</v>
      </c>
      <c r="M158" s="7">
        <v>0</v>
      </c>
      <c r="N158" s="7">
        <v>0</v>
      </c>
      <c r="O158" s="7">
        <f t="shared" si="16"/>
        <v>573883</v>
      </c>
      <c r="P158" s="7">
        <v>509733</v>
      </c>
      <c r="Q158" s="7">
        <v>0</v>
      </c>
      <c r="R158" s="7">
        <v>0</v>
      </c>
      <c r="S158" s="7">
        <v>0</v>
      </c>
      <c r="T158" s="7">
        <v>10381.57</v>
      </c>
      <c r="U158" s="7">
        <f t="shared" si="17"/>
        <v>520114.57</v>
      </c>
      <c r="V158" s="7">
        <f t="shared" si="18"/>
        <v>53768.429999999993</v>
      </c>
      <c r="W158" s="7">
        <v>0</v>
      </c>
      <c r="X158" s="7">
        <v>0</v>
      </c>
      <c r="Y158" s="8">
        <v>0</v>
      </c>
    </row>
    <row r="159" spans="1:25" x14ac:dyDescent="0.2">
      <c r="A159" s="42" t="s">
        <v>7</v>
      </c>
      <c r="B159" s="43" t="s">
        <v>8</v>
      </c>
      <c r="C159" s="43" t="s">
        <v>699</v>
      </c>
      <c r="D159" s="43" t="s">
        <v>650</v>
      </c>
      <c r="E159" s="43" t="s">
        <v>9</v>
      </c>
      <c r="F159" s="43" t="s">
        <v>10</v>
      </c>
      <c r="G159" s="6">
        <v>44616</v>
      </c>
      <c r="H159" s="6">
        <v>44848</v>
      </c>
      <c r="I159" s="7">
        <v>583000</v>
      </c>
      <c r="J159" s="7">
        <v>0</v>
      </c>
      <c r="K159" s="7">
        <v>0</v>
      </c>
      <c r="L159" s="7">
        <v>0</v>
      </c>
      <c r="M159" s="7">
        <v>0</v>
      </c>
      <c r="N159" s="7">
        <v>0</v>
      </c>
      <c r="O159" s="7">
        <f t="shared" si="16"/>
        <v>0</v>
      </c>
      <c r="P159" s="7">
        <v>0</v>
      </c>
      <c r="Q159" s="7">
        <v>0</v>
      </c>
      <c r="R159" s="7">
        <v>0</v>
      </c>
      <c r="S159" s="7">
        <v>6775.28</v>
      </c>
      <c r="T159" s="7">
        <v>5094.4799999999996</v>
      </c>
      <c r="U159" s="7">
        <f t="shared" si="17"/>
        <v>11869.759999999998</v>
      </c>
      <c r="V159" s="7">
        <f t="shared" si="18"/>
        <v>-11869.759999999998</v>
      </c>
      <c r="W159" s="7">
        <v>1547.12</v>
      </c>
      <c r="X159" s="7">
        <v>0</v>
      </c>
      <c r="Y159" s="8">
        <v>1547.12</v>
      </c>
    </row>
    <row r="160" spans="1:25" x14ac:dyDescent="0.2">
      <c r="A160" s="42" t="s">
        <v>140</v>
      </c>
      <c r="B160" s="43" t="s">
        <v>141</v>
      </c>
      <c r="C160" s="43" t="s">
        <v>699</v>
      </c>
      <c r="D160" s="43" t="s">
        <v>650</v>
      </c>
      <c r="E160" s="43" t="s">
        <v>700</v>
      </c>
      <c r="F160" s="43" t="s">
        <v>86</v>
      </c>
      <c r="G160" s="6">
        <v>44706</v>
      </c>
      <c r="H160" s="6"/>
      <c r="I160" s="7">
        <v>1581228</v>
      </c>
      <c r="J160" s="7">
        <v>0</v>
      </c>
      <c r="K160" s="7">
        <v>0</v>
      </c>
      <c r="L160" s="7">
        <v>0</v>
      </c>
      <c r="M160" s="7">
        <v>0</v>
      </c>
      <c r="N160" s="7">
        <v>0</v>
      </c>
      <c r="O160" s="7">
        <f t="shared" si="16"/>
        <v>0</v>
      </c>
      <c r="P160" s="7">
        <v>0</v>
      </c>
      <c r="Q160" s="7">
        <v>0</v>
      </c>
      <c r="R160" s="7">
        <v>0</v>
      </c>
      <c r="S160" s="7">
        <v>3982.3</v>
      </c>
      <c r="T160" s="7">
        <v>18679.419999999998</v>
      </c>
      <c r="U160" s="7">
        <f t="shared" si="17"/>
        <v>22661.719999999998</v>
      </c>
      <c r="V160" s="7">
        <f t="shared" si="18"/>
        <v>-22661.719999999998</v>
      </c>
      <c r="W160" s="7">
        <v>0</v>
      </c>
      <c r="X160" s="7">
        <v>0</v>
      </c>
      <c r="Y160" s="8">
        <v>0</v>
      </c>
    </row>
    <row r="161" spans="1:25" x14ac:dyDescent="0.2">
      <c r="A161" s="42" t="s">
        <v>438</v>
      </c>
      <c r="B161" s="43" t="s">
        <v>439</v>
      </c>
      <c r="C161" s="43" t="s">
        <v>699</v>
      </c>
      <c r="D161" s="43" t="s">
        <v>650</v>
      </c>
      <c r="E161" s="43" t="s">
        <v>35</v>
      </c>
      <c r="F161" s="43" t="s">
        <v>36</v>
      </c>
      <c r="G161" s="6">
        <v>44226</v>
      </c>
      <c r="H161" s="6">
        <v>44125</v>
      </c>
      <c r="I161" s="7">
        <v>0</v>
      </c>
      <c r="J161" s="7">
        <v>0</v>
      </c>
      <c r="K161" s="7">
        <v>0</v>
      </c>
      <c r="L161" s="7">
        <v>0</v>
      </c>
      <c r="M161" s="7">
        <v>0</v>
      </c>
      <c r="N161" s="7">
        <v>0</v>
      </c>
      <c r="O161" s="7">
        <f t="shared" si="16"/>
        <v>0</v>
      </c>
      <c r="P161" s="7">
        <v>0</v>
      </c>
      <c r="Q161" s="7">
        <v>0</v>
      </c>
      <c r="R161" s="7">
        <v>0</v>
      </c>
      <c r="S161" s="7">
        <v>8665.42</v>
      </c>
      <c r="T161" s="7">
        <v>0</v>
      </c>
      <c r="U161" s="7">
        <f t="shared" si="17"/>
        <v>8665.42</v>
      </c>
      <c r="V161" s="7">
        <f t="shared" si="18"/>
        <v>-8665.42</v>
      </c>
      <c r="W161" s="7">
        <v>0</v>
      </c>
      <c r="X161" s="7">
        <v>0</v>
      </c>
      <c r="Y161" s="8">
        <v>0</v>
      </c>
    </row>
    <row r="162" spans="1:25" x14ac:dyDescent="0.2">
      <c r="A162" s="42" t="s">
        <v>220</v>
      </c>
      <c r="B162" s="43" t="s">
        <v>221</v>
      </c>
      <c r="C162" s="43" t="s">
        <v>652</v>
      </c>
      <c r="D162" s="43" t="s">
        <v>653</v>
      </c>
      <c r="E162" s="43" t="s">
        <v>9</v>
      </c>
      <c r="F162" s="43" t="s">
        <v>10</v>
      </c>
      <c r="G162" s="6">
        <v>44226</v>
      </c>
      <c r="H162" s="6">
        <v>44195</v>
      </c>
      <c r="I162" s="7">
        <v>1071400</v>
      </c>
      <c r="J162" s="7">
        <v>0</v>
      </c>
      <c r="K162" s="7">
        <v>0</v>
      </c>
      <c r="L162" s="7">
        <v>0</v>
      </c>
      <c r="M162" s="7">
        <v>0</v>
      </c>
      <c r="N162" s="7">
        <v>0</v>
      </c>
      <c r="O162" s="7">
        <f>SUM(J162:N162)</f>
        <v>0</v>
      </c>
      <c r="P162" s="7">
        <v>0</v>
      </c>
      <c r="Q162" s="7">
        <v>0</v>
      </c>
      <c r="R162" s="7">
        <v>0</v>
      </c>
      <c r="S162" s="7">
        <v>0</v>
      </c>
      <c r="T162" s="7">
        <v>8575.1</v>
      </c>
      <c r="U162" s="7">
        <f>SUM(P162:T162)</f>
        <v>8575.1</v>
      </c>
      <c r="V162" s="7">
        <f>O162-U162</f>
        <v>-8575.1</v>
      </c>
      <c r="W162" s="7">
        <v>0</v>
      </c>
      <c r="X162" s="7">
        <v>1402.17</v>
      </c>
      <c r="Y162" s="8">
        <f>X162+W162</f>
        <v>1402.17</v>
      </c>
    </row>
    <row r="163" spans="1:25" x14ac:dyDescent="0.2">
      <c r="A163" s="42" t="s">
        <v>7</v>
      </c>
      <c r="B163" s="43" t="s">
        <v>8</v>
      </c>
      <c r="C163" s="43" t="s">
        <v>652</v>
      </c>
      <c r="D163" s="43" t="s">
        <v>653</v>
      </c>
      <c r="E163" s="43" t="s">
        <v>9</v>
      </c>
      <c r="F163" s="43" t="s">
        <v>10</v>
      </c>
      <c r="G163" s="6">
        <v>44616</v>
      </c>
      <c r="H163" s="6">
        <v>44848</v>
      </c>
      <c r="I163" s="7">
        <v>583000</v>
      </c>
      <c r="J163" s="7">
        <v>0</v>
      </c>
      <c r="K163" s="7">
        <v>0</v>
      </c>
      <c r="L163" s="7">
        <v>0</v>
      </c>
      <c r="M163" s="7">
        <v>0</v>
      </c>
      <c r="N163" s="7">
        <v>0</v>
      </c>
      <c r="O163" s="7">
        <f>SUM(J163:N163)</f>
        <v>0</v>
      </c>
      <c r="P163" s="7">
        <v>0</v>
      </c>
      <c r="Q163" s="7">
        <v>0</v>
      </c>
      <c r="R163" s="7">
        <v>0</v>
      </c>
      <c r="S163" s="7">
        <v>0</v>
      </c>
      <c r="T163" s="7">
        <v>27348.23</v>
      </c>
      <c r="U163" s="7">
        <f>SUM(P163:T163)</f>
        <v>27348.23</v>
      </c>
      <c r="V163" s="7">
        <f>O163-U163</f>
        <v>-27348.23</v>
      </c>
      <c r="W163" s="7">
        <v>0</v>
      </c>
      <c r="X163" s="7">
        <v>0</v>
      </c>
      <c r="Y163" s="8">
        <f>X163+W163</f>
        <v>0</v>
      </c>
    </row>
    <row r="164" spans="1:25" x14ac:dyDescent="0.2">
      <c r="A164" s="42" t="s">
        <v>333</v>
      </c>
      <c r="B164" s="43" t="s">
        <v>334</v>
      </c>
      <c r="C164" s="43" t="s">
        <v>609</v>
      </c>
      <c r="D164" s="43" t="s">
        <v>610</v>
      </c>
      <c r="E164" s="49" t="s">
        <v>62</v>
      </c>
      <c r="F164" s="43" t="s">
        <v>63</v>
      </c>
      <c r="G164" s="6">
        <v>44588</v>
      </c>
      <c r="H164" s="6">
        <v>44791</v>
      </c>
      <c r="I164" s="7">
        <v>5429070</v>
      </c>
      <c r="J164" s="7">
        <v>0</v>
      </c>
      <c r="K164" s="7">
        <v>0</v>
      </c>
      <c r="L164" s="7">
        <v>13068.39</v>
      </c>
      <c r="M164" s="7">
        <v>0</v>
      </c>
      <c r="N164" s="7">
        <v>0</v>
      </c>
      <c r="O164" s="7">
        <f>SUM(J164:N164)</f>
        <v>13068.39</v>
      </c>
      <c r="P164" s="7">
        <v>0</v>
      </c>
      <c r="Q164" s="7">
        <v>0</v>
      </c>
      <c r="R164" s="7">
        <v>30749.8</v>
      </c>
      <c r="S164" s="7">
        <v>415523.8</v>
      </c>
      <c r="T164" s="7">
        <v>369040.71</v>
      </c>
      <c r="U164" s="7">
        <f>SUM(P164:T164)</f>
        <v>815314.31</v>
      </c>
      <c r="V164" s="7">
        <v>-802245.92</v>
      </c>
      <c r="W164" s="7">
        <v>38150.03</v>
      </c>
      <c r="X164" s="7">
        <v>0</v>
      </c>
      <c r="Y164" s="8">
        <v>38150.03</v>
      </c>
    </row>
    <row r="165" spans="1:25" x14ac:dyDescent="0.2">
      <c r="A165" s="42" t="s">
        <v>84</v>
      </c>
      <c r="B165" s="43" t="s">
        <v>85</v>
      </c>
      <c r="C165" s="43" t="s">
        <v>609</v>
      </c>
      <c r="D165" s="43" t="s">
        <v>610</v>
      </c>
      <c r="E165" s="49">
        <v>438</v>
      </c>
      <c r="F165" s="43" t="s">
        <v>86</v>
      </c>
      <c r="G165" s="6">
        <v>44615</v>
      </c>
      <c r="H165" s="6"/>
      <c r="I165" s="7">
        <v>40000</v>
      </c>
      <c r="J165" s="7">
        <v>0</v>
      </c>
      <c r="K165" s="7">
        <v>0</v>
      </c>
      <c r="L165" s="7">
        <v>0</v>
      </c>
      <c r="M165" s="7">
        <v>0</v>
      </c>
      <c r="N165" s="7">
        <v>0</v>
      </c>
      <c r="O165" s="7">
        <f t="shared" ref="O165:O203" si="19">SUM(J165:N165)</f>
        <v>0</v>
      </c>
      <c r="P165" s="7">
        <v>0</v>
      </c>
      <c r="Q165" s="7">
        <v>0</v>
      </c>
      <c r="R165" s="7">
        <v>0</v>
      </c>
      <c r="S165" s="7">
        <v>5420.22</v>
      </c>
      <c r="T165" s="7">
        <v>2492.52</v>
      </c>
      <c r="U165" s="7">
        <f t="shared" ref="U165:U228" si="20">SUM(P165:T165)</f>
        <v>7912.74</v>
      </c>
      <c r="V165" s="7">
        <v>-7912.74</v>
      </c>
      <c r="W165" s="7">
        <v>0</v>
      </c>
      <c r="X165" s="7">
        <v>0</v>
      </c>
      <c r="Y165" s="8">
        <v>0</v>
      </c>
    </row>
    <row r="166" spans="1:25" x14ac:dyDescent="0.2">
      <c r="A166" s="42" t="s">
        <v>534</v>
      </c>
      <c r="B166" s="43" t="s">
        <v>535</v>
      </c>
      <c r="C166" s="43" t="s">
        <v>609</v>
      </c>
      <c r="D166" s="43" t="s">
        <v>610</v>
      </c>
      <c r="E166" s="49" t="s">
        <v>158</v>
      </c>
      <c r="F166" s="43" t="s">
        <v>159</v>
      </c>
      <c r="G166" s="6">
        <v>44226</v>
      </c>
      <c r="H166" s="6">
        <v>44103</v>
      </c>
      <c r="I166" s="7">
        <v>0</v>
      </c>
      <c r="J166" s="7">
        <v>0</v>
      </c>
      <c r="K166" s="7">
        <v>0</v>
      </c>
      <c r="L166" s="7">
        <v>0</v>
      </c>
      <c r="M166" s="7">
        <v>0</v>
      </c>
      <c r="N166" s="7">
        <v>0</v>
      </c>
      <c r="O166" s="7">
        <f t="shared" si="19"/>
        <v>0</v>
      </c>
      <c r="P166" s="7">
        <v>0</v>
      </c>
      <c r="Q166" s="7">
        <v>0</v>
      </c>
      <c r="R166" s="7">
        <v>0</v>
      </c>
      <c r="S166" s="7">
        <v>11236.43</v>
      </c>
      <c r="T166" s="7">
        <v>0</v>
      </c>
      <c r="U166" s="7">
        <f t="shared" si="20"/>
        <v>11236.43</v>
      </c>
      <c r="V166" s="7">
        <v>-11236.43</v>
      </c>
      <c r="W166" s="7">
        <v>1298.6199999999999</v>
      </c>
      <c r="X166" s="7">
        <v>13786.9</v>
      </c>
      <c r="Y166" s="8">
        <v>15085.52</v>
      </c>
    </row>
    <row r="167" spans="1:25" x14ac:dyDescent="0.2">
      <c r="A167" s="42" t="s">
        <v>106</v>
      </c>
      <c r="B167" s="43" t="s">
        <v>107</v>
      </c>
      <c r="C167" s="43" t="s">
        <v>609</v>
      </c>
      <c r="D167" s="43" t="s">
        <v>610</v>
      </c>
      <c r="E167" s="49" t="s">
        <v>108</v>
      </c>
      <c r="F167" s="43" t="s">
        <v>109</v>
      </c>
      <c r="G167" s="6">
        <v>44678</v>
      </c>
      <c r="H167" s="6"/>
      <c r="I167" s="7">
        <v>1350200</v>
      </c>
      <c r="J167" s="7">
        <v>5644.8</v>
      </c>
      <c r="K167" s="7">
        <v>0</v>
      </c>
      <c r="L167" s="7">
        <v>181223.72</v>
      </c>
      <c r="M167" s="7">
        <v>0</v>
      </c>
      <c r="N167" s="7">
        <v>0</v>
      </c>
      <c r="O167" s="7">
        <f t="shared" si="19"/>
        <v>186868.52</v>
      </c>
      <c r="P167" s="7">
        <v>3919.38</v>
      </c>
      <c r="Q167" s="7">
        <v>0</v>
      </c>
      <c r="R167" s="7">
        <v>429.76</v>
      </c>
      <c r="S167" s="7">
        <v>24042.47</v>
      </c>
      <c r="T167" s="7">
        <v>122666.82</v>
      </c>
      <c r="U167" s="7">
        <f t="shared" si="20"/>
        <v>151058.43</v>
      </c>
      <c r="V167" s="7">
        <v>35810.089999999997</v>
      </c>
      <c r="W167" s="7">
        <v>0</v>
      </c>
      <c r="X167" s="7">
        <v>0</v>
      </c>
      <c r="Y167" s="8">
        <v>0</v>
      </c>
    </row>
    <row r="168" spans="1:25" x14ac:dyDescent="0.2">
      <c r="A168" s="42" t="s">
        <v>485</v>
      </c>
      <c r="B168" s="43" t="s">
        <v>486</v>
      </c>
      <c r="C168" s="43" t="s">
        <v>609</v>
      </c>
      <c r="D168" s="43" t="s">
        <v>610</v>
      </c>
      <c r="E168" s="49">
        <v>207</v>
      </c>
      <c r="F168" s="43" t="s">
        <v>224</v>
      </c>
      <c r="G168" s="6">
        <v>44226</v>
      </c>
      <c r="H168" s="6">
        <v>41820</v>
      </c>
      <c r="I168" s="7">
        <v>0</v>
      </c>
      <c r="J168" s="7">
        <v>0</v>
      </c>
      <c r="K168" s="7">
        <v>0</v>
      </c>
      <c r="L168" s="7">
        <v>-1369.33</v>
      </c>
      <c r="M168" s="7">
        <v>0</v>
      </c>
      <c r="N168" s="7">
        <v>0</v>
      </c>
      <c r="O168" s="7">
        <f t="shared" si="19"/>
        <v>-1369.33</v>
      </c>
      <c r="P168" s="7">
        <v>0</v>
      </c>
      <c r="Q168" s="7">
        <v>0</v>
      </c>
      <c r="R168" s="7">
        <v>0</v>
      </c>
      <c r="S168" s="7">
        <v>0</v>
      </c>
      <c r="T168" s="7">
        <v>349.69</v>
      </c>
      <c r="U168" s="7">
        <f t="shared" si="20"/>
        <v>349.69</v>
      </c>
      <c r="V168" s="7">
        <v>-1719.02</v>
      </c>
      <c r="W168" s="7">
        <v>194201.23</v>
      </c>
      <c r="X168" s="7">
        <v>0</v>
      </c>
      <c r="Y168" s="8">
        <v>194201.23</v>
      </c>
    </row>
    <row r="169" spans="1:25" x14ac:dyDescent="0.2">
      <c r="A169" s="42" t="s">
        <v>222</v>
      </c>
      <c r="B169" s="43" t="s">
        <v>223</v>
      </c>
      <c r="C169" s="43" t="s">
        <v>609</v>
      </c>
      <c r="D169" s="43" t="s">
        <v>610</v>
      </c>
      <c r="E169" s="49">
        <v>207</v>
      </c>
      <c r="F169" s="43" t="s">
        <v>224</v>
      </c>
      <c r="G169" s="6">
        <v>44226</v>
      </c>
      <c r="H169" s="6">
        <v>42198</v>
      </c>
      <c r="I169" s="7">
        <v>0</v>
      </c>
      <c r="J169" s="7">
        <v>0</v>
      </c>
      <c r="K169" s="7">
        <v>0</v>
      </c>
      <c r="L169" s="7">
        <v>-295.63</v>
      </c>
      <c r="M169" s="7">
        <v>0</v>
      </c>
      <c r="N169" s="7">
        <v>0</v>
      </c>
      <c r="O169" s="7">
        <f t="shared" si="19"/>
        <v>-295.63</v>
      </c>
      <c r="P169" s="7">
        <v>0</v>
      </c>
      <c r="Q169" s="7">
        <v>0</v>
      </c>
      <c r="R169" s="7">
        <v>0</v>
      </c>
      <c r="S169" s="7">
        <v>19211.66</v>
      </c>
      <c r="T169" s="7">
        <v>686.03</v>
      </c>
      <c r="U169" s="7">
        <f t="shared" si="20"/>
        <v>19897.689999999999</v>
      </c>
      <c r="V169" s="7">
        <v>-20193.32</v>
      </c>
      <c r="W169" s="7">
        <v>0</v>
      </c>
      <c r="X169" s="7">
        <v>41941.81</v>
      </c>
      <c r="Y169" s="8">
        <v>41941.81</v>
      </c>
    </row>
    <row r="170" spans="1:25" x14ac:dyDescent="0.2">
      <c r="A170" s="42" t="s">
        <v>462</v>
      </c>
      <c r="B170" s="43" t="s">
        <v>463</v>
      </c>
      <c r="C170" s="43" t="s">
        <v>609</v>
      </c>
      <c r="D170" s="43" t="s">
        <v>610</v>
      </c>
      <c r="E170" s="49" t="s">
        <v>208</v>
      </c>
      <c r="F170" s="43" t="s">
        <v>209</v>
      </c>
      <c r="G170" s="6">
        <v>44226</v>
      </c>
      <c r="H170" s="6">
        <v>43922</v>
      </c>
      <c r="I170" s="7">
        <v>231250</v>
      </c>
      <c r="J170" s="7">
        <v>117450</v>
      </c>
      <c r="K170" s="7">
        <v>0</v>
      </c>
      <c r="L170" s="7">
        <v>0</v>
      </c>
      <c r="M170" s="7">
        <v>0</v>
      </c>
      <c r="N170" s="7">
        <v>0</v>
      </c>
      <c r="O170" s="7">
        <f t="shared" si="19"/>
        <v>117450</v>
      </c>
      <c r="P170" s="7">
        <v>154130.70000000001</v>
      </c>
      <c r="Q170" s="7">
        <v>0</v>
      </c>
      <c r="R170" s="7">
        <v>10888.54</v>
      </c>
      <c r="S170" s="7">
        <v>0</v>
      </c>
      <c r="T170" s="7">
        <v>4092.44</v>
      </c>
      <c r="U170" s="7">
        <f t="shared" si="20"/>
        <v>169111.68000000002</v>
      </c>
      <c r="V170" s="7">
        <v>-51661.68</v>
      </c>
      <c r="W170" s="7">
        <v>18871.919999999998</v>
      </c>
      <c r="X170" s="7">
        <v>8235.4599999999991</v>
      </c>
      <c r="Y170" s="8">
        <v>27107.38</v>
      </c>
    </row>
    <row r="171" spans="1:25" x14ac:dyDescent="0.2">
      <c r="A171" s="42" t="s">
        <v>464</v>
      </c>
      <c r="B171" s="43" t="s">
        <v>465</v>
      </c>
      <c r="C171" s="43" t="s">
        <v>609</v>
      </c>
      <c r="D171" s="43" t="s">
        <v>610</v>
      </c>
      <c r="E171" s="49" t="s">
        <v>208</v>
      </c>
      <c r="F171" s="43" t="s">
        <v>209</v>
      </c>
      <c r="G171" s="6">
        <v>44226</v>
      </c>
      <c r="H171" s="6">
        <v>44375</v>
      </c>
      <c r="I171" s="7">
        <v>0</v>
      </c>
      <c r="J171" s="7">
        <v>675650</v>
      </c>
      <c r="K171" s="7">
        <v>0</v>
      </c>
      <c r="L171" s="7">
        <v>0</v>
      </c>
      <c r="M171" s="7">
        <v>0</v>
      </c>
      <c r="N171" s="7">
        <v>0</v>
      </c>
      <c r="O171" s="7">
        <f t="shared" si="19"/>
        <v>675650</v>
      </c>
      <c r="P171" s="7">
        <v>532336</v>
      </c>
      <c r="Q171" s="7">
        <v>0</v>
      </c>
      <c r="R171" s="7">
        <v>70888.05</v>
      </c>
      <c r="S171" s="7">
        <v>130913.69</v>
      </c>
      <c r="T171" s="7">
        <v>29218.959999999999</v>
      </c>
      <c r="U171" s="7">
        <f t="shared" si="20"/>
        <v>763356.7</v>
      </c>
      <c r="V171" s="7">
        <v>-87706.7</v>
      </c>
      <c r="W171" s="7">
        <v>106851.52</v>
      </c>
      <c r="X171" s="7">
        <v>6228.42</v>
      </c>
      <c r="Y171" s="8">
        <v>113079.94</v>
      </c>
    </row>
    <row r="172" spans="1:25" x14ac:dyDescent="0.2">
      <c r="A172" s="42" t="s">
        <v>235</v>
      </c>
      <c r="B172" s="43" t="s">
        <v>236</v>
      </c>
      <c r="C172" s="43" t="s">
        <v>609</v>
      </c>
      <c r="D172" s="43" t="s">
        <v>610</v>
      </c>
      <c r="E172" s="49">
        <v>404</v>
      </c>
      <c r="F172" s="43" t="s">
        <v>237</v>
      </c>
      <c r="G172" s="6">
        <v>44226</v>
      </c>
      <c r="H172" s="6">
        <v>42198</v>
      </c>
      <c r="I172" s="7">
        <v>0</v>
      </c>
      <c r="J172" s="7">
        <v>0</v>
      </c>
      <c r="K172" s="7">
        <v>0</v>
      </c>
      <c r="L172" s="7">
        <v>0</v>
      </c>
      <c r="M172" s="7">
        <v>0</v>
      </c>
      <c r="N172" s="7">
        <v>0</v>
      </c>
      <c r="O172" s="7">
        <f t="shared" si="19"/>
        <v>0</v>
      </c>
      <c r="P172" s="7">
        <v>0</v>
      </c>
      <c r="Q172" s="7">
        <v>0</v>
      </c>
      <c r="R172" s="7">
        <v>0</v>
      </c>
      <c r="S172" s="7">
        <v>130059.86</v>
      </c>
      <c r="T172" s="7">
        <v>0</v>
      </c>
      <c r="U172" s="7">
        <f t="shared" si="20"/>
        <v>130059.86</v>
      </c>
      <c r="V172" s="7">
        <v>-130059.86</v>
      </c>
      <c r="W172" s="7">
        <v>0</v>
      </c>
      <c r="X172" s="7">
        <v>0</v>
      </c>
      <c r="Y172" s="8">
        <v>0</v>
      </c>
    </row>
    <row r="173" spans="1:25" x14ac:dyDescent="0.2">
      <c r="A173" s="42" t="s">
        <v>210</v>
      </c>
      <c r="B173" s="43" t="s">
        <v>211</v>
      </c>
      <c r="C173" s="43" t="s">
        <v>609</v>
      </c>
      <c r="D173" s="43" t="s">
        <v>610</v>
      </c>
      <c r="E173" s="49" t="s">
        <v>208</v>
      </c>
      <c r="F173" s="43" t="s">
        <v>209</v>
      </c>
      <c r="G173" s="6">
        <v>44226</v>
      </c>
      <c r="H173" s="6">
        <v>42345</v>
      </c>
      <c r="I173" s="7">
        <v>0</v>
      </c>
      <c r="J173" s="7">
        <v>0</v>
      </c>
      <c r="K173" s="7">
        <v>0</v>
      </c>
      <c r="L173" s="7">
        <v>0</v>
      </c>
      <c r="M173" s="7">
        <v>0</v>
      </c>
      <c r="N173" s="7">
        <v>0</v>
      </c>
      <c r="O173" s="7">
        <f t="shared" si="19"/>
        <v>0</v>
      </c>
      <c r="P173" s="7">
        <v>0</v>
      </c>
      <c r="Q173" s="7">
        <v>0</v>
      </c>
      <c r="R173" s="7">
        <v>0</v>
      </c>
      <c r="S173" s="7">
        <v>401.56</v>
      </c>
      <c r="T173" s="7">
        <v>0</v>
      </c>
      <c r="U173" s="7">
        <f t="shared" si="20"/>
        <v>401.56</v>
      </c>
      <c r="V173" s="7">
        <v>-401.56</v>
      </c>
      <c r="W173" s="7">
        <v>0</v>
      </c>
      <c r="X173" s="7">
        <v>3659.79</v>
      </c>
      <c r="Y173" s="8">
        <v>3659.79</v>
      </c>
    </row>
    <row r="174" spans="1:25" x14ac:dyDescent="0.2">
      <c r="A174" s="42" t="s">
        <v>452</v>
      </c>
      <c r="B174" s="43" t="s">
        <v>453</v>
      </c>
      <c r="C174" s="43" t="s">
        <v>609</v>
      </c>
      <c r="D174" s="43" t="s">
        <v>610</v>
      </c>
      <c r="E174" s="49" t="s">
        <v>208</v>
      </c>
      <c r="F174" s="43" t="s">
        <v>209</v>
      </c>
      <c r="G174" s="6">
        <v>44226</v>
      </c>
      <c r="H174" s="6">
        <v>43259</v>
      </c>
      <c r="I174" s="7">
        <v>0</v>
      </c>
      <c r="J174" s="7">
        <v>0</v>
      </c>
      <c r="K174" s="7">
        <v>0</v>
      </c>
      <c r="L174" s="7">
        <v>0</v>
      </c>
      <c r="M174" s="7">
        <v>0</v>
      </c>
      <c r="N174" s="7">
        <v>0</v>
      </c>
      <c r="O174" s="7">
        <f t="shared" si="19"/>
        <v>0</v>
      </c>
      <c r="P174" s="7">
        <v>0</v>
      </c>
      <c r="Q174" s="7">
        <v>0</v>
      </c>
      <c r="R174" s="7">
        <v>0</v>
      </c>
      <c r="S174" s="7">
        <v>19467.48</v>
      </c>
      <c r="T174" s="7">
        <v>17909.150000000001</v>
      </c>
      <c r="U174" s="7">
        <f t="shared" si="20"/>
        <v>37376.630000000005</v>
      </c>
      <c r="V174" s="7">
        <v>-37376.629999999997</v>
      </c>
      <c r="W174" s="7">
        <v>0</v>
      </c>
      <c r="X174" s="7">
        <v>2387.3200000000002</v>
      </c>
      <c r="Y174" s="8">
        <v>2387.3200000000002</v>
      </c>
    </row>
    <row r="175" spans="1:25" x14ac:dyDescent="0.2">
      <c r="A175" s="42" t="s">
        <v>130</v>
      </c>
      <c r="B175" s="43" t="s">
        <v>131</v>
      </c>
      <c r="C175" s="43" t="s">
        <v>609</v>
      </c>
      <c r="D175" s="43" t="s">
        <v>610</v>
      </c>
      <c r="E175" s="49">
        <v>438</v>
      </c>
      <c r="F175" s="43" t="s">
        <v>86</v>
      </c>
      <c r="G175" s="6">
        <v>44442</v>
      </c>
      <c r="H175" s="6"/>
      <c r="I175" s="7">
        <v>0</v>
      </c>
      <c r="J175" s="7">
        <v>0</v>
      </c>
      <c r="K175" s="7">
        <v>0</v>
      </c>
      <c r="L175" s="7">
        <v>631859.48</v>
      </c>
      <c r="M175" s="7">
        <v>0</v>
      </c>
      <c r="N175" s="7">
        <v>0</v>
      </c>
      <c r="O175" s="7">
        <f t="shared" si="19"/>
        <v>631859.48</v>
      </c>
      <c r="P175" s="7">
        <v>0</v>
      </c>
      <c r="Q175" s="7">
        <v>0</v>
      </c>
      <c r="R175" s="7">
        <v>0</v>
      </c>
      <c r="S175" s="7">
        <v>33655.660000000003</v>
      </c>
      <c r="T175" s="7">
        <v>112839.34</v>
      </c>
      <c r="U175" s="7">
        <f t="shared" si="20"/>
        <v>146495</v>
      </c>
      <c r="V175" s="7">
        <v>485364.47999999998</v>
      </c>
      <c r="W175" s="7">
        <v>1270.48</v>
      </c>
      <c r="X175" s="7">
        <v>7121.33</v>
      </c>
      <c r="Y175" s="8">
        <v>8391.81</v>
      </c>
    </row>
    <row r="176" spans="1:25" x14ac:dyDescent="0.2">
      <c r="A176" s="42" t="s">
        <v>299</v>
      </c>
      <c r="B176" s="43" t="s">
        <v>300</v>
      </c>
      <c r="C176" s="43" t="s">
        <v>609</v>
      </c>
      <c r="D176" s="43" t="s">
        <v>610</v>
      </c>
      <c r="E176" s="49" t="s">
        <v>5</v>
      </c>
      <c r="F176" s="43" t="s">
        <v>6</v>
      </c>
      <c r="G176" s="6">
        <v>44277</v>
      </c>
      <c r="H176" s="6">
        <v>44306</v>
      </c>
      <c r="I176" s="7">
        <v>200200</v>
      </c>
      <c r="J176" s="7">
        <v>219240</v>
      </c>
      <c r="K176" s="7">
        <v>0</v>
      </c>
      <c r="L176" s="7">
        <v>0</v>
      </c>
      <c r="M176" s="7">
        <v>0</v>
      </c>
      <c r="N176" s="7">
        <v>0</v>
      </c>
      <c r="O176" s="7">
        <f t="shared" si="19"/>
        <v>219240</v>
      </c>
      <c r="P176" s="7">
        <v>199753.39</v>
      </c>
      <c r="Q176" s="7">
        <v>0</v>
      </c>
      <c r="R176" s="7">
        <v>0</v>
      </c>
      <c r="S176" s="7">
        <v>462.32</v>
      </c>
      <c r="T176" s="7">
        <v>1248.797635716373</v>
      </c>
      <c r="U176" s="7">
        <f t="shared" si="20"/>
        <v>201464.50763571641</v>
      </c>
      <c r="V176" s="7">
        <v>18334.689999999999</v>
      </c>
      <c r="W176" s="7">
        <v>0</v>
      </c>
      <c r="X176" s="7">
        <v>0</v>
      </c>
      <c r="Y176" s="8">
        <v>0</v>
      </c>
    </row>
    <row r="177" spans="1:25" x14ac:dyDescent="0.2">
      <c r="A177" s="42" t="s">
        <v>72</v>
      </c>
      <c r="B177" s="43" t="s">
        <v>73</v>
      </c>
      <c r="C177" s="43" t="s">
        <v>609</v>
      </c>
      <c r="D177" s="43" t="s">
        <v>610</v>
      </c>
      <c r="E177" s="49" t="s">
        <v>74</v>
      </c>
      <c r="F177" s="43" t="s">
        <v>75</v>
      </c>
      <c r="G177" s="6">
        <v>44461</v>
      </c>
      <c r="H177" s="6"/>
      <c r="I177" s="7">
        <v>475000</v>
      </c>
      <c r="J177" s="7">
        <v>417872</v>
      </c>
      <c r="K177" s="7">
        <v>0</v>
      </c>
      <c r="L177" s="7">
        <v>2304.96</v>
      </c>
      <c r="M177" s="7">
        <v>10140</v>
      </c>
      <c r="N177" s="7">
        <v>0</v>
      </c>
      <c r="O177" s="7">
        <f t="shared" si="19"/>
        <v>430316.96</v>
      </c>
      <c r="P177" s="7">
        <v>372400</v>
      </c>
      <c r="Q177" s="7">
        <v>0</v>
      </c>
      <c r="R177" s="7">
        <v>2143.02</v>
      </c>
      <c r="S177" s="7">
        <v>20339.830000000002</v>
      </c>
      <c r="T177" s="7">
        <v>27392.2</v>
      </c>
      <c r="U177" s="7">
        <f t="shared" si="20"/>
        <v>422275.05000000005</v>
      </c>
      <c r="V177" s="7">
        <v>380441.91</v>
      </c>
      <c r="W177" s="7">
        <v>0</v>
      </c>
      <c r="X177" s="7">
        <v>0</v>
      </c>
      <c r="Y177" s="8">
        <v>0</v>
      </c>
    </row>
    <row r="178" spans="1:25" x14ac:dyDescent="0.2">
      <c r="A178" s="42" t="s">
        <v>162</v>
      </c>
      <c r="B178" s="43" t="s">
        <v>163</v>
      </c>
      <c r="C178" s="43" t="s">
        <v>611</v>
      </c>
      <c r="D178" s="43" t="s">
        <v>612</v>
      </c>
      <c r="E178" s="49" t="s">
        <v>5</v>
      </c>
      <c r="F178" s="43" t="s">
        <v>6</v>
      </c>
      <c r="G178" s="6">
        <v>44411</v>
      </c>
      <c r="H178" s="6"/>
      <c r="I178" s="7">
        <v>1561780</v>
      </c>
      <c r="J178" s="7">
        <v>0</v>
      </c>
      <c r="K178" s="7">
        <v>0</v>
      </c>
      <c r="L178" s="7">
        <v>17984.57</v>
      </c>
      <c r="M178" s="7">
        <v>141120</v>
      </c>
      <c r="N178" s="7">
        <v>0</v>
      </c>
      <c r="O178" s="7">
        <f t="shared" si="19"/>
        <v>159104.57</v>
      </c>
      <c r="P178" s="7">
        <v>0</v>
      </c>
      <c r="Q178" s="7">
        <v>0</v>
      </c>
      <c r="R178" s="7">
        <v>0</v>
      </c>
      <c r="S178" s="7">
        <v>0</v>
      </c>
      <c r="T178" s="7">
        <v>0</v>
      </c>
      <c r="U178" s="7">
        <f t="shared" si="20"/>
        <v>0</v>
      </c>
      <c r="V178" s="7">
        <v>159104.57</v>
      </c>
      <c r="W178" s="7">
        <v>0</v>
      </c>
      <c r="X178" s="7">
        <v>0</v>
      </c>
      <c r="Y178" s="8">
        <v>0</v>
      </c>
    </row>
    <row r="179" spans="1:25" x14ac:dyDescent="0.2">
      <c r="A179" s="42" t="s">
        <v>352</v>
      </c>
      <c r="B179" s="43" t="s">
        <v>353</v>
      </c>
      <c r="C179" s="43" t="s">
        <v>609</v>
      </c>
      <c r="D179" s="43" t="s">
        <v>610</v>
      </c>
      <c r="E179" s="49">
        <v>800</v>
      </c>
      <c r="F179" s="43" t="s">
        <v>354</v>
      </c>
      <c r="G179" s="6">
        <v>44226</v>
      </c>
      <c r="H179" s="6">
        <v>43767</v>
      </c>
      <c r="I179" s="7">
        <v>0</v>
      </c>
      <c r="J179" s="7">
        <v>0</v>
      </c>
      <c r="K179" s="7">
        <v>0</v>
      </c>
      <c r="L179" s="7">
        <v>0</v>
      </c>
      <c r="M179" s="7">
        <v>0</v>
      </c>
      <c r="N179" s="7">
        <v>0</v>
      </c>
      <c r="O179" s="7">
        <f t="shared" si="19"/>
        <v>0</v>
      </c>
      <c r="P179" s="7">
        <v>0</v>
      </c>
      <c r="Q179" s="7">
        <v>0</v>
      </c>
      <c r="R179" s="7">
        <v>0</v>
      </c>
      <c r="S179" s="7">
        <v>0</v>
      </c>
      <c r="T179" s="7">
        <v>0</v>
      </c>
      <c r="U179" s="7">
        <f t="shared" si="20"/>
        <v>0</v>
      </c>
      <c r="V179" s="7">
        <v>0</v>
      </c>
      <c r="W179" s="7">
        <v>982.07</v>
      </c>
      <c r="X179" s="7">
        <v>0</v>
      </c>
      <c r="Y179" s="8">
        <v>982.07</v>
      </c>
    </row>
    <row r="180" spans="1:25" x14ac:dyDescent="0.2">
      <c r="A180" s="42" t="s">
        <v>305</v>
      </c>
      <c r="B180" s="43" t="s">
        <v>306</v>
      </c>
      <c r="C180" s="43" t="s">
        <v>609</v>
      </c>
      <c r="D180" s="43" t="s">
        <v>610</v>
      </c>
      <c r="E180" s="49" t="s">
        <v>307</v>
      </c>
      <c r="F180" s="43" t="s">
        <v>308</v>
      </c>
      <c r="G180" s="6">
        <v>44226</v>
      </c>
      <c r="H180" s="6">
        <v>43646</v>
      </c>
      <c r="I180" s="7">
        <v>0</v>
      </c>
      <c r="J180" s="7">
        <v>0</v>
      </c>
      <c r="K180" s="7">
        <v>0</v>
      </c>
      <c r="L180" s="7">
        <v>0</v>
      </c>
      <c r="M180" s="7">
        <v>0</v>
      </c>
      <c r="N180" s="7">
        <v>0</v>
      </c>
      <c r="O180" s="7">
        <f t="shared" si="19"/>
        <v>0</v>
      </c>
      <c r="P180" s="7">
        <v>0</v>
      </c>
      <c r="Q180" s="7">
        <v>0</v>
      </c>
      <c r="R180" s="7">
        <v>0</v>
      </c>
      <c r="S180" s="7">
        <v>1896.33</v>
      </c>
      <c r="T180" s="7">
        <v>0</v>
      </c>
      <c r="U180" s="7">
        <f t="shared" si="20"/>
        <v>1896.33</v>
      </c>
      <c r="V180" s="7">
        <v>-1896.33</v>
      </c>
      <c r="W180" s="7">
        <v>0</v>
      </c>
      <c r="X180" s="7">
        <v>0</v>
      </c>
      <c r="Y180" s="8">
        <v>0</v>
      </c>
    </row>
    <row r="181" spans="1:25" x14ac:dyDescent="0.2">
      <c r="A181" s="42" t="s">
        <v>313</v>
      </c>
      <c r="B181" s="43" t="s">
        <v>314</v>
      </c>
      <c r="C181" s="43" t="s">
        <v>609</v>
      </c>
      <c r="D181" s="43" t="s">
        <v>610</v>
      </c>
      <c r="E181" s="49" t="s">
        <v>208</v>
      </c>
      <c r="F181" s="43" t="s">
        <v>209</v>
      </c>
      <c r="G181" s="6">
        <v>44226</v>
      </c>
      <c r="H181" s="6">
        <v>42551</v>
      </c>
      <c r="I181" s="7">
        <v>0</v>
      </c>
      <c r="J181" s="7">
        <v>0</v>
      </c>
      <c r="K181" s="7">
        <v>0</v>
      </c>
      <c r="L181" s="7">
        <v>0</v>
      </c>
      <c r="M181" s="7">
        <v>0</v>
      </c>
      <c r="N181" s="7">
        <v>0</v>
      </c>
      <c r="O181" s="7">
        <f t="shared" si="19"/>
        <v>0</v>
      </c>
      <c r="P181" s="7">
        <v>0</v>
      </c>
      <c r="Q181" s="7">
        <v>0</v>
      </c>
      <c r="R181" s="7">
        <v>0</v>
      </c>
      <c r="S181" s="7">
        <v>235.47</v>
      </c>
      <c r="T181" s="7">
        <v>0</v>
      </c>
      <c r="U181" s="7">
        <f t="shared" si="20"/>
        <v>235.47</v>
      </c>
      <c r="V181" s="7">
        <v>-235.47</v>
      </c>
      <c r="W181" s="7">
        <v>0</v>
      </c>
      <c r="X181" s="7">
        <v>298.77</v>
      </c>
      <c r="Y181" s="8">
        <v>298.77</v>
      </c>
    </row>
    <row r="182" spans="1:25" x14ac:dyDescent="0.2">
      <c r="A182" s="42" t="s">
        <v>454</v>
      </c>
      <c r="B182" s="43" t="s">
        <v>455</v>
      </c>
      <c r="C182" s="43" t="s">
        <v>609</v>
      </c>
      <c r="D182" s="43" t="s">
        <v>610</v>
      </c>
      <c r="E182" s="49" t="s">
        <v>208</v>
      </c>
      <c r="F182" s="43" t="s">
        <v>209</v>
      </c>
      <c r="G182" s="6">
        <v>44226</v>
      </c>
      <c r="H182" s="6">
        <v>42811</v>
      </c>
      <c r="I182" s="7">
        <v>0</v>
      </c>
      <c r="J182" s="7">
        <v>0</v>
      </c>
      <c r="K182" s="7">
        <v>0</v>
      </c>
      <c r="L182" s="7">
        <v>0</v>
      </c>
      <c r="M182" s="7">
        <v>0</v>
      </c>
      <c r="N182" s="7">
        <v>0</v>
      </c>
      <c r="O182" s="7">
        <f t="shared" si="19"/>
        <v>0</v>
      </c>
      <c r="P182" s="7">
        <v>0</v>
      </c>
      <c r="Q182" s="7">
        <v>0</v>
      </c>
      <c r="R182" s="7">
        <v>0</v>
      </c>
      <c r="S182" s="7">
        <v>430.32</v>
      </c>
      <c r="T182" s="7">
        <v>0</v>
      </c>
      <c r="U182" s="7">
        <f t="shared" si="20"/>
        <v>430.32</v>
      </c>
      <c r="V182" s="7">
        <v>-430.32</v>
      </c>
      <c r="W182" s="7">
        <v>0</v>
      </c>
      <c r="X182" s="7">
        <v>0</v>
      </c>
      <c r="Y182" s="8">
        <v>0</v>
      </c>
    </row>
    <row r="183" spans="1:25" x14ac:dyDescent="0.2">
      <c r="A183" s="42" t="s">
        <v>92</v>
      </c>
      <c r="B183" s="43" t="s">
        <v>93</v>
      </c>
      <c r="C183" s="43" t="s">
        <v>611</v>
      </c>
      <c r="D183" s="43" t="s">
        <v>612</v>
      </c>
      <c r="E183" s="49">
        <v>438</v>
      </c>
      <c r="F183" s="43" t="s">
        <v>86</v>
      </c>
      <c r="G183" s="6">
        <v>44531</v>
      </c>
      <c r="H183" s="6"/>
      <c r="I183" s="7">
        <v>271600</v>
      </c>
      <c r="J183" s="7">
        <v>0</v>
      </c>
      <c r="K183" s="7">
        <v>0</v>
      </c>
      <c r="L183" s="7">
        <v>143651.04999999999</v>
      </c>
      <c r="M183" s="7">
        <v>0</v>
      </c>
      <c r="N183" s="7">
        <v>0</v>
      </c>
      <c r="O183" s="7">
        <f t="shared" si="19"/>
        <v>143651.04999999999</v>
      </c>
      <c r="P183" s="7">
        <v>0</v>
      </c>
      <c r="Q183" s="7">
        <v>0</v>
      </c>
      <c r="R183" s="7">
        <v>0</v>
      </c>
      <c r="S183" s="7">
        <v>0</v>
      </c>
      <c r="T183" s="7">
        <v>0</v>
      </c>
      <c r="U183" s="7">
        <f t="shared" si="20"/>
        <v>0</v>
      </c>
      <c r="V183" s="7">
        <v>143651.04999999999</v>
      </c>
      <c r="W183" s="7">
        <v>0</v>
      </c>
      <c r="X183" s="7">
        <v>0</v>
      </c>
      <c r="Y183" s="8">
        <v>0</v>
      </c>
    </row>
    <row r="184" spans="1:25" x14ac:dyDescent="0.2">
      <c r="A184" s="42" t="s">
        <v>458</v>
      </c>
      <c r="B184" s="43" t="s">
        <v>459</v>
      </c>
      <c r="C184" s="43" t="s">
        <v>609</v>
      </c>
      <c r="D184" s="43" t="s">
        <v>610</v>
      </c>
      <c r="E184" s="49" t="s">
        <v>208</v>
      </c>
      <c r="F184" s="43" t="s">
        <v>209</v>
      </c>
      <c r="G184" s="6">
        <v>44226</v>
      </c>
      <c r="H184" s="6">
        <v>44124</v>
      </c>
      <c r="I184" s="7">
        <v>0</v>
      </c>
      <c r="J184" s="7">
        <v>0</v>
      </c>
      <c r="K184" s="7">
        <v>0</v>
      </c>
      <c r="L184" s="7">
        <v>0</v>
      </c>
      <c r="M184" s="7">
        <v>0</v>
      </c>
      <c r="N184" s="7">
        <v>0</v>
      </c>
      <c r="O184" s="7">
        <f t="shared" si="19"/>
        <v>0</v>
      </c>
      <c r="P184" s="7">
        <v>0</v>
      </c>
      <c r="Q184" s="7">
        <v>0</v>
      </c>
      <c r="R184" s="7">
        <v>0</v>
      </c>
      <c r="S184" s="7">
        <v>2489.91</v>
      </c>
      <c r="T184" s="7">
        <v>181.68</v>
      </c>
      <c r="U184" s="7">
        <f t="shared" si="20"/>
        <v>2671.5899999999997</v>
      </c>
      <c r="V184" s="7">
        <v>-2671.59</v>
      </c>
      <c r="W184" s="7">
        <v>0</v>
      </c>
      <c r="X184" s="7">
        <v>0</v>
      </c>
      <c r="Y184" s="8">
        <v>0</v>
      </c>
    </row>
    <row r="185" spans="1:25" x14ac:dyDescent="0.2">
      <c r="A185" s="42" t="s">
        <v>309</v>
      </c>
      <c r="B185" s="43" t="s">
        <v>310</v>
      </c>
      <c r="C185" s="43" t="s">
        <v>609</v>
      </c>
      <c r="D185" s="43" t="s">
        <v>610</v>
      </c>
      <c r="E185" s="49" t="s">
        <v>208</v>
      </c>
      <c r="F185" s="43" t="s">
        <v>209</v>
      </c>
      <c r="G185" s="6">
        <v>44226</v>
      </c>
      <c r="H185" s="6">
        <v>41820</v>
      </c>
      <c r="I185" s="7">
        <v>0</v>
      </c>
      <c r="J185" s="7">
        <v>0</v>
      </c>
      <c r="K185" s="7">
        <v>0</v>
      </c>
      <c r="L185" s="7">
        <v>0</v>
      </c>
      <c r="M185" s="7">
        <v>0</v>
      </c>
      <c r="N185" s="7">
        <v>0</v>
      </c>
      <c r="O185" s="7">
        <f t="shared" si="19"/>
        <v>0</v>
      </c>
      <c r="P185" s="7">
        <v>0</v>
      </c>
      <c r="Q185" s="7">
        <v>0</v>
      </c>
      <c r="R185" s="7">
        <v>0</v>
      </c>
      <c r="S185" s="7">
        <v>0</v>
      </c>
      <c r="T185" s="7">
        <v>4352.08</v>
      </c>
      <c r="U185" s="7">
        <f t="shared" si="20"/>
        <v>4352.08</v>
      </c>
      <c r="V185" s="7">
        <v>-4352.08</v>
      </c>
      <c r="W185" s="7">
        <v>0</v>
      </c>
      <c r="X185" s="7">
        <v>0</v>
      </c>
      <c r="Y185" s="8">
        <v>0</v>
      </c>
    </row>
    <row r="186" spans="1:25" x14ac:dyDescent="0.2">
      <c r="A186" s="42" t="s">
        <v>388</v>
      </c>
      <c r="B186" s="43" t="s">
        <v>389</v>
      </c>
      <c r="C186" s="43" t="s">
        <v>611</v>
      </c>
      <c r="D186" s="43" t="s">
        <v>612</v>
      </c>
      <c r="E186" s="49">
        <v>438</v>
      </c>
      <c r="F186" s="43" t="s">
        <v>86</v>
      </c>
      <c r="G186" s="6">
        <v>44226</v>
      </c>
      <c r="H186" s="6">
        <v>42909</v>
      </c>
      <c r="I186" s="7">
        <v>1025400</v>
      </c>
      <c r="J186" s="7">
        <v>0</v>
      </c>
      <c r="K186" s="7">
        <v>0</v>
      </c>
      <c r="L186" s="7">
        <v>42619.34</v>
      </c>
      <c r="M186" s="7">
        <v>0</v>
      </c>
      <c r="N186" s="7">
        <v>0</v>
      </c>
      <c r="O186" s="7">
        <f t="shared" si="19"/>
        <v>42619.34</v>
      </c>
      <c r="P186" s="7">
        <v>0</v>
      </c>
      <c r="Q186" s="7">
        <v>0</v>
      </c>
      <c r="R186" s="7">
        <v>0</v>
      </c>
      <c r="S186" s="7">
        <v>0</v>
      </c>
      <c r="T186" s="7">
        <v>33026.78</v>
      </c>
      <c r="U186" s="7">
        <f t="shared" si="20"/>
        <v>33026.78</v>
      </c>
      <c r="V186" s="7">
        <v>9592.56</v>
      </c>
      <c r="W186" s="7">
        <v>0</v>
      </c>
      <c r="X186" s="7">
        <v>0</v>
      </c>
      <c r="Y186" s="8">
        <v>0</v>
      </c>
    </row>
    <row r="187" spans="1:25" x14ac:dyDescent="0.2">
      <c r="A187" s="42" t="s">
        <v>388</v>
      </c>
      <c r="B187" s="43" t="s">
        <v>389</v>
      </c>
      <c r="C187" s="43" t="s">
        <v>609</v>
      </c>
      <c r="D187" s="43" t="s">
        <v>610</v>
      </c>
      <c r="E187" s="49">
        <v>438</v>
      </c>
      <c r="F187" s="43" t="s">
        <v>86</v>
      </c>
      <c r="G187" s="6">
        <v>44226</v>
      </c>
      <c r="H187" s="6">
        <v>42909</v>
      </c>
      <c r="I187" s="7">
        <v>1025400</v>
      </c>
      <c r="J187" s="7">
        <v>0</v>
      </c>
      <c r="K187" s="7">
        <v>0</v>
      </c>
      <c r="L187" s="7">
        <v>0</v>
      </c>
      <c r="M187" s="7">
        <v>0</v>
      </c>
      <c r="N187" s="7">
        <v>0</v>
      </c>
      <c r="O187" s="7">
        <f t="shared" si="19"/>
        <v>0</v>
      </c>
      <c r="P187" s="7">
        <v>0</v>
      </c>
      <c r="Q187" s="7">
        <v>0</v>
      </c>
      <c r="R187" s="7">
        <v>0</v>
      </c>
      <c r="S187" s="7">
        <v>38934.230000000003</v>
      </c>
      <c r="T187" s="7">
        <v>37726.019999999997</v>
      </c>
      <c r="U187" s="7">
        <f t="shared" si="20"/>
        <v>76660.25</v>
      </c>
      <c r="V187" s="7">
        <v>-76660.25</v>
      </c>
      <c r="W187" s="7">
        <v>10825.58</v>
      </c>
      <c r="X187" s="7">
        <v>0</v>
      </c>
      <c r="Y187" s="8">
        <v>10825.58</v>
      </c>
    </row>
    <row r="188" spans="1:25" x14ac:dyDescent="0.2">
      <c r="A188" s="42" t="s">
        <v>339</v>
      </c>
      <c r="B188" s="43" t="s">
        <v>340</v>
      </c>
      <c r="C188" s="43" t="s">
        <v>609</v>
      </c>
      <c r="D188" s="43" t="s">
        <v>610</v>
      </c>
      <c r="E188" s="49" t="s">
        <v>341</v>
      </c>
      <c r="F188" s="43" t="s">
        <v>342</v>
      </c>
      <c r="G188" s="6">
        <v>44226</v>
      </c>
      <c r="H188" s="6">
        <v>43950</v>
      </c>
      <c r="I188" s="7">
        <v>0</v>
      </c>
      <c r="J188" s="7">
        <v>0</v>
      </c>
      <c r="K188" s="7">
        <v>0</v>
      </c>
      <c r="L188" s="7">
        <v>0</v>
      </c>
      <c r="M188" s="7">
        <v>0</v>
      </c>
      <c r="N188" s="7">
        <v>0</v>
      </c>
      <c r="O188" s="7">
        <f t="shared" si="19"/>
        <v>0</v>
      </c>
      <c r="P188" s="7">
        <v>0</v>
      </c>
      <c r="Q188" s="7">
        <v>0</v>
      </c>
      <c r="R188" s="7">
        <v>0</v>
      </c>
      <c r="S188" s="7">
        <v>6857.64</v>
      </c>
      <c r="T188" s="7">
        <v>0</v>
      </c>
      <c r="U188" s="7">
        <f t="shared" si="20"/>
        <v>6857.64</v>
      </c>
      <c r="V188" s="7">
        <v>-6857.64</v>
      </c>
      <c r="W188" s="7">
        <v>0</v>
      </c>
      <c r="X188" s="7">
        <v>0</v>
      </c>
      <c r="Y188" s="8">
        <v>0</v>
      </c>
    </row>
    <row r="189" spans="1:25" x14ac:dyDescent="0.2">
      <c r="A189" s="42" t="s">
        <v>279</v>
      </c>
      <c r="B189" s="43" t="s">
        <v>280</v>
      </c>
      <c r="C189" s="43" t="s">
        <v>609</v>
      </c>
      <c r="D189" s="43" t="s">
        <v>610</v>
      </c>
      <c r="E189" s="49" t="s">
        <v>281</v>
      </c>
      <c r="F189" s="43" t="s">
        <v>282</v>
      </c>
      <c r="G189" s="6">
        <v>44226</v>
      </c>
      <c r="H189" s="6">
        <v>44151</v>
      </c>
      <c r="I189" s="7">
        <v>429000</v>
      </c>
      <c r="J189" s="7">
        <v>233782.12974296208</v>
      </c>
      <c r="K189" s="7">
        <v>0</v>
      </c>
      <c r="L189" s="7">
        <v>0</v>
      </c>
      <c r="M189" s="7">
        <v>0</v>
      </c>
      <c r="N189" s="7">
        <v>0</v>
      </c>
      <c r="O189" s="7">
        <f t="shared" si="19"/>
        <v>233782.12974296208</v>
      </c>
      <c r="P189" s="7">
        <v>0</v>
      </c>
      <c r="Q189" s="7">
        <v>0</v>
      </c>
      <c r="R189" s="7">
        <v>0</v>
      </c>
      <c r="S189" s="7">
        <v>0</v>
      </c>
      <c r="T189" s="7">
        <v>11386.22</v>
      </c>
      <c r="U189" s="7">
        <f t="shared" si="20"/>
        <v>11386.22</v>
      </c>
      <c r="V189" s="7">
        <v>-11386.22</v>
      </c>
      <c r="W189" s="7">
        <v>0</v>
      </c>
      <c r="X189" s="7">
        <v>0</v>
      </c>
      <c r="Y189" s="8">
        <v>0</v>
      </c>
    </row>
    <row r="190" spans="1:25" x14ac:dyDescent="0.2">
      <c r="A190" s="42" t="s">
        <v>548</v>
      </c>
      <c r="B190" s="43" t="s">
        <v>549</v>
      </c>
      <c r="C190" s="43" t="s">
        <v>609</v>
      </c>
      <c r="D190" s="43" t="s">
        <v>610</v>
      </c>
      <c r="E190" s="49" t="s">
        <v>158</v>
      </c>
      <c r="F190" s="43" t="s">
        <v>159</v>
      </c>
      <c r="G190" s="6">
        <v>44466</v>
      </c>
      <c r="H190" s="6">
        <v>44708</v>
      </c>
      <c r="I190" s="7">
        <v>226000</v>
      </c>
      <c r="J190" s="7">
        <v>0</v>
      </c>
      <c r="K190" s="7">
        <v>0</v>
      </c>
      <c r="L190" s="7">
        <v>3917.63</v>
      </c>
      <c r="M190" s="7">
        <v>0</v>
      </c>
      <c r="N190" s="7">
        <v>0</v>
      </c>
      <c r="O190" s="7">
        <f t="shared" si="19"/>
        <v>3917.63</v>
      </c>
      <c r="P190" s="7">
        <v>0</v>
      </c>
      <c r="Q190" s="7">
        <v>0</v>
      </c>
      <c r="R190" s="7">
        <v>0</v>
      </c>
      <c r="S190" s="7">
        <v>4380.9799999999996</v>
      </c>
      <c r="T190" s="7">
        <v>13817.82</v>
      </c>
      <c r="U190" s="7">
        <f t="shared" si="20"/>
        <v>18198.8</v>
      </c>
      <c r="V190" s="7">
        <v>-14281.17</v>
      </c>
      <c r="W190" s="7">
        <v>0</v>
      </c>
      <c r="X190" s="7">
        <v>0</v>
      </c>
      <c r="Y190" s="8">
        <v>0</v>
      </c>
    </row>
    <row r="191" spans="1:25" x14ac:dyDescent="0.2">
      <c r="A191" s="42" t="s">
        <v>335</v>
      </c>
      <c r="B191" s="43" t="s">
        <v>336</v>
      </c>
      <c r="C191" s="43" t="s">
        <v>609</v>
      </c>
      <c r="D191" s="43" t="s">
        <v>610</v>
      </c>
      <c r="E191" s="49" t="s">
        <v>158</v>
      </c>
      <c r="F191" s="43" t="s">
        <v>159</v>
      </c>
      <c r="G191" s="6">
        <v>44226</v>
      </c>
      <c r="H191" s="6">
        <v>44459</v>
      </c>
      <c r="I191" s="7">
        <v>0</v>
      </c>
      <c r="J191" s="7">
        <v>0</v>
      </c>
      <c r="K191" s="7">
        <v>0</v>
      </c>
      <c r="L191" s="7">
        <v>0</v>
      </c>
      <c r="M191" s="7">
        <v>0</v>
      </c>
      <c r="N191" s="7">
        <v>0</v>
      </c>
      <c r="O191" s="7">
        <f t="shared" si="19"/>
        <v>0</v>
      </c>
      <c r="P191" s="7">
        <v>0</v>
      </c>
      <c r="Q191" s="7">
        <v>0</v>
      </c>
      <c r="R191" s="7">
        <v>9164.24</v>
      </c>
      <c r="S191" s="7">
        <v>0</v>
      </c>
      <c r="T191" s="7">
        <v>432.06</v>
      </c>
      <c r="U191" s="7">
        <f t="shared" si="20"/>
        <v>9596.2999999999993</v>
      </c>
      <c r="V191" s="7">
        <v>-9596.2999999999993</v>
      </c>
      <c r="W191" s="7">
        <v>0</v>
      </c>
      <c r="X191" s="7">
        <v>1002.17</v>
      </c>
      <c r="Y191" s="8">
        <v>1002.17</v>
      </c>
    </row>
    <row r="192" spans="1:25" x14ac:dyDescent="0.2">
      <c r="A192" s="42" t="s">
        <v>273</v>
      </c>
      <c r="B192" s="43" t="s">
        <v>274</v>
      </c>
      <c r="C192" s="43" t="s">
        <v>609</v>
      </c>
      <c r="D192" s="43" t="s">
        <v>610</v>
      </c>
      <c r="E192" s="49" t="s">
        <v>56</v>
      </c>
      <c r="F192" s="43" t="s">
        <v>57</v>
      </c>
      <c r="G192" s="6">
        <v>44229</v>
      </c>
      <c r="H192" s="6">
        <v>44251</v>
      </c>
      <c r="I192" s="7">
        <v>231000</v>
      </c>
      <c r="J192" s="7">
        <v>211219.54712362302</v>
      </c>
      <c r="K192" s="7">
        <v>0</v>
      </c>
      <c r="L192" s="7">
        <v>0</v>
      </c>
      <c r="M192" s="7">
        <v>0</v>
      </c>
      <c r="N192" s="7">
        <v>0</v>
      </c>
      <c r="O192" s="7">
        <f t="shared" si="19"/>
        <v>211219.54712362302</v>
      </c>
      <c r="P192" s="7">
        <v>249130.75</v>
      </c>
      <c r="Q192" s="7">
        <v>0</v>
      </c>
      <c r="R192" s="7">
        <v>0</v>
      </c>
      <c r="S192" s="7">
        <v>0</v>
      </c>
      <c r="T192" s="7">
        <v>5655.73</v>
      </c>
      <c r="U192" s="7">
        <f t="shared" si="20"/>
        <v>254786.48</v>
      </c>
      <c r="V192" s="7">
        <v>-254786.48</v>
      </c>
      <c r="W192" s="7">
        <v>0</v>
      </c>
      <c r="X192" s="7">
        <v>0</v>
      </c>
      <c r="Y192" s="8">
        <v>0</v>
      </c>
    </row>
    <row r="193" spans="1:25" x14ac:dyDescent="0.2">
      <c r="A193" s="42" t="s">
        <v>279</v>
      </c>
      <c r="B193" s="43" t="s">
        <v>280</v>
      </c>
      <c r="C193" s="43" t="s">
        <v>611</v>
      </c>
      <c r="D193" s="43" t="s">
        <v>612</v>
      </c>
      <c r="E193" s="49" t="s">
        <v>281</v>
      </c>
      <c r="F193" s="43" t="s">
        <v>282</v>
      </c>
      <c r="G193" s="6">
        <v>44226</v>
      </c>
      <c r="H193" s="6">
        <v>44151</v>
      </c>
      <c r="I193" s="7">
        <v>429000</v>
      </c>
      <c r="J193" s="7">
        <v>0</v>
      </c>
      <c r="K193" s="7">
        <v>0</v>
      </c>
      <c r="L193" s="7">
        <v>0</v>
      </c>
      <c r="M193" s="7">
        <v>0</v>
      </c>
      <c r="N193" s="7">
        <v>0</v>
      </c>
      <c r="O193" s="7">
        <f t="shared" si="19"/>
        <v>0</v>
      </c>
      <c r="P193" s="7">
        <v>328744.27</v>
      </c>
      <c r="Q193" s="7">
        <v>0</v>
      </c>
      <c r="R193" s="7">
        <v>0</v>
      </c>
      <c r="S193" s="7">
        <v>0</v>
      </c>
      <c r="T193" s="7">
        <v>0</v>
      </c>
      <c r="U193" s="7">
        <f t="shared" si="20"/>
        <v>328744.27</v>
      </c>
      <c r="V193" s="7">
        <v>-328744.27</v>
      </c>
      <c r="W193" s="7">
        <v>0</v>
      </c>
      <c r="X193" s="7">
        <v>0</v>
      </c>
      <c r="Y193" s="8">
        <v>0</v>
      </c>
    </row>
    <row r="194" spans="1:25" x14ac:dyDescent="0.2">
      <c r="A194" s="42" t="s">
        <v>229</v>
      </c>
      <c r="B194" s="43" t="s">
        <v>230</v>
      </c>
      <c r="C194" s="43" t="s">
        <v>611</v>
      </c>
      <c r="D194" s="43" t="s">
        <v>612</v>
      </c>
      <c r="E194" s="49" t="s">
        <v>35</v>
      </c>
      <c r="F194" s="43" t="s">
        <v>36</v>
      </c>
      <c r="G194" s="6">
        <v>44226</v>
      </c>
      <c r="H194" s="6">
        <v>44012</v>
      </c>
      <c r="I194" s="7">
        <v>0</v>
      </c>
      <c r="J194" s="7">
        <v>0</v>
      </c>
      <c r="K194" s="7">
        <v>0</v>
      </c>
      <c r="L194" s="7">
        <v>0</v>
      </c>
      <c r="M194" s="7">
        <v>0</v>
      </c>
      <c r="N194" s="7">
        <v>0</v>
      </c>
      <c r="O194" s="7">
        <f t="shared" si="19"/>
        <v>0</v>
      </c>
      <c r="P194" s="7">
        <v>152727.98000000001</v>
      </c>
      <c r="Q194" s="7">
        <v>0</v>
      </c>
      <c r="R194" s="7">
        <v>0</v>
      </c>
      <c r="S194" s="7">
        <v>0</v>
      </c>
      <c r="T194" s="7">
        <v>0</v>
      </c>
      <c r="U194" s="7">
        <f t="shared" si="20"/>
        <v>152727.98000000001</v>
      </c>
      <c r="V194" s="7">
        <v>-152727.98000000001</v>
      </c>
      <c r="W194" s="7">
        <v>0</v>
      </c>
      <c r="X194" s="7">
        <v>0</v>
      </c>
      <c r="Y194" s="8">
        <v>0</v>
      </c>
    </row>
    <row r="195" spans="1:25" x14ac:dyDescent="0.2">
      <c r="A195" s="42" t="s">
        <v>277</v>
      </c>
      <c r="B195" s="43" t="s">
        <v>278</v>
      </c>
      <c r="C195" s="43" t="s">
        <v>609</v>
      </c>
      <c r="D195" s="43" t="s">
        <v>610</v>
      </c>
      <c r="E195" s="49" t="s">
        <v>56</v>
      </c>
      <c r="F195" s="43" t="s">
        <v>57</v>
      </c>
      <c r="G195" s="6">
        <v>44315</v>
      </c>
      <c r="H195" s="6">
        <v>44322</v>
      </c>
      <c r="I195" s="7">
        <v>990000</v>
      </c>
      <c r="J195" s="7">
        <v>985719.06</v>
      </c>
      <c r="K195" s="7">
        <v>0</v>
      </c>
      <c r="L195" s="7">
        <v>0</v>
      </c>
      <c r="M195" s="7">
        <v>0</v>
      </c>
      <c r="N195" s="7">
        <v>0</v>
      </c>
      <c r="O195" s="7">
        <f t="shared" si="19"/>
        <v>985719.06</v>
      </c>
      <c r="P195" s="7">
        <v>930955.92</v>
      </c>
      <c r="Q195" s="7">
        <v>0</v>
      </c>
      <c r="R195" s="7">
        <v>1612.18</v>
      </c>
      <c r="S195" s="7">
        <v>0</v>
      </c>
      <c r="T195" s="7">
        <v>15118.24</v>
      </c>
      <c r="U195" s="7">
        <f t="shared" si="20"/>
        <v>947686.34000000008</v>
      </c>
      <c r="V195" s="7">
        <v>38032.720000000001</v>
      </c>
      <c r="W195" s="7">
        <v>0</v>
      </c>
      <c r="X195" s="7">
        <v>1903.27</v>
      </c>
      <c r="Y195" s="8">
        <v>1903.27</v>
      </c>
    </row>
    <row r="196" spans="1:25" x14ac:dyDescent="0.2">
      <c r="A196" s="42" t="s">
        <v>464</v>
      </c>
      <c r="B196" s="43" t="s">
        <v>465</v>
      </c>
      <c r="C196" s="43" t="s">
        <v>611</v>
      </c>
      <c r="D196" s="43" t="s">
        <v>612</v>
      </c>
      <c r="E196" s="49" t="s">
        <v>208</v>
      </c>
      <c r="F196" s="43" t="s">
        <v>209</v>
      </c>
      <c r="G196" s="6">
        <v>44226</v>
      </c>
      <c r="H196" s="6">
        <v>44375</v>
      </c>
      <c r="I196" s="7">
        <v>0</v>
      </c>
      <c r="J196" s="7">
        <v>0</v>
      </c>
      <c r="K196" s="7">
        <v>0</v>
      </c>
      <c r="L196" s="7">
        <v>0</v>
      </c>
      <c r="M196" s="7">
        <v>0</v>
      </c>
      <c r="N196" s="7">
        <v>0</v>
      </c>
      <c r="O196" s="7">
        <f t="shared" si="19"/>
        <v>0</v>
      </c>
      <c r="P196" s="7">
        <v>89695.88</v>
      </c>
      <c r="Q196" s="7">
        <v>0</v>
      </c>
      <c r="R196" s="7">
        <v>0</v>
      </c>
      <c r="S196" s="7">
        <v>0</v>
      </c>
      <c r="T196" s="7">
        <v>0</v>
      </c>
      <c r="U196" s="7">
        <f t="shared" si="20"/>
        <v>89695.88</v>
      </c>
      <c r="V196" s="7">
        <v>-89695.88</v>
      </c>
      <c r="W196" s="7">
        <v>0</v>
      </c>
      <c r="X196" s="7">
        <v>0</v>
      </c>
      <c r="Y196" s="8">
        <v>0</v>
      </c>
    </row>
    <row r="197" spans="1:25" x14ac:dyDescent="0.2">
      <c r="A197" s="42" t="s">
        <v>156</v>
      </c>
      <c r="B197" s="43" t="s">
        <v>157</v>
      </c>
      <c r="C197" s="43" t="s">
        <v>609</v>
      </c>
      <c r="D197" s="43" t="s">
        <v>610</v>
      </c>
      <c r="E197" s="49" t="s">
        <v>158</v>
      </c>
      <c r="F197" s="43" t="s">
        <v>159</v>
      </c>
      <c r="G197" s="6">
        <v>44629</v>
      </c>
      <c r="H197" s="6"/>
      <c r="I197" s="7">
        <v>904500</v>
      </c>
      <c r="J197" s="7">
        <v>0</v>
      </c>
      <c r="K197" s="7">
        <v>0</v>
      </c>
      <c r="L197" s="7">
        <v>5343.42</v>
      </c>
      <c r="M197" s="7">
        <v>0</v>
      </c>
      <c r="N197" s="7">
        <v>0</v>
      </c>
      <c r="O197" s="7">
        <f t="shared" si="19"/>
        <v>5343.42</v>
      </c>
      <c r="P197" s="7">
        <v>153165.4</v>
      </c>
      <c r="Q197" s="7">
        <v>0</v>
      </c>
      <c r="R197" s="7">
        <v>0</v>
      </c>
      <c r="S197" s="7">
        <v>42965.25</v>
      </c>
      <c r="T197" s="7">
        <v>56939.53</v>
      </c>
      <c r="U197" s="7">
        <f t="shared" si="20"/>
        <v>253070.18</v>
      </c>
      <c r="V197" s="7">
        <v>-247726.76</v>
      </c>
      <c r="W197" s="7">
        <v>0</v>
      </c>
      <c r="X197" s="7">
        <v>0</v>
      </c>
      <c r="Y197" s="8">
        <v>0</v>
      </c>
    </row>
    <row r="198" spans="1:25" x14ac:dyDescent="0.2">
      <c r="A198" s="42" t="s">
        <v>347</v>
      </c>
      <c r="B198" s="43" t="s">
        <v>348</v>
      </c>
      <c r="C198" s="43" t="s">
        <v>609</v>
      </c>
      <c r="D198" s="43" t="s">
        <v>610</v>
      </c>
      <c r="E198" s="49" t="s">
        <v>56</v>
      </c>
      <c r="F198" s="43" t="s">
        <v>57</v>
      </c>
      <c r="G198" s="6">
        <v>44226</v>
      </c>
      <c r="H198" s="6">
        <v>44365</v>
      </c>
      <c r="I198" s="7">
        <v>0</v>
      </c>
      <c r="J198" s="7">
        <v>0</v>
      </c>
      <c r="K198" s="7">
        <v>0</v>
      </c>
      <c r="L198" s="7">
        <v>0</v>
      </c>
      <c r="M198" s="7">
        <v>0</v>
      </c>
      <c r="N198" s="7">
        <v>0</v>
      </c>
      <c r="O198" s="7">
        <f t="shared" si="19"/>
        <v>0</v>
      </c>
      <c r="P198" s="7">
        <v>0</v>
      </c>
      <c r="Q198" s="7">
        <v>0</v>
      </c>
      <c r="R198" s="7">
        <v>6033.23</v>
      </c>
      <c r="S198" s="7">
        <v>0</v>
      </c>
      <c r="T198" s="7">
        <v>0</v>
      </c>
      <c r="U198" s="7">
        <f t="shared" si="20"/>
        <v>6033.23</v>
      </c>
      <c r="V198" s="7">
        <v>-6033.23</v>
      </c>
      <c r="W198" s="7">
        <v>0</v>
      </c>
      <c r="X198" s="7">
        <v>0</v>
      </c>
      <c r="Y198" s="8">
        <v>0</v>
      </c>
    </row>
    <row r="199" spans="1:25" x14ac:dyDescent="0.2">
      <c r="A199" s="42" t="s">
        <v>335</v>
      </c>
      <c r="B199" s="43" t="s">
        <v>336</v>
      </c>
      <c r="C199" s="43" t="s">
        <v>611</v>
      </c>
      <c r="D199" s="43" t="s">
        <v>612</v>
      </c>
      <c r="E199" s="49" t="s">
        <v>158</v>
      </c>
      <c r="F199" s="43" t="s">
        <v>159</v>
      </c>
      <c r="G199" s="6">
        <v>44226</v>
      </c>
      <c r="H199" s="6">
        <v>44459</v>
      </c>
      <c r="I199" s="7">
        <v>0</v>
      </c>
      <c r="J199" s="7">
        <v>0</v>
      </c>
      <c r="K199" s="7">
        <v>0</v>
      </c>
      <c r="L199" s="7">
        <v>-688.27</v>
      </c>
      <c r="M199" s="7">
        <v>0</v>
      </c>
      <c r="N199" s="7">
        <v>0</v>
      </c>
      <c r="O199" s="7">
        <f t="shared" si="19"/>
        <v>-688.27</v>
      </c>
      <c r="P199" s="7">
        <v>0</v>
      </c>
      <c r="Q199" s="7">
        <v>0</v>
      </c>
      <c r="R199" s="7">
        <v>0</v>
      </c>
      <c r="S199" s="7">
        <v>0</v>
      </c>
      <c r="T199" s="7">
        <v>0</v>
      </c>
      <c r="U199" s="7">
        <f t="shared" si="20"/>
        <v>0</v>
      </c>
      <c r="V199" s="7">
        <v>-688.27</v>
      </c>
      <c r="W199" s="7">
        <v>0</v>
      </c>
      <c r="X199" s="7">
        <v>0</v>
      </c>
      <c r="Y199" s="8">
        <v>0</v>
      </c>
    </row>
    <row r="200" spans="1:25" x14ac:dyDescent="0.2">
      <c r="A200" s="42" t="s">
        <v>138</v>
      </c>
      <c r="B200" s="43" t="s">
        <v>139</v>
      </c>
      <c r="C200" s="43" t="s">
        <v>609</v>
      </c>
      <c r="D200" s="43" t="s">
        <v>610</v>
      </c>
      <c r="E200" s="49">
        <v>438</v>
      </c>
      <c r="F200" s="43" t="s">
        <v>86</v>
      </c>
      <c r="G200" s="6">
        <v>44677</v>
      </c>
      <c r="H200" s="6"/>
      <c r="I200" s="7">
        <v>200000</v>
      </c>
      <c r="J200" s="7">
        <v>0</v>
      </c>
      <c r="K200" s="7">
        <v>0</v>
      </c>
      <c r="L200" s="7">
        <v>51348.19</v>
      </c>
      <c r="M200" s="7">
        <v>0</v>
      </c>
      <c r="N200" s="7">
        <v>0</v>
      </c>
      <c r="O200" s="7">
        <f t="shared" si="19"/>
        <v>51348.19</v>
      </c>
      <c r="P200" s="7">
        <v>0</v>
      </c>
      <c r="Q200" s="7">
        <v>0</v>
      </c>
      <c r="R200" s="7">
        <v>0</v>
      </c>
      <c r="S200" s="7">
        <v>232.97</v>
      </c>
      <c r="T200" s="7">
        <v>35899.35</v>
      </c>
      <c r="U200" s="7">
        <f t="shared" si="20"/>
        <v>36132.32</v>
      </c>
      <c r="V200" s="7">
        <v>15215.87</v>
      </c>
      <c r="W200" s="7">
        <v>0</v>
      </c>
      <c r="X200" s="7">
        <v>0</v>
      </c>
      <c r="Y200" s="8">
        <v>0</v>
      </c>
    </row>
    <row r="201" spans="1:25" x14ac:dyDescent="0.2">
      <c r="A201" s="42" t="s">
        <v>162</v>
      </c>
      <c r="B201" s="43" t="s">
        <v>163</v>
      </c>
      <c r="C201" s="43" t="s">
        <v>609</v>
      </c>
      <c r="D201" s="43" t="s">
        <v>610</v>
      </c>
      <c r="E201" s="49" t="s">
        <v>5</v>
      </c>
      <c r="F201" s="43" t="s">
        <v>6</v>
      </c>
      <c r="G201" s="6">
        <v>44411</v>
      </c>
      <c r="H201" s="6"/>
      <c r="I201" s="7">
        <v>1561780</v>
      </c>
      <c r="J201" s="7">
        <v>0</v>
      </c>
      <c r="K201" s="7">
        <v>0</v>
      </c>
      <c r="L201" s="7">
        <v>0</v>
      </c>
      <c r="M201" s="7">
        <v>0</v>
      </c>
      <c r="N201" s="7">
        <v>0</v>
      </c>
      <c r="O201" s="7">
        <f t="shared" si="19"/>
        <v>0</v>
      </c>
      <c r="P201" s="7">
        <v>0</v>
      </c>
      <c r="Q201" s="7">
        <v>0</v>
      </c>
      <c r="R201" s="7">
        <v>0</v>
      </c>
      <c r="S201" s="7">
        <v>61011.64</v>
      </c>
      <c r="T201" s="7">
        <v>115797.61</v>
      </c>
      <c r="U201" s="7">
        <f t="shared" si="20"/>
        <v>176809.25</v>
      </c>
      <c r="V201" s="7">
        <v>-176809.25</v>
      </c>
      <c r="W201" s="7">
        <v>0</v>
      </c>
      <c r="X201" s="7">
        <v>25093.74</v>
      </c>
      <c r="Y201" s="8">
        <v>25093.74</v>
      </c>
    </row>
    <row r="202" spans="1:25" x14ac:dyDescent="0.2">
      <c r="A202" s="42" t="s">
        <v>130</v>
      </c>
      <c r="B202" s="43" t="s">
        <v>131</v>
      </c>
      <c r="C202" s="43" t="s">
        <v>611</v>
      </c>
      <c r="D202" s="43" t="s">
        <v>612</v>
      </c>
      <c r="E202" s="49">
        <v>438</v>
      </c>
      <c r="F202" s="43" t="s">
        <v>86</v>
      </c>
      <c r="G202" s="6">
        <v>44442</v>
      </c>
      <c r="H202" s="6"/>
      <c r="I202" s="7">
        <v>0</v>
      </c>
      <c r="J202" s="7">
        <v>0</v>
      </c>
      <c r="K202" s="7">
        <v>0</v>
      </c>
      <c r="L202" s="7">
        <v>0.01</v>
      </c>
      <c r="M202" s="7">
        <v>0</v>
      </c>
      <c r="N202" s="7">
        <v>0</v>
      </c>
      <c r="O202" s="7">
        <f t="shared" si="19"/>
        <v>0.01</v>
      </c>
      <c r="P202" s="7">
        <v>0</v>
      </c>
      <c r="Q202" s="7">
        <v>0</v>
      </c>
      <c r="R202" s="7">
        <v>0</v>
      </c>
      <c r="S202" s="7">
        <v>0</v>
      </c>
      <c r="T202" s="7">
        <v>0</v>
      </c>
      <c r="U202" s="7">
        <f t="shared" si="20"/>
        <v>0</v>
      </c>
      <c r="V202" s="7">
        <v>0.01</v>
      </c>
      <c r="W202" s="7">
        <v>0</v>
      </c>
      <c r="X202" s="7">
        <v>0</v>
      </c>
      <c r="Y202" s="8">
        <v>0</v>
      </c>
    </row>
    <row r="203" spans="1:25" x14ac:dyDescent="0.2">
      <c r="A203" s="42" t="s">
        <v>487</v>
      </c>
      <c r="B203" s="43" t="s">
        <v>488</v>
      </c>
      <c r="C203" s="43" t="s">
        <v>611</v>
      </c>
      <c r="D203" s="43" t="s">
        <v>612</v>
      </c>
      <c r="E203" s="49">
        <v>250</v>
      </c>
      <c r="F203" s="43" t="s">
        <v>480</v>
      </c>
      <c r="G203" s="6">
        <v>44226</v>
      </c>
      <c r="H203" s="6">
        <v>41820</v>
      </c>
      <c r="I203" s="7">
        <v>0</v>
      </c>
      <c r="J203" s="7">
        <v>0</v>
      </c>
      <c r="K203" s="7">
        <v>0</v>
      </c>
      <c r="L203" s="7">
        <v>0</v>
      </c>
      <c r="M203" s="7">
        <v>0</v>
      </c>
      <c r="N203" s="7">
        <v>0</v>
      </c>
      <c r="O203" s="7">
        <f t="shared" si="19"/>
        <v>0</v>
      </c>
      <c r="P203" s="7">
        <v>0</v>
      </c>
      <c r="Q203" s="7">
        <v>0</v>
      </c>
      <c r="R203" s="7">
        <v>0</v>
      </c>
      <c r="S203" s="7">
        <v>0</v>
      </c>
      <c r="T203" s="7">
        <v>109903.81</v>
      </c>
      <c r="U203" s="7">
        <f t="shared" si="20"/>
        <v>109903.81</v>
      </c>
      <c r="V203" s="7">
        <v>-109903.81</v>
      </c>
      <c r="W203" s="7">
        <v>0</v>
      </c>
      <c r="X203" s="7">
        <v>0</v>
      </c>
      <c r="Y203" s="8">
        <v>0</v>
      </c>
    </row>
    <row r="204" spans="1:25" x14ac:dyDescent="0.2">
      <c r="A204" s="42" t="s">
        <v>206</v>
      </c>
      <c r="B204" s="43" t="s">
        <v>207</v>
      </c>
      <c r="C204" s="43" t="s">
        <v>609</v>
      </c>
      <c r="D204" s="43" t="s">
        <v>610</v>
      </c>
      <c r="E204" s="49" t="s">
        <v>208</v>
      </c>
      <c r="F204" s="43" t="s">
        <v>209</v>
      </c>
      <c r="G204" s="6">
        <v>44226</v>
      </c>
      <c r="H204" s="6">
        <v>42198</v>
      </c>
      <c r="I204" s="7">
        <v>0</v>
      </c>
      <c r="J204" s="7">
        <v>0</v>
      </c>
      <c r="K204" s="7">
        <v>0</v>
      </c>
      <c r="L204" s="7">
        <v>0</v>
      </c>
      <c r="M204" s="7">
        <v>0</v>
      </c>
      <c r="N204" s="7">
        <v>0</v>
      </c>
      <c r="O204" s="7">
        <f>SUM(J204:N204)</f>
        <v>0</v>
      </c>
      <c r="P204" s="7">
        <v>0</v>
      </c>
      <c r="Q204" s="7">
        <v>0</v>
      </c>
      <c r="R204" s="7">
        <v>0</v>
      </c>
      <c r="S204" s="7">
        <v>0</v>
      </c>
      <c r="T204" s="7">
        <v>398.92</v>
      </c>
      <c r="U204" s="7">
        <f t="shared" si="20"/>
        <v>398.92</v>
      </c>
      <c r="V204" s="7">
        <v>-398.92</v>
      </c>
      <c r="W204" s="7">
        <v>0</v>
      </c>
      <c r="X204" s="7">
        <v>0</v>
      </c>
      <c r="Y204" s="8">
        <v>0</v>
      </c>
    </row>
    <row r="205" spans="1:25" x14ac:dyDescent="0.2">
      <c r="A205" s="42" t="s">
        <v>242</v>
      </c>
      <c r="B205" s="43" t="s">
        <v>243</v>
      </c>
      <c r="C205" s="43" t="s">
        <v>611</v>
      </c>
      <c r="D205" s="43" t="s">
        <v>612</v>
      </c>
      <c r="E205" s="49">
        <v>330</v>
      </c>
      <c r="F205" s="43" t="s">
        <v>49</v>
      </c>
      <c r="G205" s="6">
        <v>44226</v>
      </c>
      <c r="H205" s="6">
        <v>42181</v>
      </c>
      <c r="I205" s="7">
        <v>0</v>
      </c>
      <c r="J205" s="7">
        <v>0</v>
      </c>
      <c r="K205" s="7">
        <v>0</v>
      </c>
      <c r="L205" s="7">
        <v>0</v>
      </c>
      <c r="M205" s="7">
        <v>0</v>
      </c>
      <c r="N205" s="7">
        <v>0</v>
      </c>
      <c r="O205" s="7">
        <f t="shared" ref="O205:O230" si="21">SUM(J205:N205)</f>
        <v>0</v>
      </c>
      <c r="P205" s="7">
        <v>0</v>
      </c>
      <c r="Q205" s="7">
        <v>0</v>
      </c>
      <c r="R205" s="7">
        <v>0</v>
      </c>
      <c r="S205" s="7">
        <v>0</v>
      </c>
      <c r="T205" s="7">
        <v>54712.82</v>
      </c>
      <c r="U205" s="7">
        <f t="shared" si="20"/>
        <v>54712.82</v>
      </c>
      <c r="V205" s="7">
        <v>-54712.82</v>
      </c>
      <c r="W205" s="7">
        <v>0</v>
      </c>
      <c r="X205" s="7">
        <v>0</v>
      </c>
      <c r="Y205" s="8">
        <v>0</v>
      </c>
    </row>
    <row r="206" spans="1:25" x14ac:dyDescent="0.2">
      <c r="A206" s="42" t="s">
        <v>240</v>
      </c>
      <c r="B206" s="43" t="s">
        <v>241</v>
      </c>
      <c r="C206" s="43" t="s">
        <v>611</v>
      </c>
      <c r="D206" s="43" t="s">
        <v>612</v>
      </c>
      <c r="E206" s="49">
        <v>330</v>
      </c>
      <c r="F206" s="43" t="s">
        <v>49</v>
      </c>
      <c r="G206" s="6">
        <v>44226</v>
      </c>
      <c r="H206" s="6">
        <v>42181</v>
      </c>
      <c r="I206" s="7">
        <v>2850000</v>
      </c>
      <c r="J206" s="7">
        <v>0</v>
      </c>
      <c r="K206" s="7">
        <v>0</v>
      </c>
      <c r="L206" s="7">
        <v>0</v>
      </c>
      <c r="M206" s="7">
        <v>0</v>
      </c>
      <c r="N206" s="7">
        <v>0</v>
      </c>
      <c r="O206" s="7">
        <f t="shared" si="21"/>
        <v>0</v>
      </c>
      <c r="P206" s="7">
        <v>0</v>
      </c>
      <c r="Q206" s="7">
        <v>0</v>
      </c>
      <c r="R206" s="7">
        <v>0</v>
      </c>
      <c r="S206" s="7">
        <v>0</v>
      </c>
      <c r="T206" s="7">
        <v>10024.48</v>
      </c>
      <c r="U206" s="7">
        <f t="shared" si="20"/>
        <v>10024.48</v>
      </c>
      <c r="V206" s="7">
        <v>-10024.48</v>
      </c>
      <c r="W206" s="7">
        <v>0</v>
      </c>
      <c r="X206" s="7">
        <v>0</v>
      </c>
      <c r="Y206" s="8">
        <v>0</v>
      </c>
    </row>
    <row r="207" spans="1:25" x14ac:dyDescent="0.2">
      <c r="A207" s="42" t="s">
        <v>60</v>
      </c>
      <c r="B207" s="43" t="s">
        <v>61</v>
      </c>
      <c r="C207" s="43" t="s">
        <v>609</v>
      </c>
      <c r="D207" s="43" t="s">
        <v>610</v>
      </c>
      <c r="E207" s="49" t="s">
        <v>62</v>
      </c>
      <c r="F207" s="43" t="s">
        <v>63</v>
      </c>
      <c r="G207" s="6">
        <v>44468</v>
      </c>
      <c r="H207" s="6"/>
      <c r="I207" s="7">
        <v>289200</v>
      </c>
      <c r="J207" s="7">
        <v>0</v>
      </c>
      <c r="K207" s="7">
        <v>0</v>
      </c>
      <c r="L207" s="7">
        <v>0</v>
      </c>
      <c r="M207" s="7">
        <v>0</v>
      </c>
      <c r="N207" s="7">
        <v>0</v>
      </c>
      <c r="O207" s="7">
        <f t="shared" si="21"/>
        <v>0</v>
      </c>
      <c r="P207" s="7">
        <v>294784</v>
      </c>
      <c r="Q207" s="7">
        <v>0</v>
      </c>
      <c r="R207" s="7">
        <v>0</v>
      </c>
      <c r="S207" s="7">
        <v>6790.51</v>
      </c>
      <c r="T207" s="7">
        <v>0</v>
      </c>
      <c r="U207" s="7">
        <f t="shared" si="20"/>
        <v>301574.51</v>
      </c>
      <c r="V207" s="7">
        <v>-301574.51</v>
      </c>
      <c r="W207" s="7">
        <v>0</v>
      </c>
      <c r="X207" s="7">
        <v>0</v>
      </c>
      <c r="Y207" s="8">
        <v>0</v>
      </c>
    </row>
    <row r="208" spans="1:25" x14ac:dyDescent="0.2">
      <c r="A208" s="42" t="s">
        <v>126</v>
      </c>
      <c r="B208" s="43" t="s">
        <v>127</v>
      </c>
      <c r="C208" s="43" t="s">
        <v>609</v>
      </c>
      <c r="D208" s="43" t="s">
        <v>610</v>
      </c>
      <c r="E208" s="49">
        <v>438</v>
      </c>
      <c r="F208" s="43" t="s">
        <v>86</v>
      </c>
      <c r="G208" s="6">
        <v>44516</v>
      </c>
      <c r="H208" s="6"/>
      <c r="I208" s="7">
        <v>3671300</v>
      </c>
      <c r="J208" s="7">
        <v>0</v>
      </c>
      <c r="K208" s="7">
        <v>0</v>
      </c>
      <c r="L208" s="7">
        <v>0</v>
      </c>
      <c r="M208" s="7">
        <v>0</v>
      </c>
      <c r="N208" s="7">
        <v>0</v>
      </c>
      <c r="O208" s="7">
        <f t="shared" si="21"/>
        <v>0</v>
      </c>
      <c r="P208" s="7">
        <v>0</v>
      </c>
      <c r="Q208" s="7">
        <v>0</v>
      </c>
      <c r="R208" s="7">
        <v>0</v>
      </c>
      <c r="S208" s="7">
        <v>28948.28</v>
      </c>
      <c r="T208" s="7">
        <v>67022.62</v>
      </c>
      <c r="U208" s="7">
        <f t="shared" si="20"/>
        <v>95970.9</v>
      </c>
      <c r="V208" s="7">
        <v>-95970.9</v>
      </c>
      <c r="W208" s="7">
        <v>17668.61</v>
      </c>
      <c r="X208" s="7">
        <v>0</v>
      </c>
      <c r="Y208" s="8">
        <v>17668.61</v>
      </c>
    </row>
    <row r="209" spans="1:25" x14ac:dyDescent="0.2">
      <c r="A209" s="42" t="s">
        <v>92</v>
      </c>
      <c r="B209" s="43" t="s">
        <v>93</v>
      </c>
      <c r="C209" s="43" t="s">
        <v>609</v>
      </c>
      <c r="D209" s="43" t="s">
        <v>610</v>
      </c>
      <c r="E209" s="49">
        <v>438</v>
      </c>
      <c r="F209" s="43" t="s">
        <v>86</v>
      </c>
      <c r="G209" s="6">
        <v>44531</v>
      </c>
      <c r="H209" s="6"/>
      <c r="I209" s="7">
        <v>271600</v>
      </c>
      <c r="J209" s="7">
        <v>0</v>
      </c>
      <c r="K209" s="7">
        <v>0</v>
      </c>
      <c r="L209" s="7">
        <v>0</v>
      </c>
      <c r="M209" s="7">
        <v>70012.240000000005</v>
      </c>
      <c r="N209" s="7">
        <v>0</v>
      </c>
      <c r="O209" s="7">
        <f t="shared" si="21"/>
        <v>70012.240000000005</v>
      </c>
      <c r="P209" s="7">
        <v>0</v>
      </c>
      <c r="Q209" s="7">
        <v>0</v>
      </c>
      <c r="R209" s="7">
        <v>0</v>
      </c>
      <c r="S209" s="7">
        <v>90164.45</v>
      </c>
      <c r="T209" s="7">
        <v>41350.050000000003</v>
      </c>
      <c r="U209" s="7">
        <f t="shared" si="20"/>
        <v>131514.5</v>
      </c>
      <c r="V209" s="7">
        <v>-61502.26</v>
      </c>
      <c r="W209" s="7">
        <v>460</v>
      </c>
      <c r="X209" s="7">
        <v>0</v>
      </c>
      <c r="Y209" s="8">
        <v>460</v>
      </c>
    </row>
    <row r="210" spans="1:25" x14ac:dyDescent="0.2">
      <c r="A210" s="42" t="s">
        <v>501</v>
      </c>
      <c r="B210" s="43" t="s">
        <v>320</v>
      </c>
      <c r="C210" s="43" t="s">
        <v>609</v>
      </c>
      <c r="D210" s="43" t="s">
        <v>610</v>
      </c>
      <c r="E210" s="49">
        <v>330</v>
      </c>
      <c r="F210" s="43" t="s">
        <v>49</v>
      </c>
      <c r="G210" s="6">
        <v>44307</v>
      </c>
      <c r="H210" s="6">
        <v>42198</v>
      </c>
      <c r="I210" s="7">
        <v>1122000</v>
      </c>
      <c r="J210" s="7">
        <v>0</v>
      </c>
      <c r="K210" s="7">
        <v>0</v>
      </c>
      <c r="L210" s="7">
        <v>0</v>
      </c>
      <c r="M210" s="7">
        <v>0</v>
      </c>
      <c r="N210" s="7">
        <v>0</v>
      </c>
      <c r="O210" s="7">
        <f t="shared" si="21"/>
        <v>0</v>
      </c>
      <c r="P210" s="7">
        <v>0</v>
      </c>
      <c r="Q210" s="7">
        <v>0</v>
      </c>
      <c r="R210" s="7">
        <v>0</v>
      </c>
      <c r="S210" s="7">
        <v>0</v>
      </c>
      <c r="T210" s="7">
        <v>0</v>
      </c>
      <c r="U210" s="7">
        <f t="shared" si="20"/>
        <v>0</v>
      </c>
      <c r="V210" s="7">
        <v>0</v>
      </c>
      <c r="W210" s="7">
        <v>244.63</v>
      </c>
      <c r="X210" s="7">
        <v>0</v>
      </c>
      <c r="Y210" s="8">
        <v>244.63</v>
      </c>
    </row>
    <row r="211" spans="1:25" x14ac:dyDescent="0.2">
      <c r="A211" s="42" t="s">
        <v>227</v>
      </c>
      <c r="B211" s="43" t="s">
        <v>228</v>
      </c>
      <c r="C211" s="43" t="s">
        <v>609</v>
      </c>
      <c r="D211" s="43" t="s">
        <v>610</v>
      </c>
      <c r="E211" s="49" t="s">
        <v>166</v>
      </c>
      <c r="F211" s="43" t="s">
        <v>167</v>
      </c>
      <c r="G211" s="6">
        <v>44306</v>
      </c>
      <c r="H211" s="6">
        <v>44403</v>
      </c>
      <c r="I211" s="7">
        <v>1058000</v>
      </c>
      <c r="J211" s="7">
        <v>0</v>
      </c>
      <c r="K211" s="7">
        <v>0</v>
      </c>
      <c r="L211" s="7">
        <v>0</v>
      </c>
      <c r="M211" s="7">
        <v>0</v>
      </c>
      <c r="N211" s="7">
        <v>0</v>
      </c>
      <c r="O211" s="7">
        <f t="shared" si="21"/>
        <v>0</v>
      </c>
      <c r="P211" s="7">
        <v>0</v>
      </c>
      <c r="Q211" s="7">
        <v>0</v>
      </c>
      <c r="R211" s="7">
        <v>0</v>
      </c>
      <c r="S211" s="7">
        <v>4153.1099999999997</v>
      </c>
      <c r="T211" s="7">
        <v>41692.870000000003</v>
      </c>
      <c r="U211" s="7">
        <f t="shared" si="20"/>
        <v>45845.98</v>
      </c>
      <c r="V211" s="7">
        <v>-45845.98</v>
      </c>
      <c r="W211" s="7">
        <v>0</v>
      </c>
      <c r="X211" s="7">
        <v>0</v>
      </c>
      <c r="Y211" s="8">
        <v>0</v>
      </c>
    </row>
    <row r="212" spans="1:25" x14ac:dyDescent="0.2">
      <c r="A212" s="42" t="s">
        <v>476</v>
      </c>
      <c r="B212" s="43" t="s">
        <v>477</v>
      </c>
      <c r="C212" s="43" t="s">
        <v>609</v>
      </c>
      <c r="D212" s="43" t="s">
        <v>610</v>
      </c>
      <c r="E212" s="49" t="s">
        <v>166</v>
      </c>
      <c r="F212" s="43" t="s">
        <v>167</v>
      </c>
      <c r="G212" s="6">
        <v>44226</v>
      </c>
      <c r="H212" s="6">
        <v>43888</v>
      </c>
      <c r="I212" s="7">
        <v>444114</v>
      </c>
      <c r="J212" s="7">
        <v>0</v>
      </c>
      <c r="K212" s="7">
        <v>0</v>
      </c>
      <c r="L212" s="7">
        <v>0</v>
      </c>
      <c r="M212" s="7">
        <v>0</v>
      </c>
      <c r="N212" s="7">
        <v>0</v>
      </c>
      <c r="O212" s="7">
        <f t="shared" si="21"/>
        <v>0</v>
      </c>
      <c r="P212" s="7">
        <v>0</v>
      </c>
      <c r="Q212" s="7">
        <v>0</v>
      </c>
      <c r="R212" s="7">
        <v>0</v>
      </c>
      <c r="S212" s="7">
        <v>19466.59</v>
      </c>
      <c r="T212" s="7">
        <v>8859.91</v>
      </c>
      <c r="U212" s="7">
        <f t="shared" si="20"/>
        <v>28326.5</v>
      </c>
      <c r="V212" s="7">
        <v>-28326.5</v>
      </c>
      <c r="W212" s="7">
        <v>0</v>
      </c>
      <c r="X212" s="7">
        <v>1842.46</v>
      </c>
      <c r="Y212" s="8">
        <v>1842.46</v>
      </c>
    </row>
    <row r="213" spans="1:25" x14ac:dyDescent="0.2">
      <c r="A213" s="42" t="s">
        <v>225</v>
      </c>
      <c r="B213" s="43" t="s">
        <v>226</v>
      </c>
      <c r="C213" s="43" t="s">
        <v>609</v>
      </c>
      <c r="D213" s="43" t="s">
        <v>610</v>
      </c>
      <c r="E213" s="49" t="s">
        <v>166</v>
      </c>
      <c r="F213" s="43" t="s">
        <v>167</v>
      </c>
      <c r="G213" s="6">
        <v>44226</v>
      </c>
      <c r="H213" s="6">
        <v>44223</v>
      </c>
      <c r="I213" s="7">
        <v>1144000</v>
      </c>
      <c r="J213" s="7">
        <v>0</v>
      </c>
      <c r="K213" s="7">
        <v>0</v>
      </c>
      <c r="L213" s="7">
        <v>0</v>
      </c>
      <c r="M213" s="7">
        <v>0</v>
      </c>
      <c r="N213" s="7">
        <v>0</v>
      </c>
      <c r="O213" s="7">
        <f t="shared" si="21"/>
        <v>0</v>
      </c>
      <c r="P213" s="7">
        <v>0</v>
      </c>
      <c r="Q213" s="7">
        <v>0</v>
      </c>
      <c r="R213" s="7">
        <v>0</v>
      </c>
      <c r="S213" s="7">
        <v>10366.31</v>
      </c>
      <c r="T213" s="7">
        <v>37143.019999999997</v>
      </c>
      <c r="U213" s="7">
        <f t="shared" si="20"/>
        <v>47509.329999999994</v>
      </c>
      <c r="V213" s="7">
        <v>-47509.33</v>
      </c>
      <c r="W213" s="7">
        <v>9700.7099999999991</v>
      </c>
      <c r="X213" s="7">
        <v>0</v>
      </c>
      <c r="Y213" s="8">
        <v>9700.7099999999991</v>
      </c>
    </row>
    <row r="214" spans="1:25" x14ac:dyDescent="0.2">
      <c r="A214" s="42" t="s">
        <v>374</v>
      </c>
      <c r="B214" s="43" t="s">
        <v>375</v>
      </c>
      <c r="C214" s="43" t="s">
        <v>609</v>
      </c>
      <c r="D214" s="43" t="s">
        <v>610</v>
      </c>
      <c r="E214" s="49">
        <v>438</v>
      </c>
      <c r="F214" s="43" t="s">
        <v>86</v>
      </c>
      <c r="G214" s="6">
        <v>44226</v>
      </c>
      <c r="H214" s="6">
        <v>44005</v>
      </c>
      <c r="I214" s="7">
        <v>0</v>
      </c>
      <c r="J214" s="7">
        <v>0</v>
      </c>
      <c r="K214" s="7">
        <v>0</v>
      </c>
      <c r="L214" s="7">
        <v>0</v>
      </c>
      <c r="M214" s="7">
        <v>0</v>
      </c>
      <c r="N214" s="7">
        <v>0</v>
      </c>
      <c r="O214" s="7">
        <f t="shared" si="21"/>
        <v>0</v>
      </c>
      <c r="P214" s="7">
        <v>0</v>
      </c>
      <c r="Q214" s="7">
        <v>0</v>
      </c>
      <c r="R214" s="7">
        <v>0</v>
      </c>
      <c r="S214" s="7">
        <v>28891.759999999998</v>
      </c>
      <c r="T214" s="7">
        <v>22642.42</v>
      </c>
      <c r="U214" s="7">
        <f t="shared" si="20"/>
        <v>51534.179999999993</v>
      </c>
      <c r="V214" s="7">
        <v>-51534.18</v>
      </c>
      <c r="W214" s="7">
        <v>3369.35</v>
      </c>
      <c r="X214" s="7">
        <v>29767.87</v>
      </c>
      <c r="Y214" s="8">
        <v>33137.22</v>
      </c>
    </row>
    <row r="215" spans="1:25" x14ac:dyDescent="0.2">
      <c r="A215" s="42" t="s">
        <v>102</v>
      </c>
      <c r="B215" s="43" t="s">
        <v>103</v>
      </c>
      <c r="C215" s="43" t="s">
        <v>609</v>
      </c>
      <c r="D215" s="43" t="s">
        <v>610</v>
      </c>
      <c r="E215" s="49" t="s">
        <v>5</v>
      </c>
      <c r="F215" s="43" t="s">
        <v>6</v>
      </c>
      <c r="G215" s="6">
        <v>44607</v>
      </c>
      <c r="H215" s="6"/>
      <c r="I215" s="7">
        <v>785169</v>
      </c>
      <c r="J215" s="7">
        <v>0</v>
      </c>
      <c r="K215" s="7">
        <v>0</v>
      </c>
      <c r="L215" s="7">
        <v>7432.32</v>
      </c>
      <c r="M215" s="7">
        <v>0</v>
      </c>
      <c r="N215" s="7">
        <v>0</v>
      </c>
      <c r="O215" s="7">
        <f t="shared" si="21"/>
        <v>7432.32</v>
      </c>
      <c r="P215" s="7">
        <v>0</v>
      </c>
      <c r="Q215" s="7">
        <v>0</v>
      </c>
      <c r="R215" s="7">
        <v>0</v>
      </c>
      <c r="S215" s="7">
        <v>2660.45</v>
      </c>
      <c r="T215" s="7">
        <v>2523.2199999999998</v>
      </c>
      <c r="U215" s="7">
        <f t="shared" si="20"/>
        <v>5183.67</v>
      </c>
      <c r="V215" s="7">
        <v>2248.65</v>
      </c>
      <c r="W215" s="7">
        <v>542.98</v>
      </c>
      <c r="X215" s="7">
        <v>0</v>
      </c>
      <c r="Y215" s="8">
        <v>542.98</v>
      </c>
    </row>
    <row r="216" spans="1:25" x14ac:dyDescent="0.2">
      <c r="A216" s="42" t="s">
        <v>251</v>
      </c>
      <c r="B216" s="43" t="s">
        <v>252</v>
      </c>
      <c r="C216" s="43" t="s">
        <v>609</v>
      </c>
      <c r="D216" s="43" t="s">
        <v>610</v>
      </c>
      <c r="E216" s="49">
        <v>438</v>
      </c>
      <c r="F216" s="43" t="s">
        <v>86</v>
      </c>
      <c r="G216" s="6">
        <v>44226</v>
      </c>
      <c r="H216" s="6">
        <v>42391</v>
      </c>
      <c r="I216" s="7">
        <v>0</v>
      </c>
      <c r="J216" s="7">
        <v>0</v>
      </c>
      <c r="K216" s="7">
        <v>0</v>
      </c>
      <c r="L216" s="7">
        <v>0</v>
      </c>
      <c r="M216" s="7">
        <v>0</v>
      </c>
      <c r="N216" s="7">
        <v>0</v>
      </c>
      <c r="O216" s="7">
        <f t="shared" si="21"/>
        <v>0</v>
      </c>
      <c r="P216" s="7">
        <v>0</v>
      </c>
      <c r="Q216" s="7">
        <v>0</v>
      </c>
      <c r="R216" s="7">
        <v>0</v>
      </c>
      <c r="S216" s="7">
        <v>30025.279999999999</v>
      </c>
      <c r="T216" s="7">
        <v>0</v>
      </c>
      <c r="U216" s="7">
        <f t="shared" si="20"/>
        <v>30025.279999999999</v>
      </c>
      <c r="V216" s="7">
        <v>-30025.279999999999</v>
      </c>
      <c r="W216" s="7">
        <v>0</v>
      </c>
      <c r="X216" s="7">
        <v>0</v>
      </c>
      <c r="Y216" s="8">
        <v>0</v>
      </c>
    </row>
    <row r="217" spans="1:25" x14ac:dyDescent="0.2">
      <c r="A217" s="42" t="s">
        <v>495</v>
      </c>
      <c r="B217" s="43" t="s">
        <v>496</v>
      </c>
      <c r="C217" s="43" t="s">
        <v>609</v>
      </c>
      <c r="D217" s="43" t="s">
        <v>610</v>
      </c>
      <c r="E217" s="49">
        <v>330</v>
      </c>
      <c r="F217" s="43" t="s">
        <v>49</v>
      </c>
      <c r="G217" s="6">
        <v>44258</v>
      </c>
      <c r="H217" s="6">
        <v>43453</v>
      </c>
      <c r="I217" s="7">
        <v>1275974.7</v>
      </c>
      <c r="J217" s="7">
        <v>0</v>
      </c>
      <c r="K217" s="7">
        <v>0</v>
      </c>
      <c r="L217" s="7">
        <v>55587.360000000001</v>
      </c>
      <c r="M217" s="7">
        <v>0</v>
      </c>
      <c r="N217" s="7">
        <v>0</v>
      </c>
      <c r="O217" s="7">
        <f t="shared" si="21"/>
        <v>55587.360000000001</v>
      </c>
      <c r="P217" s="7">
        <v>0</v>
      </c>
      <c r="Q217" s="7">
        <v>0</v>
      </c>
      <c r="R217" s="7">
        <v>0</v>
      </c>
      <c r="S217" s="7">
        <v>0</v>
      </c>
      <c r="T217" s="7">
        <v>23750.71</v>
      </c>
      <c r="U217" s="7">
        <f t="shared" si="20"/>
        <v>23750.71</v>
      </c>
      <c r="V217" s="7">
        <v>31836.65</v>
      </c>
      <c r="W217" s="7">
        <v>0</v>
      </c>
      <c r="X217" s="7">
        <v>0</v>
      </c>
      <c r="Y217" s="8">
        <v>0</v>
      </c>
    </row>
    <row r="218" spans="1:25" x14ac:dyDescent="0.2">
      <c r="A218" s="42" t="s">
        <v>146</v>
      </c>
      <c r="B218" s="43" t="s">
        <v>147</v>
      </c>
      <c r="C218" s="43" t="s">
        <v>609</v>
      </c>
      <c r="D218" s="43" t="s">
        <v>610</v>
      </c>
      <c r="E218" s="49" t="s">
        <v>56</v>
      </c>
      <c r="F218" s="43" t="s">
        <v>57</v>
      </c>
      <c r="G218" s="6">
        <v>44670</v>
      </c>
      <c r="H218" s="6"/>
      <c r="I218" s="7">
        <v>4467880</v>
      </c>
      <c r="J218" s="7">
        <v>0</v>
      </c>
      <c r="K218" s="7">
        <v>0</v>
      </c>
      <c r="L218" s="7">
        <v>25587.95</v>
      </c>
      <c r="M218" s="7">
        <v>0</v>
      </c>
      <c r="N218" s="7">
        <v>0</v>
      </c>
      <c r="O218" s="7">
        <f t="shared" si="21"/>
        <v>25587.95</v>
      </c>
      <c r="P218" s="7">
        <v>0</v>
      </c>
      <c r="Q218" s="7">
        <v>0</v>
      </c>
      <c r="R218" s="7">
        <v>0</v>
      </c>
      <c r="S218" s="7">
        <v>19151.25</v>
      </c>
      <c r="T218" s="7">
        <v>64215.54</v>
      </c>
      <c r="U218" s="7">
        <f t="shared" si="20"/>
        <v>83366.790000000008</v>
      </c>
      <c r="V218" s="7">
        <v>-57778.84</v>
      </c>
      <c r="W218" s="7">
        <v>0</v>
      </c>
      <c r="X218" s="7">
        <v>0</v>
      </c>
      <c r="Y218" s="8">
        <v>0</v>
      </c>
    </row>
    <row r="219" spans="1:25" x14ac:dyDescent="0.2">
      <c r="A219" s="42" t="s">
        <v>362</v>
      </c>
      <c r="B219" s="43" t="s">
        <v>363</v>
      </c>
      <c r="C219" s="43" t="s">
        <v>609</v>
      </c>
      <c r="D219" s="43" t="s">
        <v>610</v>
      </c>
      <c r="E219" s="49">
        <v>460</v>
      </c>
      <c r="F219" s="43" t="s">
        <v>264</v>
      </c>
      <c r="G219" s="6">
        <v>44226</v>
      </c>
      <c r="H219" s="6">
        <v>44127</v>
      </c>
      <c r="I219" s="7">
        <v>0</v>
      </c>
      <c r="J219" s="7">
        <v>0</v>
      </c>
      <c r="K219" s="7">
        <v>0</v>
      </c>
      <c r="L219" s="7">
        <v>0</v>
      </c>
      <c r="M219" s="7">
        <v>0</v>
      </c>
      <c r="N219" s="7">
        <v>0</v>
      </c>
      <c r="O219" s="7">
        <f t="shared" si="21"/>
        <v>0</v>
      </c>
      <c r="P219" s="7">
        <v>0</v>
      </c>
      <c r="Q219" s="7">
        <v>0</v>
      </c>
      <c r="R219" s="7">
        <v>0</v>
      </c>
      <c r="S219" s="7">
        <v>0</v>
      </c>
      <c r="T219" s="7">
        <v>0</v>
      </c>
      <c r="U219" s="7">
        <f t="shared" si="20"/>
        <v>0</v>
      </c>
      <c r="V219" s="7">
        <v>0</v>
      </c>
      <c r="W219" s="7">
        <v>1803.26</v>
      </c>
      <c r="X219" s="7">
        <v>0</v>
      </c>
      <c r="Y219" s="8">
        <v>1803.26</v>
      </c>
    </row>
    <row r="220" spans="1:25" x14ac:dyDescent="0.2">
      <c r="A220" s="42" t="s">
        <v>512</v>
      </c>
      <c r="B220" s="43" t="s">
        <v>513</v>
      </c>
      <c r="C220" s="43" t="s">
        <v>609</v>
      </c>
      <c r="D220" s="43" t="s">
        <v>610</v>
      </c>
      <c r="E220" s="49">
        <v>330</v>
      </c>
      <c r="F220" s="43" t="s">
        <v>49</v>
      </c>
      <c r="G220" s="6">
        <v>44226</v>
      </c>
      <c r="H220" s="6">
        <v>42306</v>
      </c>
      <c r="I220" s="7">
        <v>0</v>
      </c>
      <c r="J220" s="7">
        <v>0</v>
      </c>
      <c r="K220" s="7">
        <v>0</v>
      </c>
      <c r="L220" s="7">
        <v>0</v>
      </c>
      <c r="M220" s="7">
        <v>0</v>
      </c>
      <c r="N220" s="7">
        <v>0</v>
      </c>
      <c r="O220" s="7">
        <f t="shared" si="21"/>
        <v>0</v>
      </c>
      <c r="P220" s="7">
        <v>0</v>
      </c>
      <c r="Q220" s="7">
        <v>0</v>
      </c>
      <c r="R220" s="7">
        <v>0</v>
      </c>
      <c r="S220" s="7">
        <v>14918.06</v>
      </c>
      <c r="T220" s="7">
        <v>0</v>
      </c>
      <c r="U220" s="7">
        <f t="shared" si="20"/>
        <v>14918.06</v>
      </c>
      <c r="V220" s="7">
        <v>-14918.06</v>
      </c>
      <c r="W220" s="7">
        <v>0</v>
      </c>
      <c r="X220" s="7">
        <v>0</v>
      </c>
      <c r="Y220" s="8">
        <v>0</v>
      </c>
    </row>
    <row r="221" spans="1:25" x14ac:dyDescent="0.2">
      <c r="A221" s="42" t="s">
        <v>152</v>
      </c>
      <c r="B221" s="43" t="s">
        <v>153</v>
      </c>
      <c r="C221" s="43" t="s">
        <v>609</v>
      </c>
      <c r="D221" s="43" t="s">
        <v>610</v>
      </c>
      <c r="E221" s="49" t="s">
        <v>62</v>
      </c>
      <c r="F221" s="43" t="s">
        <v>63</v>
      </c>
      <c r="G221" s="6">
        <v>44729</v>
      </c>
      <c r="H221" s="6"/>
      <c r="I221" s="7">
        <v>1199000</v>
      </c>
      <c r="J221" s="7">
        <v>0</v>
      </c>
      <c r="K221" s="7">
        <v>0</v>
      </c>
      <c r="L221" s="7">
        <v>20455.060000000001</v>
      </c>
      <c r="M221" s="7">
        <v>0</v>
      </c>
      <c r="N221" s="7">
        <v>0</v>
      </c>
      <c r="O221" s="7">
        <f t="shared" si="21"/>
        <v>20455.060000000001</v>
      </c>
      <c r="P221" s="7">
        <v>0</v>
      </c>
      <c r="Q221" s="7">
        <v>0</v>
      </c>
      <c r="R221" s="7">
        <v>0</v>
      </c>
      <c r="S221" s="7">
        <v>85607.61</v>
      </c>
      <c r="T221" s="7">
        <v>4098.34</v>
      </c>
      <c r="U221" s="7">
        <f t="shared" si="20"/>
        <v>89705.95</v>
      </c>
      <c r="V221" s="7">
        <v>-69250.89</v>
      </c>
      <c r="W221" s="7">
        <v>0</v>
      </c>
      <c r="X221" s="7">
        <v>0</v>
      </c>
      <c r="Y221" s="8">
        <v>0</v>
      </c>
    </row>
    <row r="222" spans="1:25" x14ac:dyDescent="0.2">
      <c r="A222" s="42" t="s">
        <v>3</v>
      </c>
      <c r="B222" s="43" t="s">
        <v>4</v>
      </c>
      <c r="C222" s="43" t="s">
        <v>609</v>
      </c>
      <c r="D222" s="43" t="s">
        <v>610</v>
      </c>
      <c r="E222" s="49" t="s">
        <v>5</v>
      </c>
      <c r="F222" s="43" t="s">
        <v>6</v>
      </c>
      <c r="G222" s="6">
        <v>44503</v>
      </c>
      <c r="H222" s="6"/>
      <c r="I222" s="7">
        <v>562320</v>
      </c>
      <c r="J222" s="7">
        <v>0</v>
      </c>
      <c r="K222" s="7">
        <v>0</v>
      </c>
      <c r="L222" s="7">
        <v>0</v>
      </c>
      <c r="M222" s="7">
        <v>0</v>
      </c>
      <c r="N222" s="7">
        <v>0</v>
      </c>
      <c r="O222" s="7">
        <f t="shared" si="21"/>
        <v>0</v>
      </c>
      <c r="P222" s="7">
        <v>0</v>
      </c>
      <c r="Q222" s="7">
        <v>0</v>
      </c>
      <c r="R222" s="7">
        <v>0</v>
      </c>
      <c r="S222" s="7">
        <v>0</v>
      </c>
      <c r="T222" s="7">
        <v>17884.23</v>
      </c>
      <c r="U222" s="7">
        <f t="shared" si="20"/>
        <v>17884.23</v>
      </c>
      <c r="V222" s="7">
        <v>-17884.23</v>
      </c>
      <c r="W222" s="7">
        <v>0</v>
      </c>
      <c r="X222" s="7">
        <v>0</v>
      </c>
      <c r="Y222" s="8">
        <v>0</v>
      </c>
    </row>
    <row r="223" spans="1:25" x14ac:dyDescent="0.2">
      <c r="A223" s="42" t="s">
        <v>275</v>
      </c>
      <c r="B223" s="43" t="s">
        <v>276</v>
      </c>
      <c r="C223" s="43" t="s">
        <v>609</v>
      </c>
      <c r="D223" s="43" t="s">
        <v>610</v>
      </c>
      <c r="E223" s="49" t="s">
        <v>56</v>
      </c>
      <c r="F223" s="43" t="s">
        <v>57</v>
      </c>
      <c r="G223" s="6">
        <v>44301</v>
      </c>
      <c r="H223" s="6">
        <v>44307</v>
      </c>
      <c r="I223" s="7">
        <v>220000</v>
      </c>
      <c r="J223" s="7">
        <v>0</v>
      </c>
      <c r="K223" s="7">
        <v>0</v>
      </c>
      <c r="L223" s="7">
        <v>0</v>
      </c>
      <c r="M223" s="7">
        <v>0</v>
      </c>
      <c r="N223" s="7">
        <v>0</v>
      </c>
      <c r="O223" s="7">
        <f t="shared" si="21"/>
        <v>0</v>
      </c>
      <c r="P223" s="7">
        <v>0</v>
      </c>
      <c r="Q223" s="7">
        <v>0</v>
      </c>
      <c r="R223" s="7">
        <v>0</v>
      </c>
      <c r="S223" s="7">
        <v>0</v>
      </c>
      <c r="T223" s="7">
        <v>-29.14</v>
      </c>
      <c r="U223" s="7">
        <f t="shared" si="20"/>
        <v>-29.14</v>
      </c>
      <c r="V223" s="7">
        <v>29.14</v>
      </c>
      <c r="W223" s="7">
        <v>0</v>
      </c>
      <c r="X223" s="7">
        <v>0</v>
      </c>
      <c r="Y223" s="8">
        <v>0</v>
      </c>
    </row>
    <row r="224" spans="1:25" x14ac:dyDescent="0.2">
      <c r="A224" s="42" t="s">
        <v>238</v>
      </c>
      <c r="B224" s="43" t="s">
        <v>239</v>
      </c>
      <c r="C224" s="43" t="s">
        <v>609</v>
      </c>
      <c r="D224" s="43" t="s">
        <v>610</v>
      </c>
      <c r="E224" s="49">
        <v>404</v>
      </c>
      <c r="F224" s="43" t="s">
        <v>237</v>
      </c>
      <c r="G224" s="6">
        <v>44226</v>
      </c>
      <c r="H224" s="6">
        <v>42657</v>
      </c>
      <c r="I224" s="7">
        <v>0</v>
      </c>
      <c r="J224" s="7">
        <v>0</v>
      </c>
      <c r="K224" s="7">
        <v>0</v>
      </c>
      <c r="L224" s="7">
        <v>-4345.33</v>
      </c>
      <c r="M224" s="7">
        <v>0</v>
      </c>
      <c r="N224" s="7">
        <v>0</v>
      </c>
      <c r="O224" s="7">
        <f t="shared" si="21"/>
        <v>-4345.33</v>
      </c>
      <c r="P224" s="7">
        <v>0</v>
      </c>
      <c r="Q224" s="7">
        <v>0</v>
      </c>
      <c r="R224" s="7">
        <v>0</v>
      </c>
      <c r="S224" s="7">
        <v>0</v>
      </c>
      <c r="T224" s="7">
        <v>0</v>
      </c>
      <c r="U224" s="7">
        <f t="shared" si="20"/>
        <v>0</v>
      </c>
      <c r="V224" s="7">
        <v>-4345.33</v>
      </c>
      <c r="W224" s="7">
        <v>0</v>
      </c>
      <c r="X224" s="7">
        <v>0</v>
      </c>
      <c r="Y224" s="8">
        <v>0</v>
      </c>
    </row>
    <row r="225" spans="1:25" x14ac:dyDescent="0.2">
      <c r="A225" s="42" t="s">
        <v>229</v>
      </c>
      <c r="B225" s="43" t="s">
        <v>230</v>
      </c>
      <c r="C225" s="43" t="s">
        <v>609</v>
      </c>
      <c r="D225" s="43" t="s">
        <v>610</v>
      </c>
      <c r="E225" s="49" t="s">
        <v>35</v>
      </c>
      <c r="F225" s="43" t="s">
        <v>36</v>
      </c>
      <c r="G225" s="6">
        <v>44226</v>
      </c>
      <c r="H225" s="6">
        <v>44012</v>
      </c>
      <c r="I225" s="7">
        <v>0</v>
      </c>
      <c r="J225" s="7">
        <v>229805</v>
      </c>
      <c r="K225" s="7">
        <v>0</v>
      </c>
      <c r="L225" s="7">
        <v>0</v>
      </c>
      <c r="M225" s="7">
        <v>0</v>
      </c>
      <c r="N225" s="7">
        <v>0</v>
      </c>
      <c r="O225" s="7">
        <f t="shared" si="21"/>
        <v>229805</v>
      </c>
      <c r="P225" s="7">
        <v>0</v>
      </c>
      <c r="Q225" s="7">
        <v>0</v>
      </c>
      <c r="R225" s="7">
        <v>0</v>
      </c>
      <c r="S225" s="7">
        <v>0</v>
      </c>
      <c r="T225" s="7">
        <v>0</v>
      </c>
      <c r="U225" s="7">
        <f t="shared" si="20"/>
        <v>0</v>
      </c>
      <c r="V225" s="7">
        <v>229805</v>
      </c>
      <c r="W225" s="7">
        <v>0</v>
      </c>
      <c r="X225" s="7">
        <v>0</v>
      </c>
      <c r="Y225" s="8">
        <v>0</v>
      </c>
    </row>
    <row r="226" spans="1:25" x14ac:dyDescent="0.2">
      <c r="A226" s="42" t="s">
        <v>142</v>
      </c>
      <c r="B226" s="43" t="s">
        <v>143</v>
      </c>
      <c r="C226" s="43" t="s">
        <v>611</v>
      </c>
      <c r="D226" s="43" t="s">
        <v>612</v>
      </c>
      <c r="E226" s="49" t="s">
        <v>144</v>
      </c>
      <c r="F226" s="43" t="s">
        <v>145</v>
      </c>
      <c r="G226" s="6">
        <v>44697</v>
      </c>
      <c r="H226" s="6"/>
      <c r="I226" s="7">
        <v>22000</v>
      </c>
      <c r="J226" s="7">
        <v>0</v>
      </c>
      <c r="K226" s="7">
        <v>0</v>
      </c>
      <c r="L226" s="7">
        <v>6938.1</v>
      </c>
      <c r="M226" s="7">
        <v>0</v>
      </c>
      <c r="N226" s="7">
        <v>0</v>
      </c>
      <c r="O226" s="7">
        <f t="shared" si="21"/>
        <v>6938.1</v>
      </c>
      <c r="P226" s="7">
        <v>0</v>
      </c>
      <c r="Q226" s="7">
        <v>0</v>
      </c>
      <c r="R226" s="7">
        <v>0</v>
      </c>
      <c r="S226" s="7">
        <v>0</v>
      </c>
      <c r="T226" s="7">
        <v>0</v>
      </c>
      <c r="U226" s="7">
        <f t="shared" si="20"/>
        <v>0</v>
      </c>
      <c r="V226" s="7">
        <v>6938.1</v>
      </c>
      <c r="W226" s="7">
        <v>0</v>
      </c>
      <c r="X226" s="7">
        <v>0</v>
      </c>
      <c r="Y226" s="8">
        <v>0</v>
      </c>
    </row>
    <row r="227" spans="1:25" x14ac:dyDescent="0.2">
      <c r="A227" s="42" t="s">
        <v>293</v>
      </c>
      <c r="B227" s="43" t="s">
        <v>294</v>
      </c>
      <c r="C227" s="43" t="s">
        <v>611</v>
      </c>
      <c r="D227" s="43" t="s">
        <v>612</v>
      </c>
      <c r="E227" s="49" t="s">
        <v>295</v>
      </c>
      <c r="F227" s="43" t="s">
        <v>296</v>
      </c>
      <c r="G227" s="6">
        <v>44226</v>
      </c>
      <c r="H227" s="6">
        <v>44316</v>
      </c>
      <c r="I227" s="7">
        <v>0</v>
      </c>
      <c r="J227" s="7">
        <v>0</v>
      </c>
      <c r="K227" s="7">
        <v>0</v>
      </c>
      <c r="L227" s="7">
        <v>28809.31</v>
      </c>
      <c r="M227" s="7">
        <v>0</v>
      </c>
      <c r="N227" s="7">
        <v>0</v>
      </c>
      <c r="O227" s="7">
        <f t="shared" si="21"/>
        <v>28809.31</v>
      </c>
      <c r="P227" s="7">
        <v>0</v>
      </c>
      <c r="Q227" s="7">
        <v>0</v>
      </c>
      <c r="R227" s="7">
        <v>0</v>
      </c>
      <c r="S227" s="7">
        <v>0</v>
      </c>
      <c r="T227" s="7">
        <v>0</v>
      </c>
      <c r="U227" s="7">
        <f t="shared" si="20"/>
        <v>0</v>
      </c>
      <c r="V227" s="7">
        <v>28809.31</v>
      </c>
      <c r="W227" s="7">
        <v>0</v>
      </c>
      <c r="X227" s="7">
        <v>0</v>
      </c>
      <c r="Y227" s="8">
        <v>0</v>
      </c>
    </row>
    <row r="228" spans="1:25" x14ac:dyDescent="0.2">
      <c r="A228" s="42" t="s">
        <v>138</v>
      </c>
      <c r="B228" s="43" t="s">
        <v>139</v>
      </c>
      <c r="C228" s="43" t="s">
        <v>611</v>
      </c>
      <c r="D228" s="43" t="s">
        <v>612</v>
      </c>
      <c r="E228" s="49">
        <v>438</v>
      </c>
      <c r="F228" s="43" t="s">
        <v>86</v>
      </c>
      <c r="G228" s="6">
        <v>44677</v>
      </c>
      <c r="H228" s="6"/>
      <c r="I228" s="7">
        <v>200000</v>
      </c>
      <c r="J228" s="7">
        <v>0</v>
      </c>
      <c r="K228" s="7">
        <v>0</v>
      </c>
      <c r="L228" s="7">
        <v>0</v>
      </c>
      <c r="M228" s="7">
        <v>38869.26</v>
      </c>
      <c r="N228" s="7">
        <v>0</v>
      </c>
      <c r="O228" s="7">
        <f t="shared" si="21"/>
        <v>38869.26</v>
      </c>
      <c r="P228" s="7">
        <v>0</v>
      </c>
      <c r="Q228" s="7">
        <v>0</v>
      </c>
      <c r="R228" s="7">
        <v>0</v>
      </c>
      <c r="S228" s="7">
        <v>0</v>
      </c>
      <c r="T228" s="7">
        <v>0</v>
      </c>
      <c r="U228" s="7">
        <f t="shared" si="20"/>
        <v>0</v>
      </c>
      <c r="V228" s="7">
        <v>38869.26</v>
      </c>
      <c r="W228" s="7">
        <v>0</v>
      </c>
      <c r="X228" s="7">
        <v>0</v>
      </c>
      <c r="Y228" s="8">
        <v>0</v>
      </c>
    </row>
    <row r="229" spans="1:25" x14ac:dyDescent="0.2">
      <c r="A229" s="42" t="s">
        <v>160</v>
      </c>
      <c r="B229" s="43" t="s">
        <v>161</v>
      </c>
      <c r="C229" s="43" t="s">
        <v>609</v>
      </c>
      <c r="D229" s="43" t="s">
        <v>610</v>
      </c>
      <c r="E229" s="49" t="s">
        <v>62</v>
      </c>
      <c r="F229" s="43" t="s">
        <v>63</v>
      </c>
      <c r="G229" s="6">
        <v>44543</v>
      </c>
      <c r="H229" s="6"/>
      <c r="I229" s="7">
        <v>1401100</v>
      </c>
      <c r="J229" s="7">
        <v>340098.03</v>
      </c>
      <c r="K229" s="7">
        <v>0</v>
      </c>
      <c r="L229" s="7">
        <v>0</v>
      </c>
      <c r="M229" s="7">
        <v>0</v>
      </c>
      <c r="N229" s="7">
        <v>0</v>
      </c>
      <c r="O229" s="7">
        <f t="shared" si="21"/>
        <v>340098.03</v>
      </c>
      <c r="P229" s="7">
        <v>0</v>
      </c>
      <c r="Q229" s="7">
        <v>0</v>
      </c>
      <c r="R229" s="7">
        <v>0</v>
      </c>
      <c r="S229" s="7">
        <v>0</v>
      </c>
      <c r="T229" s="7">
        <v>0</v>
      </c>
      <c r="U229" s="7">
        <f t="shared" ref="U229:U230" si="22">SUM(P229:T229)</f>
        <v>0</v>
      </c>
      <c r="V229" s="7">
        <v>340098.03</v>
      </c>
      <c r="W229" s="7">
        <v>0</v>
      </c>
      <c r="X229" s="7">
        <v>0</v>
      </c>
      <c r="Y229" s="8">
        <v>0</v>
      </c>
    </row>
    <row r="230" spans="1:25" x14ac:dyDescent="0.2">
      <c r="A230" s="42" t="s">
        <v>146</v>
      </c>
      <c r="B230" s="43" t="s">
        <v>147</v>
      </c>
      <c r="C230" s="43" t="s">
        <v>611</v>
      </c>
      <c r="D230" s="43" t="s">
        <v>612</v>
      </c>
      <c r="E230" s="49" t="s">
        <v>56</v>
      </c>
      <c r="F230" s="43" t="s">
        <v>57</v>
      </c>
      <c r="G230" s="6">
        <v>44670</v>
      </c>
      <c r="H230" s="6"/>
      <c r="I230" s="7">
        <v>4467880</v>
      </c>
      <c r="J230" s="7">
        <v>0</v>
      </c>
      <c r="K230" s="7">
        <v>0</v>
      </c>
      <c r="L230" s="7">
        <v>13222.77</v>
      </c>
      <c r="M230" s="7">
        <v>0</v>
      </c>
      <c r="N230" s="7">
        <v>0</v>
      </c>
      <c r="O230" s="7">
        <f t="shared" si="21"/>
        <v>13222.77</v>
      </c>
      <c r="P230" s="7">
        <v>0</v>
      </c>
      <c r="Q230" s="7">
        <v>0</v>
      </c>
      <c r="R230" s="7">
        <v>0</v>
      </c>
      <c r="S230" s="7">
        <v>0</v>
      </c>
      <c r="T230" s="7">
        <v>0</v>
      </c>
      <c r="U230" s="7">
        <f t="shared" si="22"/>
        <v>0</v>
      </c>
      <c r="V230" s="7">
        <v>13222.77</v>
      </c>
      <c r="W230" s="7">
        <v>0</v>
      </c>
      <c r="X230" s="7">
        <v>0</v>
      </c>
      <c r="Y230" s="8">
        <v>0</v>
      </c>
    </row>
    <row r="231" spans="1:25" x14ac:dyDescent="0.2">
      <c r="A231" s="47" t="s">
        <v>544</v>
      </c>
      <c r="B231" s="48" t="s">
        <v>545</v>
      </c>
      <c r="C231" s="48" t="s">
        <v>623</v>
      </c>
      <c r="D231" s="48" t="s">
        <v>624</v>
      </c>
      <c r="E231" s="48" t="s">
        <v>208</v>
      </c>
      <c r="F231" s="48" t="s">
        <v>209</v>
      </c>
      <c r="G231" s="3">
        <v>44226</v>
      </c>
      <c r="H231" s="3">
        <v>44629</v>
      </c>
      <c r="I231" s="4">
        <v>522800</v>
      </c>
      <c r="J231" s="4">
        <v>0</v>
      </c>
      <c r="K231" s="4">
        <v>0</v>
      </c>
      <c r="L231" s="4">
        <v>1789.83</v>
      </c>
      <c r="M231" s="4">
        <v>162916.5</v>
      </c>
      <c r="N231" s="4">
        <v>0</v>
      </c>
      <c r="O231" s="4">
        <f>SUM(J231:N231)</f>
        <v>164706.32999999999</v>
      </c>
      <c r="P231" s="4">
        <v>0</v>
      </c>
      <c r="Q231" s="4">
        <v>0</v>
      </c>
      <c r="R231" s="4">
        <v>0</v>
      </c>
      <c r="S231" s="4">
        <v>6680.21</v>
      </c>
      <c r="T231" s="4">
        <v>33982.19</v>
      </c>
      <c r="U231" s="4">
        <f>SUM(P231:T231)</f>
        <v>40662.400000000001</v>
      </c>
      <c r="V231" s="4">
        <f>O231-U231</f>
        <v>124043.93</v>
      </c>
      <c r="W231" s="4">
        <v>70032.62</v>
      </c>
      <c r="X231" s="4">
        <v>21579.74</v>
      </c>
      <c r="Y231" s="5">
        <v>91612.36</v>
      </c>
    </row>
    <row r="232" spans="1:25" x14ac:dyDescent="0.2">
      <c r="A232" s="47" t="s">
        <v>466</v>
      </c>
      <c r="B232" s="48" t="s">
        <v>467</v>
      </c>
      <c r="C232" s="48" t="s">
        <v>623</v>
      </c>
      <c r="D232" s="48" t="s">
        <v>624</v>
      </c>
      <c r="E232" s="48" t="s">
        <v>208</v>
      </c>
      <c r="F232" s="48" t="s">
        <v>209</v>
      </c>
      <c r="G232" s="3">
        <v>44226</v>
      </c>
      <c r="H232" s="3">
        <v>44452</v>
      </c>
      <c r="I232" s="4">
        <v>2335025</v>
      </c>
      <c r="J232" s="4">
        <v>961153</v>
      </c>
      <c r="K232" s="4">
        <v>0</v>
      </c>
      <c r="L232" s="4">
        <v>25872</v>
      </c>
      <c r="M232" s="4">
        <v>0</v>
      </c>
      <c r="N232" s="4">
        <v>0</v>
      </c>
      <c r="O232" s="4">
        <f t="shared" ref="O232:O257" si="23">SUM(J232:N232)</f>
        <v>987025</v>
      </c>
      <c r="P232" s="4">
        <v>839780.41</v>
      </c>
      <c r="Q232" s="4">
        <v>0</v>
      </c>
      <c r="R232" s="4">
        <v>0</v>
      </c>
      <c r="S232" s="4">
        <v>0</v>
      </c>
      <c r="T232" s="4">
        <v>0</v>
      </c>
      <c r="U232" s="4">
        <f t="shared" ref="U232:U257" si="24">SUM(P232:T232)</f>
        <v>839780.41</v>
      </c>
      <c r="V232" s="4">
        <f t="shared" ref="V232:V257" si="25">O232-U232</f>
        <v>147244.58999999997</v>
      </c>
      <c r="W232" s="4">
        <v>34697.31</v>
      </c>
      <c r="X232" s="4">
        <v>6047.29</v>
      </c>
      <c r="Y232" s="5">
        <v>40744.6</v>
      </c>
    </row>
    <row r="233" spans="1:25" x14ac:dyDescent="0.2">
      <c r="A233" s="47" t="s">
        <v>542</v>
      </c>
      <c r="B233" s="48" t="s">
        <v>543</v>
      </c>
      <c r="C233" s="48" t="s">
        <v>623</v>
      </c>
      <c r="D233" s="48" t="s">
        <v>624</v>
      </c>
      <c r="E233" s="48" t="s">
        <v>208</v>
      </c>
      <c r="F233" s="48" t="s">
        <v>209</v>
      </c>
      <c r="G233" s="3">
        <v>44226</v>
      </c>
      <c r="H233" s="3">
        <v>43281</v>
      </c>
      <c r="I233" s="4">
        <v>714200</v>
      </c>
      <c r="J233" s="4">
        <v>0</v>
      </c>
      <c r="K233" s="4">
        <v>0</v>
      </c>
      <c r="L233" s="4">
        <v>2555.12</v>
      </c>
      <c r="M233" s="4">
        <v>0</v>
      </c>
      <c r="N233" s="4">
        <v>0</v>
      </c>
      <c r="O233" s="4">
        <f t="shared" si="23"/>
        <v>2555.12</v>
      </c>
      <c r="P233" s="4">
        <v>0</v>
      </c>
      <c r="Q233" s="4">
        <v>0</v>
      </c>
      <c r="R233" s="4">
        <v>0</v>
      </c>
      <c r="S233" s="4">
        <v>33514.42</v>
      </c>
      <c r="T233" s="4">
        <v>0</v>
      </c>
      <c r="U233" s="4">
        <f t="shared" si="24"/>
        <v>33514.42</v>
      </c>
      <c r="V233" s="4">
        <f t="shared" si="25"/>
        <v>-30959.3</v>
      </c>
      <c r="W233" s="4">
        <v>23359.75</v>
      </c>
      <c r="X233" s="4">
        <v>4585.51</v>
      </c>
      <c r="Y233" s="5">
        <v>27945.26</v>
      </c>
    </row>
    <row r="234" spans="1:25" x14ac:dyDescent="0.2">
      <c r="A234" s="47" t="s">
        <v>212</v>
      </c>
      <c r="B234" s="48" t="s">
        <v>213</v>
      </c>
      <c r="C234" s="48" t="s">
        <v>623</v>
      </c>
      <c r="D234" s="48" t="s">
        <v>624</v>
      </c>
      <c r="E234" s="48" t="s">
        <v>208</v>
      </c>
      <c r="F234" s="48" t="s">
        <v>209</v>
      </c>
      <c r="G234" s="3">
        <v>44245</v>
      </c>
      <c r="H234" s="3">
        <v>44271</v>
      </c>
      <c r="I234" s="4">
        <v>11765015</v>
      </c>
      <c r="J234" s="4">
        <v>5751572.96</v>
      </c>
      <c r="K234" s="4">
        <v>0</v>
      </c>
      <c r="L234" s="4">
        <v>86762.64</v>
      </c>
      <c r="M234" s="4">
        <v>4373.6000000000004</v>
      </c>
      <c r="N234" s="4">
        <v>0</v>
      </c>
      <c r="O234" s="4">
        <f t="shared" si="23"/>
        <v>5842709.1999999993</v>
      </c>
      <c r="P234" s="4">
        <v>5340868.99</v>
      </c>
      <c r="Q234" s="4">
        <v>70339.97</v>
      </c>
      <c r="R234" s="4">
        <v>0</v>
      </c>
      <c r="S234" s="4">
        <v>92889.66</v>
      </c>
      <c r="T234" s="4">
        <v>206078.74</v>
      </c>
      <c r="U234" s="4">
        <f t="shared" si="24"/>
        <v>5710177.3600000003</v>
      </c>
      <c r="V234" s="4">
        <f t="shared" si="25"/>
        <v>132531.83999999892</v>
      </c>
      <c r="W234" s="4">
        <v>21960.74</v>
      </c>
      <c r="X234" s="4">
        <v>6574.79</v>
      </c>
      <c r="Y234" s="5">
        <v>28535.53</v>
      </c>
    </row>
    <row r="235" spans="1:25" x14ac:dyDescent="0.2">
      <c r="A235" s="47" t="s">
        <v>214</v>
      </c>
      <c r="B235" s="48" t="s">
        <v>215</v>
      </c>
      <c r="C235" s="48" t="s">
        <v>623</v>
      </c>
      <c r="D235" s="48" t="s">
        <v>624</v>
      </c>
      <c r="E235" s="48" t="s">
        <v>208</v>
      </c>
      <c r="F235" s="48" t="s">
        <v>209</v>
      </c>
      <c r="G235" s="3">
        <v>44314</v>
      </c>
      <c r="H235" s="3">
        <v>44364</v>
      </c>
      <c r="I235" s="4">
        <v>5832300</v>
      </c>
      <c r="J235" s="4">
        <v>4887699.04</v>
      </c>
      <c r="K235" s="4">
        <v>0</v>
      </c>
      <c r="L235" s="4">
        <v>25088</v>
      </c>
      <c r="M235" s="4">
        <v>0</v>
      </c>
      <c r="N235" s="4">
        <v>0</v>
      </c>
      <c r="O235" s="4">
        <f t="shared" si="23"/>
        <v>4912787.04</v>
      </c>
      <c r="P235" s="4">
        <v>3904120.49</v>
      </c>
      <c r="Q235" s="4">
        <v>0</v>
      </c>
      <c r="R235" s="4">
        <v>0</v>
      </c>
      <c r="S235" s="4">
        <v>289961.65000000002</v>
      </c>
      <c r="T235" s="4">
        <v>156745.34</v>
      </c>
      <c r="U235" s="4">
        <f t="shared" si="24"/>
        <v>4350827.4800000004</v>
      </c>
      <c r="V235" s="4">
        <f t="shared" si="25"/>
        <v>561959.55999999959</v>
      </c>
      <c r="W235" s="4">
        <v>56657.56</v>
      </c>
      <c r="X235" s="4">
        <v>7368.74</v>
      </c>
      <c r="Y235" s="5">
        <v>64026.3</v>
      </c>
    </row>
    <row r="236" spans="1:25" x14ac:dyDescent="0.2">
      <c r="A236" s="47" t="s">
        <v>350</v>
      </c>
      <c r="B236" s="48" t="s">
        <v>351</v>
      </c>
      <c r="C236" s="48" t="s">
        <v>623</v>
      </c>
      <c r="D236" s="48" t="s">
        <v>624</v>
      </c>
      <c r="E236" s="48" t="s">
        <v>701</v>
      </c>
      <c r="F236" s="48" t="s">
        <v>272</v>
      </c>
      <c r="G236" s="3">
        <v>44226</v>
      </c>
      <c r="H236" s="3">
        <v>43959</v>
      </c>
      <c r="I236" s="4">
        <v>0</v>
      </c>
      <c r="J236" s="4">
        <v>0</v>
      </c>
      <c r="K236" s="4">
        <v>0</v>
      </c>
      <c r="L236" s="4">
        <v>0</v>
      </c>
      <c r="M236" s="4">
        <v>0</v>
      </c>
      <c r="N236" s="4">
        <v>0</v>
      </c>
      <c r="O236" s="4">
        <f t="shared" si="23"/>
        <v>0</v>
      </c>
      <c r="P236" s="4">
        <v>0</v>
      </c>
      <c r="Q236" s="4">
        <v>0</v>
      </c>
      <c r="R236" s="4">
        <v>0</v>
      </c>
      <c r="S236" s="4">
        <v>2697.4</v>
      </c>
      <c r="T236" s="4">
        <v>0</v>
      </c>
      <c r="U236" s="4">
        <f t="shared" si="24"/>
        <v>2697.4</v>
      </c>
      <c r="V236" s="4">
        <f t="shared" si="25"/>
        <v>-2697.4</v>
      </c>
      <c r="W236" s="4">
        <v>0</v>
      </c>
      <c r="X236" s="4">
        <v>0</v>
      </c>
      <c r="Y236" s="5">
        <v>0</v>
      </c>
    </row>
    <row r="237" spans="1:25" x14ac:dyDescent="0.2">
      <c r="A237" s="47" t="s">
        <v>450</v>
      </c>
      <c r="B237" s="48" t="s">
        <v>451</v>
      </c>
      <c r="C237" s="48" t="s">
        <v>623</v>
      </c>
      <c r="D237" s="48" t="s">
        <v>624</v>
      </c>
      <c r="E237" s="48" t="s">
        <v>208</v>
      </c>
      <c r="F237" s="48" t="s">
        <v>209</v>
      </c>
      <c r="G237" s="3">
        <v>44226</v>
      </c>
      <c r="H237" s="3">
        <v>43644</v>
      </c>
      <c r="I237" s="4">
        <v>0</v>
      </c>
      <c r="J237" s="4">
        <v>0</v>
      </c>
      <c r="K237" s="4">
        <v>0</v>
      </c>
      <c r="L237" s="4">
        <v>0</v>
      </c>
      <c r="M237" s="4">
        <v>46378.8</v>
      </c>
      <c r="N237" s="4">
        <v>0</v>
      </c>
      <c r="O237" s="4">
        <f t="shared" si="23"/>
        <v>46378.8</v>
      </c>
      <c r="P237" s="4">
        <v>0</v>
      </c>
      <c r="Q237" s="4">
        <v>0</v>
      </c>
      <c r="R237" s="4">
        <v>0</v>
      </c>
      <c r="S237" s="4">
        <v>0</v>
      </c>
      <c r="T237" s="4">
        <v>0</v>
      </c>
      <c r="U237" s="4">
        <f t="shared" si="24"/>
        <v>0</v>
      </c>
      <c r="V237" s="4">
        <f t="shared" si="25"/>
        <v>46378.8</v>
      </c>
      <c r="W237" s="4">
        <v>0</v>
      </c>
      <c r="X237" s="4">
        <v>0</v>
      </c>
      <c r="Y237" s="5">
        <v>0</v>
      </c>
    </row>
    <row r="238" spans="1:25" x14ac:dyDescent="0.2">
      <c r="A238" s="47" t="s">
        <v>481</v>
      </c>
      <c r="B238" s="48" t="s">
        <v>482</v>
      </c>
      <c r="C238" s="48" t="s">
        <v>623</v>
      </c>
      <c r="D238" s="48" t="s">
        <v>624</v>
      </c>
      <c r="E238" s="48" t="s">
        <v>208</v>
      </c>
      <c r="F238" s="48" t="s">
        <v>209</v>
      </c>
      <c r="G238" s="3">
        <v>44226</v>
      </c>
      <c r="H238" s="3">
        <v>44102</v>
      </c>
      <c r="I238" s="4">
        <v>1323905</v>
      </c>
      <c r="J238" s="4">
        <v>0</v>
      </c>
      <c r="K238" s="4">
        <v>0</v>
      </c>
      <c r="L238" s="4">
        <v>12859.34</v>
      </c>
      <c r="M238" s="4">
        <v>0</v>
      </c>
      <c r="N238" s="4">
        <v>0</v>
      </c>
      <c r="O238" s="4">
        <f t="shared" si="23"/>
        <v>12859.34</v>
      </c>
      <c r="P238" s="4">
        <v>0</v>
      </c>
      <c r="Q238" s="4">
        <v>0</v>
      </c>
      <c r="R238" s="4">
        <v>0</v>
      </c>
      <c r="S238" s="4">
        <v>0</v>
      </c>
      <c r="T238" s="4">
        <v>1621.84</v>
      </c>
      <c r="U238" s="4">
        <f t="shared" si="24"/>
        <v>1621.84</v>
      </c>
      <c r="V238" s="4">
        <f t="shared" si="25"/>
        <v>11237.5</v>
      </c>
      <c r="W238" s="4">
        <v>28857.23</v>
      </c>
      <c r="X238" s="4">
        <v>2897.92</v>
      </c>
      <c r="Y238" s="5">
        <v>31755.15</v>
      </c>
    </row>
    <row r="239" spans="1:25" x14ac:dyDescent="0.2">
      <c r="A239" s="47" t="s">
        <v>550</v>
      </c>
      <c r="B239" s="48" t="s">
        <v>551</v>
      </c>
      <c r="C239" s="48" t="s">
        <v>623</v>
      </c>
      <c r="D239" s="48" t="s">
        <v>624</v>
      </c>
      <c r="E239" s="48" t="s">
        <v>208</v>
      </c>
      <c r="F239" s="48" t="s">
        <v>209</v>
      </c>
      <c r="G239" s="3">
        <v>44226</v>
      </c>
      <c r="H239" s="3">
        <v>44293</v>
      </c>
      <c r="I239" s="4">
        <v>519405</v>
      </c>
      <c r="J239" s="4">
        <v>316695</v>
      </c>
      <c r="K239" s="4">
        <v>0</v>
      </c>
      <c r="L239" s="4">
        <v>0</v>
      </c>
      <c r="M239" s="4">
        <v>0</v>
      </c>
      <c r="N239" s="4">
        <v>0</v>
      </c>
      <c r="O239" s="4">
        <f t="shared" si="23"/>
        <v>316695</v>
      </c>
      <c r="P239" s="4">
        <v>292421.2</v>
      </c>
      <c r="Q239" s="4">
        <v>0</v>
      </c>
      <c r="R239" s="4">
        <v>0</v>
      </c>
      <c r="S239" s="4">
        <v>0</v>
      </c>
      <c r="T239" s="4">
        <v>0</v>
      </c>
      <c r="U239" s="4">
        <f t="shared" si="24"/>
        <v>292421.2</v>
      </c>
      <c r="V239" s="4">
        <f t="shared" si="25"/>
        <v>24273.799999999988</v>
      </c>
      <c r="W239" s="4">
        <v>2685.95</v>
      </c>
      <c r="X239" s="4">
        <v>2797.12</v>
      </c>
      <c r="Y239" s="5">
        <v>5483.07</v>
      </c>
    </row>
    <row r="240" spans="1:25" x14ac:dyDescent="0.2">
      <c r="A240" s="47" t="s">
        <v>470</v>
      </c>
      <c r="B240" s="48" t="s">
        <v>471</v>
      </c>
      <c r="C240" s="48" t="s">
        <v>623</v>
      </c>
      <c r="D240" s="48" t="s">
        <v>624</v>
      </c>
      <c r="E240" s="48" t="s">
        <v>208</v>
      </c>
      <c r="F240" s="48" t="s">
        <v>209</v>
      </c>
      <c r="G240" s="3">
        <v>44226</v>
      </c>
      <c r="H240" s="3">
        <v>44442</v>
      </c>
      <c r="I240" s="4">
        <v>636900</v>
      </c>
      <c r="J240" s="4">
        <v>661635</v>
      </c>
      <c r="K240" s="4">
        <v>0</v>
      </c>
      <c r="L240" s="4">
        <v>0</v>
      </c>
      <c r="M240" s="4">
        <v>0</v>
      </c>
      <c r="N240" s="4">
        <v>0</v>
      </c>
      <c r="O240" s="4">
        <f t="shared" si="23"/>
        <v>661635</v>
      </c>
      <c r="P240" s="4">
        <v>776818.74</v>
      </c>
      <c r="Q240" s="4">
        <v>0</v>
      </c>
      <c r="R240" s="4">
        <v>0</v>
      </c>
      <c r="S240" s="4">
        <v>0</v>
      </c>
      <c r="T240" s="4">
        <v>0</v>
      </c>
      <c r="U240" s="4">
        <f t="shared" si="24"/>
        <v>776818.74</v>
      </c>
      <c r="V240" s="4">
        <f t="shared" si="25"/>
        <v>-115183.73999999999</v>
      </c>
      <c r="W240" s="4">
        <v>1237.7</v>
      </c>
      <c r="X240" s="4">
        <v>11740.98</v>
      </c>
      <c r="Y240" s="5">
        <v>12978.68</v>
      </c>
    </row>
    <row r="241" spans="1:25" x14ac:dyDescent="0.2">
      <c r="A241" s="47" t="s">
        <v>460</v>
      </c>
      <c r="B241" s="48" t="s">
        <v>461</v>
      </c>
      <c r="C241" s="48" t="s">
        <v>623</v>
      </c>
      <c r="D241" s="48" t="s">
        <v>624</v>
      </c>
      <c r="E241" s="48" t="s">
        <v>208</v>
      </c>
      <c r="F241" s="48" t="s">
        <v>209</v>
      </c>
      <c r="G241" s="3">
        <v>44226</v>
      </c>
      <c r="H241" s="3">
        <v>43430</v>
      </c>
      <c r="I241" s="4">
        <v>0</v>
      </c>
      <c r="J241" s="4">
        <v>61042.96</v>
      </c>
      <c r="K241" s="4">
        <v>0</v>
      </c>
      <c r="L241" s="4">
        <v>0</v>
      </c>
      <c r="M241" s="4">
        <v>0</v>
      </c>
      <c r="N241" s="4">
        <v>0</v>
      </c>
      <c r="O241" s="4">
        <f t="shared" si="23"/>
        <v>61042.96</v>
      </c>
      <c r="P241" s="4">
        <v>18564.36</v>
      </c>
      <c r="Q241" s="4">
        <v>0</v>
      </c>
      <c r="R241" s="4">
        <v>0</v>
      </c>
      <c r="S241" s="4">
        <v>4819.07</v>
      </c>
      <c r="T241" s="4">
        <v>0</v>
      </c>
      <c r="U241" s="4">
        <f t="shared" si="24"/>
        <v>23383.43</v>
      </c>
      <c r="V241" s="4">
        <f t="shared" si="25"/>
        <v>37659.53</v>
      </c>
      <c r="W241" s="4">
        <v>0</v>
      </c>
      <c r="X241" s="4">
        <v>1376.37</v>
      </c>
      <c r="Y241" s="5">
        <v>1376.37</v>
      </c>
    </row>
    <row r="242" spans="1:25" x14ac:dyDescent="0.2">
      <c r="A242" s="47" t="s">
        <v>270</v>
      </c>
      <c r="B242" s="48" t="s">
        <v>271</v>
      </c>
      <c r="C242" s="48" t="s">
        <v>623</v>
      </c>
      <c r="D242" s="48" t="s">
        <v>624</v>
      </c>
      <c r="E242" s="48" t="s">
        <v>701</v>
      </c>
      <c r="F242" s="48" t="s">
        <v>272</v>
      </c>
      <c r="G242" s="3">
        <v>44226</v>
      </c>
      <c r="H242" s="3">
        <v>44226</v>
      </c>
      <c r="I242" s="4">
        <v>917588.1</v>
      </c>
      <c r="J242" s="4">
        <v>0</v>
      </c>
      <c r="K242" s="4">
        <v>0</v>
      </c>
      <c r="L242" s="4">
        <v>239504.46</v>
      </c>
      <c r="M242" s="4">
        <v>0</v>
      </c>
      <c r="N242" s="4">
        <v>0</v>
      </c>
      <c r="O242" s="4">
        <f t="shared" si="23"/>
        <v>239504.46</v>
      </c>
      <c r="P242" s="4">
        <v>0</v>
      </c>
      <c r="Q242" s="4">
        <v>0</v>
      </c>
      <c r="R242" s="4">
        <v>0</v>
      </c>
      <c r="S242" s="4">
        <v>22257.63</v>
      </c>
      <c r="T242" s="4">
        <v>139747.01999999999</v>
      </c>
      <c r="U242" s="4">
        <f t="shared" si="24"/>
        <v>162004.65</v>
      </c>
      <c r="V242" s="4">
        <f t="shared" si="25"/>
        <v>77499.81</v>
      </c>
      <c r="W242" s="4">
        <v>2930.83</v>
      </c>
      <c r="X242" s="4">
        <v>9467.0400000000009</v>
      </c>
      <c r="Y242" s="5">
        <v>12397.87</v>
      </c>
    </row>
    <row r="243" spans="1:25" x14ac:dyDescent="0.2">
      <c r="A243" s="47" t="s">
        <v>444</v>
      </c>
      <c r="B243" s="48" t="s">
        <v>445</v>
      </c>
      <c r="C243" s="48" t="s">
        <v>623</v>
      </c>
      <c r="D243" s="48" t="s">
        <v>624</v>
      </c>
      <c r="E243" s="48" t="s">
        <v>204</v>
      </c>
      <c r="F243" s="48" t="s">
        <v>205</v>
      </c>
      <c r="G243" s="3">
        <v>44226</v>
      </c>
      <c r="H243" s="3">
        <v>42718</v>
      </c>
      <c r="I243" s="4">
        <v>0</v>
      </c>
      <c r="J243" s="4">
        <v>0</v>
      </c>
      <c r="K243" s="4">
        <v>0</v>
      </c>
      <c r="L243" s="4">
        <v>0</v>
      </c>
      <c r="M243" s="4">
        <v>0</v>
      </c>
      <c r="N243" s="4">
        <v>0</v>
      </c>
      <c r="O243" s="4">
        <f t="shared" si="23"/>
        <v>0</v>
      </c>
      <c r="P243" s="4">
        <v>0</v>
      </c>
      <c r="Q243" s="4">
        <v>0</v>
      </c>
      <c r="R243" s="4">
        <v>0</v>
      </c>
      <c r="S243" s="4">
        <v>7884.71</v>
      </c>
      <c r="T243" s="4">
        <v>0</v>
      </c>
      <c r="U243" s="4">
        <f t="shared" si="24"/>
        <v>7884.71</v>
      </c>
      <c r="V243" s="4">
        <f t="shared" si="25"/>
        <v>-7884.71</v>
      </c>
      <c r="W243" s="4">
        <v>11836.65</v>
      </c>
      <c r="X243" s="4">
        <v>23137.51</v>
      </c>
      <c r="Y243" s="5">
        <v>34974.160000000003</v>
      </c>
    </row>
    <row r="244" spans="1:25" x14ac:dyDescent="0.2">
      <c r="A244" s="47" t="s">
        <v>446</v>
      </c>
      <c r="B244" s="48" t="s">
        <v>447</v>
      </c>
      <c r="C244" s="48" t="s">
        <v>623</v>
      </c>
      <c r="D244" s="48" t="s">
        <v>624</v>
      </c>
      <c r="E244" s="48" t="s">
        <v>204</v>
      </c>
      <c r="F244" s="48" t="s">
        <v>205</v>
      </c>
      <c r="G244" s="3">
        <v>44226</v>
      </c>
      <c r="H244" s="3">
        <v>42718</v>
      </c>
      <c r="I244" s="4">
        <v>0</v>
      </c>
      <c r="J244" s="4">
        <v>13613.86</v>
      </c>
      <c r="K244" s="4">
        <v>0</v>
      </c>
      <c r="L244" s="4">
        <v>0</v>
      </c>
      <c r="M244" s="4">
        <v>0</v>
      </c>
      <c r="N244" s="4">
        <v>0</v>
      </c>
      <c r="O244" s="4">
        <f t="shared" si="23"/>
        <v>13613.86</v>
      </c>
      <c r="P244" s="4">
        <v>9900.99</v>
      </c>
      <c r="Q244" s="4">
        <v>0</v>
      </c>
      <c r="R244" s="4">
        <v>0</v>
      </c>
      <c r="S244" s="4">
        <v>0</v>
      </c>
      <c r="T244" s="4">
        <v>0</v>
      </c>
      <c r="U244" s="4">
        <f t="shared" si="24"/>
        <v>9900.99</v>
      </c>
      <c r="V244" s="4">
        <f t="shared" si="25"/>
        <v>3712.8700000000008</v>
      </c>
      <c r="W244" s="4">
        <v>0</v>
      </c>
      <c r="X244" s="4">
        <v>4643.17</v>
      </c>
      <c r="Y244" s="5">
        <v>4643.17</v>
      </c>
    </row>
    <row r="245" spans="1:25" x14ac:dyDescent="0.2">
      <c r="A245" s="47" t="s">
        <v>456</v>
      </c>
      <c r="B245" s="48" t="s">
        <v>457</v>
      </c>
      <c r="C245" s="48" t="s">
        <v>623</v>
      </c>
      <c r="D245" s="48" t="s">
        <v>624</v>
      </c>
      <c r="E245" s="48" t="s">
        <v>208</v>
      </c>
      <c r="F245" s="48" t="s">
        <v>209</v>
      </c>
      <c r="G245" s="3">
        <v>44226</v>
      </c>
      <c r="H245" s="3">
        <v>42811</v>
      </c>
      <c r="I245" s="4">
        <v>0</v>
      </c>
      <c r="J245" s="4">
        <v>0</v>
      </c>
      <c r="K245" s="4">
        <v>0</v>
      </c>
      <c r="L245" s="4">
        <v>2582.73</v>
      </c>
      <c r="M245" s="4">
        <v>0</v>
      </c>
      <c r="N245" s="4">
        <v>0</v>
      </c>
      <c r="O245" s="4">
        <f t="shared" si="23"/>
        <v>2582.73</v>
      </c>
      <c r="P245" s="4">
        <v>0</v>
      </c>
      <c r="Q245" s="4">
        <v>0</v>
      </c>
      <c r="R245" s="4">
        <v>0</v>
      </c>
      <c r="S245" s="4">
        <v>0</v>
      </c>
      <c r="T245" s="4">
        <v>0</v>
      </c>
      <c r="U245" s="4">
        <f t="shared" si="24"/>
        <v>0</v>
      </c>
      <c r="V245" s="4">
        <f t="shared" si="25"/>
        <v>2582.73</v>
      </c>
      <c r="W245" s="4">
        <v>0</v>
      </c>
      <c r="X245" s="4">
        <v>0</v>
      </c>
      <c r="Y245" s="5">
        <v>0</v>
      </c>
    </row>
    <row r="246" spans="1:25" x14ac:dyDescent="0.2">
      <c r="A246" s="47" t="s">
        <v>218</v>
      </c>
      <c r="B246" s="48" t="s">
        <v>219</v>
      </c>
      <c r="C246" s="48" t="s">
        <v>623</v>
      </c>
      <c r="D246" s="48" t="s">
        <v>624</v>
      </c>
      <c r="E246" s="48" t="s">
        <v>208</v>
      </c>
      <c r="F246" s="48" t="s">
        <v>209</v>
      </c>
      <c r="G246" s="3">
        <v>44420</v>
      </c>
      <c r="H246" s="3">
        <v>44433</v>
      </c>
      <c r="I246" s="4">
        <v>1500700</v>
      </c>
      <c r="J246" s="4">
        <v>1433859</v>
      </c>
      <c r="K246" s="4">
        <v>0</v>
      </c>
      <c r="L246" s="4">
        <v>0</v>
      </c>
      <c r="M246" s="4">
        <v>69665.2</v>
      </c>
      <c r="N246" s="4">
        <v>0</v>
      </c>
      <c r="O246" s="4">
        <f t="shared" si="23"/>
        <v>1503524.2</v>
      </c>
      <c r="P246" s="4">
        <v>1485992.03</v>
      </c>
      <c r="Q246" s="4">
        <v>0</v>
      </c>
      <c r="R246" s="4">
        <v>0</v>
      </c>
      <c r="S246" s="4">
        <v>33826.92</v>
      </c>
      <c r="T246" s="4">
        <v>5352.9</v>
      </c>
      <c r="U246" s="4">
        <f t="shared" si="24"/>
        <v>1525171.8499999999</v>
      </c>
      <c r="V246" s="4">
        <f t="shared" si="25"/>
        <v>-21647.649999999907</v>
      </c>
      <c r="W246" s="4">
        <v>0</v>
      </c>
      <c r="X246" s="4">
        <v>0</v>
      </c>
      <c r="Y246" s="5">
        <v>0</v>
      </c>
    </row>
    <row r="247" spans="1:25" x14ac:dyDescent="0.2">
      <c r="A247" s="47" t="s">
        <v>468</v>
      </c>
      <c r="B247" s="48" t="s">
        <v>469</v>
      </c>
      <c r="C247" s="48" t="s">
        <v>623</v>
      </c>
      <c r="D247" s="48" t="s">
        <v>624</v>
      </c>
      <c r="E247" s="48" t="s">
        <v>208</v>
      </c>
      <c r="F247" s="48" t="s">
        <v>209</v>
      </c>
      <c r="G247" s="3">
        <v>44226</v>
      </c>
      <c r="H247" s="3">
        <v>44209</v>
      </c>
      <c r="I247" s="4">
        <v>0</v>
      </c>
      <c r="J247" s="4">
        <v>0</v>
      </c>
      <c r="K247" s="4">
        <v>0</v>
      </c>
      <c r="L247" s="4">
        <v>0</v>
      </c>
      <c r="M247" s="4">
        <v>0</v>
      </c>
      <c r="N247" s="4">
        <v>0</v>
      </c>
      <c r="O247" s="4">
        <f t="shared" si="23"/>
        <v>0</v>
      </c>
      <c r="P247" s="4">
        <v>0</v>
      </c>
      <c r="Q247" s="4">
        <v>0</v>
      </c>
      <c r="R247" s="4">
        <v>0</v>
      </c>
      <c r="S247" s="4">
        <v>0</v>
      </c>
      <c r="T247" s="4">
        <v>3.43</v>
      </c>
      <c r="U247" s="4">
        <f t="shared" si="24"/>
        <v>3.43</v>
      </c>
      <c r="V247" s="4">
        <f t="shared" si="25"/>
        <v>-3.43</v>
      </c>
      <c r="W247" s="4">
        <v>4549.1000000000004</v>
      </c>
      <c r="X247" s="4">
        <v>626.85</v>
      </c>
      <c r="Y247" s="5">
        <v>5175.95</v>
      </c>
    </row>
    <row r="248" spans="1:25" x14ac:dyDescent="0.2">
      <c r="A248" s="47" t="s">
        <v>325</v>
      </c>
      <c r="B248" s="48" t="s">
        <v>326</v>
      </c>
      <c r="C248" s="48" t="s">
        <v>623</v>
      </c>
      <c r="D248" s="48" t="s">
        <v>624</v>
      </c>
      <c r="E248" s="48" t="s">
        <v>327</v>
      </c>
      <c r="F248" s="48" t="s">
        <v>328</v>
      </c>
      <c r="G248" s="3">
        <v>44226</v>
      </c>
      <c r="H248" s="3">
        <v>44226</v>
      </c>
      <c r="I248" s="4">
        <v>0</v>
      </c>
      <c r="J248" s="4">
        <v>0</v>
      </c>
      <c r="K248" s="4">
        <v>0</v>
      </c>
      <c r="L248" s="4">
        <v>0</v>
      </c>
      <c r="M248" s="4">
        <v>0</v>
      </c>
      <c r="N248" s="4">
        <v>0</v>
      </c>
      <c r="O248" s="4">
        <f t="shared" si="23"/>
        <v>0</v>
      </c>
      <c r="P248" s="4">
        <v>0</v>
      </c>
      <c r="Q248" s="4">
        <v>0</v>
      </c>
      <c r="R248" s="4">
        <v>0</v>
      </c>
      <c r="S248" s="4">
        <v>2707.94</v>
      </c>
      <c r="T248" s="4">
        <v>4163.57</v>
      </c>
      <c r="U248" s="4">
        <f t="shared" si="24"/>
        <v>6871.51</v>
      </c>
      <c r="V248" s="4">
        <f t="shared" si="25"/>
        <v>-6871.51</v>
      </c>
      <c r="W248" s="4">
        <v>0</v>
      </c>
      <c r="X248" s="4">
        <v>4438.82</v>
      </c>
      <c r="Y248" s="5">
        <v>4438.82</v>
      </c>
    </row>
    <row r="249" spans="1:25" x14ac:dyDescent="0.2">
      <c r="A249" s="47" t="s">
        <v>202</v>
      </c>
      <c r="B249" s="48" t="s">
        <v>203</v>
      </c>
      <c r="C249" s="48" t="s">
        <v>623</v>
      </c>
      <c r="D249" s="48" t="s">
        <v>624</v>
      </c>
      <c r="E249" s="48" t="s">
        <v>204</v>
      </c>
      <c r="F249" s="48" t="s">
        <v>205</v>
      </c>
      <c r="G249" s="3">
        <v>44326</v>
      </c>
      <c r="H249" s="3">
        <v>44337</v>
      </c>
      <c r="I249" s="4">
        <v>701250</v>
      </c>
      <c r="J249" s="4">
        <v>758928.57142857159</v>
      </c>
      <c r="K249" s="4">
        <v>0</v>
      </c>
      <c r="L249" s="4">
        <v>0</v>
      </c>
      <c r="M249" s="4">
        <v>0</v>
      </c>
      <c r="N249" s="4">
        <v>0</v>
      </c>
      <c r="O249" s="4">
        <f t="shared" si="23"/>
        <v>758928.57142857159</v>
      </c>
      <c r="P249" s="4">
        <v>744837.75</v>
      </c>
      <c r="Q249" s="4">
        <v>0</v>
      </c>
      <c r="R249" s="4">
        <v>0</v>
      </c>
      <c r="S249" s="4">
        <v>0</v>
      </c>
      <c r="T249" s="4">
        <v>0</v>
      </c>
      <c r="U249" s="4">
        <f t="shared" si="24"/>
        <v>744837.75</v>
      </c>
      <c r="V249" s="4">
        <f t="shared" si="25"/>
        <v>14090.821428571595</v>
      </c>
      <c r="W249" s="4">
        <v>0</v>
      </c>
      <c r="X249" s="4">
        <v>7351.11</v>
      </c>
      <c r="Y249" s="5">
        <v>7351.11</v>
      </c>
    </row>
    <row r="250" spans="1:25" x14ac:dyDescent="0.2">
      <c r="A250" s="47" t="s">
        <v>329</v>
      </c>
      <c r="B250" s="48" t="s">
        <v>330</v>
      </c>
      <c r="C250" s="48" t="s">
        <v>623</v>
      </c>
      <c r="D250" s="48" t="s">
        <v>624</v>
      </c>
      <c r="E250" s="48" t="s">
        <v>327</v>
      </c>
      <c r="F250" s="48" t="s">
        <v>328</v>
      </c>
      <c r="G250" s="3">
        <v>44270</v>
      </c>
      <c r="H250" s="3">
        <v>44295</v>
      </c>
      <c r="I250" s="4">
        <v>385000</v>
      </c>
      <c r="J250" s="4">
        <v>388938</v>
      </c>
      <c r="K250" s="4">
        <v>0</v>
      </c>
      <c r="L250" s="4">
        <v>0</v>
      </c>
      <c r="M250" s="4">
        <v>0</v>
      </c>
      <c r="N250" s="4">
        <v>0</v>
      </c>
      <c r="O250" s="4">
        <f t="shared" si="23"/>
        <v>388938</v>
      </c>
      <c r="P250" s="4">
        <v>317620.26</v>
      </c>
      <c r="Q250" s="4">
        <v>0</v>
      </c>
      <c r="R250" s="4">
        <v>0</v>
      </c>
      <c r="S250" s="4">
        <v>0</v>
      </c>
      <c r="T250" s="4">
        <v>0</v>
      </c>
      <c r="U250" s="4">
        <f t="shared" si="24"/>
        <v>317620.26</v>
      </c>
      <c r="V250" s="4">
        <f t="shared" si="25"/>
        <v>71317.739999999991</v>
      </c>
      <c r="W250" s="4">
        <v>0</v>
      </c>
      <c r="X250" s="4">
        <v>0</v>
      </c>
      <c r="Y250" s="5">
        <v>0</v>
      </c>
    </row>
    <row r="251" spans="1:25" x14ac:dyDescent="0.2">
      <c r="A251" s="47" t="s">
        <v>311</v>
      </c>
      <c r="B251" s="48" t="s">
        <v>312</v>
      </c>
      <c r="C251" s="48" t="s">
        <v>623</v>
      </c>
      <c r="D251" s="48" t="s">
        <v>624</v>
      </c>
      <c r="E251" s="48" t="s">
        <v>208</v>
      </c>
      <c r="F251" s="48" t="s">
        <v>209</v>
      </c>
      <c r="G251" s="3">
        <v>44226</v>
      </c>
      <c r="H251" s="3">
        <v>42551</v>
      </c>
      <c r="I251" s="4">
        <v>0</v>
      </c>
      <c r="J251" s="4">
        <v>0</v>
      </c>
      <c r="K251" s="4">
        <v>0</v>
      </c>
      <c r="L251" s="4">
        <v>0</v>
      </c>
      <c r="M251" s="4">
        <v>0</v>
      </c>
      <c r="N251" s="4">
        <v>0</v>
      </c>
      <c r="O251" s="4">
        <f t="shared" si="23"/>
        <v>0</v>
      </c>
      <c r="P251" s="4">
        <v>0</v>
      </c>
      <c r="Q251" s="4">
        <v>0</v>
      </c>
      <c r="R251" s="4">
        <v>0</v>
      </c>
      <c r="S251" s="4">
        <v>0</v>
      </c>
      <c r="T251" s="4">
        <v>0</v>
      </c>
      <c r="U251" s="4">
        <f t="shared" si="24"/>
        <v>0</v>
      </c>
      <c r="V251" s="4">
        <f t="shared" si="25"/>
        <v>0</v>
      </c>
      <c r="W251" s="4">
        <v>200.17</v>
      </c>
      <c r="X251" s="4">
        <v>0</v>
      </c>
      <c r="Y251" s="5">
        <v>200.17</v>
      </c>
    </row>
    <row r="252" spans="1:25" x14ac:dyDescent="0.2">
      <c r="A252" s="47" t="s">
        <v>216</v>
      </c>
      <c r="B252" s="48" t="s">
        <v>217</v>
      </c>
      <c r="C252" s="48" t="s">
        <v>623</v>
      </c>
      <c r="D252" s="48" t="s">
        <v>624</v>
      </c>
      <c r="E252" s="48" t="s">
        <v>208</v>
      </c>
      <c r="F252" s="48" t="s">
        <v>209</v>
      </c>
      <c r="G252" s="3">
        <v>44411</v>
      </c>
      <c r="H252" s="3">
        <v>41820</v>
      </c>
      <c r="I252" s="4">
        <v>2250775</v>
      </c>
      <c r="J252" s="4">
        <v>534985</v>
      </c>
      <c r="K252" s="4">
        <v>0</v>
      </c>
      <c r="L252" s="4">
        <v>36198.379999999997</v>
      </c>
      <c r="M252" s="4">
        <v>0</v>
      </c>
      <c r="N252" s="4">
        <v>0</v>
      </c>
      <c r="O252" s="4">
        <f t="shared" si="23"/>
        <v>571183.38</v>
      </c>
      <c r="P252" s="4">
        <v>487382.79</v>
      </c>
      <c r="Q252" s="4">
        <v>0</v>
      </c>
      <c r="R252" s="4">
        <v>0</v>
      </c>
      <c r="S252" s="4">
        <v>15789.46</v>
      </c>
      <c r="T252" s="4">
        <v>60896.83</v>
      </c>
      <c r="U252" s="4">
        <f t="shared" si="24"/>
        <v>564069.07999999996</v>
      </c>
      <c r="V252" s="4">
        <f t="shared" si="25"/>
        <v>7114.3000000000466</v>
      </c>
      <c r="W252" s="4">
        <v>0</v>
      </c>
      <c r="X252" s="4">
        <v>0</v>
      </c>
      <c r="Y252" s="5">
        <v>0</v>
      </c>
    </row>
    <row r="253" spans="1:25" x14ac:dyDescent="0.2">
      <c r="A253" s="47" t="s">
        <v>287</v>
      </c>
      <c r="B253" s="48" t="s">
        <v>288</v>
      </c>
      <c r="C253" s="48" t="s">
        <v>623</v>
      </c>
      <c r="D253" s="48" t="s">
        <v>624</v>
      </c>
      <c r="E253" s="48" t="s">
        <v>285</v>
      </c>
      <c r="F253" s="48" t="s">
        <v>286</v>
      </c>
      <c r="G253" s="3">
        <v>44392</v>
      </c>
      <c r="H253" s="3">
        <v>44407</v>
      </c>
      <c r="I253" s="4">
        <v>2174590</v>
      </c>
      <c r="J253" s="4">
        <v>0</v>
      </c>
      <c r="K253" s="4">
        <v>0</v>
      </c>
      <c r="L253" s="4">
        <v>10723.12643779718</v>
      </c>
      <c r="M253" s="4">
        <v>0</v>
      </c>
      <c r="N253" s="4">
        <v>0</v>
      </c>
      <c r="O253" s="4">
        <f t="shared" si="23"/>
        <v>10723.12643779718</v>
      </c>
      <c r="P253" s="4">
        <v>0</v>
      </c>
      <c r="Q253" s="4">
        <v>0</v>
      </c>
      <c r="R253" s="4">
        <v>0</v>
      </c>
      <c r="S253" s="4">
        <v>43967.06</v>
      </c>
      <c r="T253" s="4">
        <v>26369.72</v>
      </c>
      <c r="U253" s="4">
        <f t="shared" si="24"/>
        <v>70336.78</v>
      </c>
      <c r="V253" s="4">
        <f t="shared" si="25"/>
        <v>-59613.653562202817</v>
      </c>
      <c r="W253" s="4">
        <v>5759.24</v>
      </c>
      <c r="X253" s="4">
        <v>896.16</v>
      </c>
      <c r="Y253" s="5">
        <v>6655.4</v>
      </c>
    </row>
    <row r="254" spans="1:25" x14ac:dyDescent="0.2">
      <c r="A254" s="47" t="s">
        <v>148</v>
      </c>
      <c r="B254" s="48" t="s">
        <v>149</v>
      </c>
      <c r="C254" s="48" t="s">
        <v>623</v>
      </c>
      <c r="D254" s="48" t="s">
        <v>624</v>
      </c>
      <c r="E254" s="48" t="s">
        <v>122</v>
      </c>
      <c r="F254" s="48" t="s">
        <v>123</v>
      </c>
      <c r="G254" s="3">
        <v>44674</v>
      </c>
      <c r="H254" s="3"/>
      <c r="I254" s="4">
        <v>2070000</v>
      </c>
      <c r="J254" s="4">
        <v>0</v>
      </c>
      <c r="K254" s="4">
        <v>0</v>
      </c>
      <c r="L254" s="4">
        <v>0</v>
      </c>
      <c r="M254" s="4">
        <v>0</v>
      </c>
      <c r="N254" s="4">
        <v>0</v>
      </c>
      <c r="O254" s="4">
        <f t="shared" si="23"/>
        <v>0</v>
      </c>
      <c r="P254" s="4">
        <v>0</v>
      </c>
      <c r="Q254" s="4">
        <v>0</v>
      </c>
      <c r="R254" s="4">
        <v>0</v>
      </c>
      <c r="S254" s="4">
        <v>3309.83</v>
      </c>
      <c r="T254" s="4">
        <v>0</v>
      </c>
      <c r="U254" s="4">
        <f t="shared" si="24"/>
        <v>3309.83</v>
      </c>
      <c r="V254" s="4">
        <f t="shared" si="25"/>
        <v>-3309.83</v>
      </c>
      <c r="W254" s="4">
        <v>0</v>
      </c>
      <c r="X254" s="4">
        <v>0</v>
      </c>
      <c r="Y254" s="5">
        <v>0</v>
      </c>
    </row>
    <row r="255" spans="1:25" x14ac:dyDescent="0.2">
      <c r="A255" s="47" t="s">
        <v>448</v>
      </c>
      <c r="B255" s="48" t="s">
        <v>449</v>
      </c>
      <c r="C255" s="48" t="s">
        <v>623</v>
      </c>
      <c r="D255" s="48" t="s">
        <v>624</v>
      </c>
      <c r="E255" s="48" t="s">
        <v>204</v>
      </c>
      <c r="F255" s="48" t="s">
        <v>205</v>
      </c>
      <c r="G255" s="3">
        <v>44226</v>
      </c>
      <c r="H255" s="3">
        <v>42996</v>
      </c>
      <c r="I255" s="4">
        <v>0</v>
      </c>
      <c r="J255" s="4">
        <v>0</v>
      </c>
      <c r="K255" s="4">
        <v>0</v>
      </c>
      <c r="L255" s="4">
        <v>0</v>
      </c>
      <c r="M255" s="4">
        <v>0</v>
      </c>
      <c r="N255" s="4">
        <v>0</v>
      </c>
      <c r="O255" s="4">
        <f t="shared" si="23"/>
        <v>0</v>
      </c>
      <c r="P255" s="4">
        <v>0</v>
      </c>
      <c r="Q255" s="4">
        <v>0</v>
      </c>
      <c r="R255" s="4">
        <v>0</v>
      </c>
      <c r="S255" s="4">
        <v>0</v>
      </c>
      <c r="T255" s="4">
        <v>0</v>
      </c>
      <c r="U255" s="4">
        <f t="shared" si="24"/>
        <v>0</v>
      </c>
      <c r="V255" s="4">
        <f t="shared" si="25"/>
        <v>0</v>
      </c>
      <c r="W255" s="4">
        <v>0</v>
      </c>
      <c r="X255" s="4">
        <v>2084.33</v>
      </c>
      <c r="Y255" s="5">
        <v>2084.33</v>
      </c>
    </row>
    <row r="256" spans="1:25" x14ac:dyDescent="0.2">
      <c r="A256" s="47" t="s">
        <v>283</v>
      </c>
      <c r="B256" s="48" t="s">
        <v>284</v>
      </c>
      <c r="C256" s="48" t="s">
        <v>623</v>
      </c>
      <c r="D256" s="48" t="s">
        <v>624</v>
      </c>
      <c r="E256" s="48" t="s">
        <v>285</v>
      </c>
      <c r="F256" s="48" t="s">
        <v>286</v>
      </c>
      <c r="G256" s="3">
        <v>44226</v>
      </c>
      <c r="H256" s="3">
        <v>44226</v>
      </c>
      <c r="I256" s="4">
        <v>0</v>
      </c>
      <c r="J256" s="4">
        <v>0</v>
      </c>
      <c r="K256" s="4">
        <v>0</v>
      </c>
      <c r="L256" s="4">
        <v>0</v>
      </c>
      <c r="M256" s="4">
        <v>0</v>
      </c>
      <c r="N256" s="4">
        <v>0</v>
      </c>
      <c r="O256" s="4">
        <f t="shared" si="23"/>
        <v>0</v>
      </c>
      <c r="P256" s="4">
        <v>0</v>
      </c>
      <c r="Q256" s="4">
        <v>0</v>
      </c>
      <c r="R256" s="4">
        <v>0</v>
      </c>
      <c r="S256" s="4">
        <v>0</v>
      </c>
      <c r="T256" s="4">
        <v>3641.53</v>
      </c>
      <c r="U256" s="4">
        <f t="shared" si="24"/>
        <v>3641.53</v>
      </c>
      <c r="V256" s="4">
        <f t="shared" si="25"/>
        <v>-3641.53</v>
      </c>
      <c r="W256" s="4">
        <v>0</v>
      </c>
      <c r="X256" s="4">
        <v>0</v>
      </c>
      <c r="Y256" s="5">
        <v>0</v>
      </c>
    </row>
    <row r="257" spans="1:25" x14ac:dyDescent="0.2">
      <c r="A257" s="47" t="s">
        <v>572</v>
      </c>
      <c r="B257" s="48" t="s">
        <v>573</v>
      </c>
      <c r="C257" s="48" t="s">
        <v>623</v>
      </c>
      <c r="D257" s="48" t="s">
        <v>624</v>
      </c>
      <c r="E257" s="48" t="s">
        <v>574</v>
      </c>
      <c r="F257" s="48" t="s">
        <v>575</v>
      </c>
      <c r="G257" s="3">
        <v>44664</v>
      </c>
      <c r="H257" s="3"/>
      <c r="I257" s="4">
        <v>1238530</v>
      </c>
      <c r="J257" s="4">
        <v>0</v>
      </c>
      <c r="K257" s="4">
        <v>0</v>
      </c>
      <c r="L257" s="4">
        <v>0</v>
      </c>
      <c r="M257" s="4">
        <v>0</v>
      </c>
      <c r="N257" s="4">
        <v>0</v>
      </c>
      <c r="O257" s="4">
        <f t="shared" si="23"/>
        <v>0</v>
      </c>
      <c r="P257" s="4">
        <v>0</v>
      </c>
      <c r="Q257" s="4">
        <v>0</v>
      </c>
      <c r="R257" s="4">
        <v>0</v>
      </c>
      <c r="S257" s="4">
        <v>0</v>
      </c>
      <c r="T257" s="4">
        <v>6.36</v>
      </c>
      <c r="U257" s="4">
        <f t="shared" si="24"/>
        <v>6.36</v>
      </c>
      <c r="V257" s="4">
        <f t="shared" si="25"/>
        <v>-6.36</v>
      </c>
      <c r="W257" s="4">
        <v>0</v>
      </c>
      <c r="X257" s="4">
        <v>0</v>
      </c>
      <c r="Y257" s="5">
        <v>0</v>
      </c>
    </row>
    <row r="258" spans="1:25" x14ac:dyDescent="0.2">
      <c r="A258" s="42" t="s">
        <v>116</v>
      </c>
      <c r="B258" s="43" t="s">
        <v>117</v>
      </c>
      <c r="C258" s="43" t="s">
        <v>630</v>
      </c>
      <c r="D258" s="43" t="s">
        <v>631</v>
      </c>
      <c r="E258" s="43" t="s">
        <v>96</v>
      </c>
      <c r="F258" s="43" t="s">
        <v>97</v>
      </c>
      <c r="G258" s="6">
        <v>44634</v>
      </c>
      <c r="H258" s="6"/>
      <c r="I258" s="7">
        <v>5120000</v>
      </c>
      <c r="J258" s="7">
        <v>705128.20512820513</v>
      </c>
      <c r="K258" s="7">
        <v>0</v>
      </c>
      <c r="L258" s="7">
        <v>25370.94</v>
      </c>
      <c r="M258" s="7">
        <v>0</v>
      </c>
      <c r="N258" s="7">
        <v>0</v>
      </c>
      <c r="O258" s="7">
        <f>SUM(J258:N258)</f>
        <v>730499.14512820507</v>
      </c>
      <c r="P258" s="7">
        <v>719812.42672919109</v>
      </c>
      <c r="Q258" s="7">
        <v>0</v>
      </c>
      <c r="R258" s="7">
        <v>0</v>
      </c>
      <c r="S258" s="7">
        <v>18400.12</v>
      </c>
      <c r="T258" s="7">
        <v>99405.77</v>
      </c>
      <c r="U258" s="7">
        <f>SUM(P258:T258)</f>
        <v>837618.31672919111</v>
      </c>
      <c r="V258" s="7">
        <f>O258-U258</f>
        <v>-107119.17160098604</v>
      </c>
      <c r="W258" s="7">
        <v>0</v>
      </c>
      <c r="X258" s="7">
        <v>0</v>
      </c>
      <c r="Y258" s="8">
        <v>0</v>
      </c>
    </row>
    <row r="259" spans="1:25" x14ac:dyDescent="0.2">
      <c r="A259" s="42" t="s">
        <v>317</v>
      </c>
      <c r="B259" s="43" t="s">
        <v>318</v>
      </c>
      <c r="C259" s="43" t="s">
        <v>630</v>
      </c>
      <c r="D259" s="43" t="s">
        <v>631</v>
      </c>
      <c r="E259" s="43" t="s">
        <v>281</v>
      </c>
      <c r="F259" s="43" t="s">
        <v>282</v>
      </c>
      <c r="G259" s="6">
        <v>44226</v>
      </c>
      <c r="H259" s="6">
        <v>44238</v>
      </c>
      <c r="I259" s="7">
        <v>0</v>
      </c>
      <c r="J259" s="7">
        <v>0</v>
      </c>
      <c r="K259" s="7">
        <v>0</v>
      </c>
      <c r="L259" s="7">
        <v>0</v>
      </c>
      <c r="M259" s="7">
        <v>0</v>
      </c>
      <c r="N259" s="7">
        <v>0</v>
      </c>
      <c r="O259" s="7">
        <f t="shared" ref="O259:O269" si="26">SUM(J259:N259)</f>
        <v>0</v>
      </c>
      <c r="P259" s="7">
        <v>0</v>
      </c>
      <c r="Q259" s="7">
        <v>0</v>
      </c>
      <c r="R259" s="7">
        <v>0</v>
      </c>
      <c r="S259" s="7">
        <v>795.31</v>
      </c>
      <c r="T259" s="7">
        <v>2156.34</v>
      </c>
      <c r="U259" s="7">
        <f t="shared" ref="U259:U269" si="27">SUM(P259:T259)</f>
        <v>2951.65</v>
      </c>
      <c r="V259" s="7">
        <f t="shared" ref="V259:V269" si="28">O259-U259</f>
        <v>-2951.65</v>
      </c>
      <c r="W259" s="7">
        <v>0</v>
      </c>
      <c r="X259" s="7">
        <v>0</v>
      </c>
      <c r="Y259" s="8">
        <v>0</v>
      </c>
    </row>
    <row r="260" spans="1:25" x14ac:dyDescent="0.2">
      <c r="A260" s="42" t="s">
        <v>265</v>
      </c>
      <c r="B260" s="43" t="s">
        <v>266</v>
      </c>
      <c r="C260" s="43" t="s">
        <v>630</v>
      </c>
      <c r="D260" s="43" t="s">
        <v>631</v>
      </c>
      <c r="E260" s="43" t="s">
        <v>702</v>
      </c>
      <c r="F260" s="43" t="s">
        <v>267</v>
      </c>
      <c r="G260" s="6">
        <v>44347</v>
      </c>
      <c r="H260" s="6">
        <v>44357</v>
      </c>
      <c r="I260" s="7">
        <v>1072500</v>
      </c>
      <c r="J260" s="7">
        <v>775159.53</v>
      </c>
      <c r="K260" s="7">
        <v>0</v>
      </c>
      <c r="L260" s="7">
        <v>0</v>
      </c>
      <c r="M260" s="7">
        <v>0</v>
      </c>
      <c r="N260" s="7">
        <v>0</v>
      </c>
      <c r="O260" s="7">
        <f t="shared" si="26"/>
        <v>775159.53</v>
      </c>
      <c r="P260" s="7">
        <v>807833.54</v>
      </c>
      <c r="Q260" s="7">
        <v>0</v>
      </c>
      <c r="R260" s="7">
        <v>0</v>
      </c>
      <c r="S260" s="7">
        <v>0</v>
      </c>
      <c r="T260" s="7">
        <v>7724.83</v>
      </c>
      <c r="U260" s="7">
        <f t="shared" si="27"/>
        <v>815558.37</v>
      </c>
      <c r="V260" s="7">
        <f t="shared" si="28"/>
        <v>-40398.839999999967</v>
      </c>
      <c r="W260" s="7">
        <v>0</v>
      </c>
      <c r="X260" s="7">
        <v>0</v>
      </c>
      <c r="Y260" s="8">
        <v>0</v>
      </c>
    </row>
    <row r="261" spans="1:25" x14ac:dyDescent="0.2">
      <c r="A261" s="42" t="s">
        <v>268</v>
      </c>
      <c r="B261" s="43" t="s">
        <v>269</v>
      </c>
      <c r="C261" s="43" t="s">
        <v>630</v>
      </c>
      <c r="D261" s="43" t="s">
        <v>631</v>
      </c>
      <c r="E261" s="43" t="s">
        <v>702</v>
      </c>
      <c r="F261" s="43" t="s">
        <v>267</v>
      </c>
      <c r="G261" s="6">
        <v>44369</v>
      </c>
      <c r="H261" s="6">
        <v>44384</v>
      </c>
      <c r="I261" s="7">
        <v>0</v>
      </c>
      <c r="J261" s="7">
        <v>639262.98</v>
      </c>
      <c r="K261" s="7">
        <v>0</v>
      </c>
      <c r="L261" s="7">
        <v>9379.6200000000008</v>
      </c>
      <c r="M261" s="7">
        <v>0</v>
      </c>
      <c r="N261" s="7">
        <v>0</v>
      </c>
      <c r="O261" s="7">
        <f t="shared" si="26"/>
        <v>648642.6</v>
      </c>
      <c r="P261" s="7">
        <v>623011.01</v>
      </c>
      <c r="Q261" s="7">
        <v>0</v>
      </c>
      <c r="R261" s="7">
        <v>0</v>
      </c>
      <c r="S261" s="7">
        <v>25219.21</v>
      </c>
      <c r="T261" s="7">
        <v>23562.36</v>
      </c>
      <c r="U261" s="7">
        <f t="shared" si="27"/>
        <v>671792.58</v>
      </c>
      <c r="V261" s="7">
        <f t="shared" si="28"/>
        <v>-23149.979999999981</v>
      </c>
      <c r="W261" s="7">
        <v>0</v>
      </c>
      <c r="X261" s="7">
        <v>0</v>
      </c>
      <c r="Y261" s="8">
        <v>0</v>
      </c>
    </row>
    <row r="262" spans="1:25" x14ac:dyDescent="0.2">
      <c r="A262" s="42" t="s">
        <v>355</v>
      </c>
      <c r="B262" s="43" t="s">
        <v>356</v>
      </c>
      <c r="C262" s="43" t="s">
        <v>630</v>
      </c>
      <c r="D262" s="43" t="s">
        <v>631</v>
      </c>
      <c r="E262" s="43" t="s">
        <v>702</v>
      </c>
      <c r="F262" s="43" t="s">
        <v>267</v>
      </c>
      <c r="G262" s="6">
        <v>44226</v>
      </c>
      <c r="H262" s="6">
        <v>43696</v>
      </c>
      <c r="I262" s="7">
        <v>0</v>
      </c>
      <c r="J262" s="7">
        <v>0</v>
      </c>
      <c r="K262" s="7">
        <v>0</v>
      </c>
      <c r="L262" s="7">
        <v>0</v>
      </c>
      <c r="M262" s="7">
        <v>0</v>
      </c>
      <c r="N262" s="7">
        <v>0</v>
      </c>
      <c r="O262" s="7">
        <f t="shared" si="26"/>
        <v>0</v>
      </c>
      <c r="P262" s="7">
        <v>0</v>
      </c>
      <c r="Q262" s="7">
        <v>0</v>
      </c>
      <c r="R262" s="7">
        <v>0</v>
      </c>
      <c r="S262" s="7">
        <v>0</v>
      </c>
      <c r="T262" s="7">
        <v>399.48</v>
      </c>
      <c r="U262" s="7">
        <f t="shared" si="27"/>
        <v>399.48</v>
      </c>
      <c r="V262" s="7">
        <f t="shared" si="28"/>
        <v>-399.48</v>
      </c>
      <c r="W262" s="7">
        <v>0</v>
      </c>
      <c r="X262" s="7">
        <v>0</v>
      </c>
      <c r="Y262" s="8">
        <v>0</v>
      </c>
    </row>
    <row r="263" spans="1:25" x14ac:dyDescent="0.2">
      <c r="A263" s="42" t="s">
        <v>148</v>
      </c>
      <c r="B263" s="43" t="s">
        <v>149</v>
      </c>
      <c r="C263" s="43" t="s">
        <v>630</v>
      </c>
      <c r="D263" s="43" t="s">
        <v>631</v>
      </c>
      <c r="E263" s="43" t="s">
        <v>122</v>
      </c>
      <c r="F263" s="43" t="s">
        <v>123</v>
      </c>
      <c r="G263" s="6">
        <v>44674</v>
      </c>
      <c r="H263" s="6"/>
      <c r="I263" s="7">
        <v>2070000</v>
      </c>
      <c r="J263" s="7">
        <v>0</v>
      </c>
      <c r="K263" s="7">
        <v>0</v>
      </c>
      <c r="L263" s="7">
        <v>119299.25</v>
      </c>
      <c r="M263" s="7">
        <v>0</v>
      </c>
      <c r="N263" s="7">
        <v>0</v>
      </c>
      <c r="O263" s="7">
        <f t="shared" si="26"/>
        <v>119299.25</v>
      </c>
      <c r="P263" s="7">
        <v>0</v>
      </c>
      <c r="Q263" s="7">
        <v>0</v>
      </c>
      <c r="R263" s="7">
        <v>0</v>
      </c>
      <c r="S263" s="7">
        <v>163680.94</v>
      </c>
      <c r="T263" s="7">
        <v>244884.01</v>
      </c>
      <c r="U263" s="7">
        <f t="shared" si="27"/>
        <v>408564.95</v>
      </c>
      <c r="V263" s="7">
        <f t="shared" si="28"/>
        <v>-289265.7</v>
      </c>
      <c r="W263" s="7">
        <v>0</v>
      </c>
      <c r="X263" s="7">
        <v>0</v>
      </c>
      <c r="Y263" s="8">
        <v>0</v>
      </c>
    </row>
    <row r="264" spans="1:25" x14ac:dyDescent="0.2">
      <c r="A264" s="42" t="s">
        <v>436</v>
      </c>
      <c r="B264" s="43" t="s">
        <v>437</v>
      </c>
      <c r="C264" s="43" t="s">
        <v>630</v>
      </c>
      <c r="D264" s="43" t="s">
        <v>631</v>
      </c>
      <c r="E264" s="43" t="s">
        <v>690</v>
      </c>
      <c r="F264" s="43" t="s">
        <v>435</v>
      </c>
      <c r="G264" s="6">
        <v>44226</v>
      </c>
      <c r="H264" s="6">
        <v>42983</v>
      </c>
      <c r="I264" s="7">
        <v>0</v>
      </c>
      <c r="J264" s="7">
        <v>0</v>
      </c>
      <c r="K264" s="7">
        <v>0</v>
      </c>
      <c r="L264" s="7">
        <v>0</v>
      </c>
      <c r="M264" s="7">
        <v>0</v>
      </c>
      <c r="N264" s="7">
        <v>0</v>
      </c>
      <c r="O264" s="7">
        <f t="shared" si="26"/>
        <v>0</v>
      </c>
      <c r="P264" s="7">
        <v>0</v>
      </c>
      <c r="Q264" s="7">
        <v>0</v>
      </c>
      <c r="R264" s="7">
        <v>0</v>
      </c>
      <c r="S264" s="7">
        <v>0</v>
      </c>
      <c r="T264" s="7">
        <v>0</v>
      </c>
      <c r="U264" s="7">
        <f t="shared" si="27"/>
        <v>0</v>
      </c>
      <c r="V264" s="7">
        <f t="shared" si="28"/>
        <v>0</v>
      </c>
      <c r="W264" s="7">
        <v>0</v>
      </c>
      <c r="X264" s="7">
        <v>934.41</v>
      </c>
      <c r="Y264" s="8">
        <v>934.41</v>
      </c>
    </row>
    <row r="265" spans="1:25" x14ac:dyDescent="0.2">
      <c r="A265" s="42" t="s">
        <v>703</v>
      </c>
      <c r="B265" s="43" t="s">
        <v>271</v>
      </c>
      <c r="C265" s="43" t="s">
        <v>630</v>
      </c>
      <c r="D265" s="43" t="s">
        <v>631</v>
      </c>
      <c r="E265" s="43" t="s">
        <v>701</v>
      </c>
      <c r="F265" s="43" t="s">
        <v>272</v>
      </c>
      <c r="G265" s="6">
        <v>44226</v>
      </c>
      <c r="H265" s="6">
        <v>44226</v>
      </c>
      <c r="I265" s="7">
        <v>917588.1</v>
      </c>
      <c r="J265" s="7">
        <v>0</v>
      </c>
      <c r="K265" s="7">
        <v>0</v>
      </c>
      <c r="L265" s="7">
        <v>0</v>
      </c>
      <c r="M265" s="7">
        <v>0</v>
      </c>
      <c r="N265" s="7">
        <v>0</v>
      </c>
      <c r="O265" s="7">
        <f t="shared" si="26"/>
        <v>0</v>
      </c>
      <c r="P265" s="7">
        <v>0</v>
      </c>
      <c r="Q265" s="7">
        <v>0</v>
      </c>
      <c r="R265" s="7">
        <v>0</v>
      </c>
      <c r="S265" s="7">
        <v>0</v>
      </c>
      <c r="T265" s="7">
        <v>43123.55</v>
      </c>
      <c r="U265" s="7">
        <f t="shared" si="27"/>
        <v>43123.55</v>
      </c>
      <c r="V265" s="7">
        <f t="shared" si="28"/>
        <v>-43123.55</v>
      </c>
      <c r="W265" s="7">
        <v>0</v>
      </c>
      <c r="X265" s="7">
        <v>2282.16</v>
      </c>
      <c r="Y265" s="8">
        <v>2282.16</v>
      </c>
    </row>
    <row r="266" spans="1:25" x14ac:dyDescent="0.2">
      <c r="A266" s="42" t="s">
        <v>301</v>
      </c>
      <c r="B266" s="43" t="s">
        <v>302</v>
      </c>
      <c r="C266" s="43" t="s">
        <v>630</v>
      </c>
      <c r="D266" s="43" t="s">
        <v>631</v>
      </c>
      <c r="E266" s="43" t="s">
        <v>303</v>
      </c>
      <c r="F266" s="43" t="s">
        <v>304</v>
      </c>
      <c r="G266" s="6">
        <v>44302</v>
      </c>
      <c r="H266" s="6">
        <v>44315</v>
      </c>
      <c r="I266" s="7">
        <v>192500</v>
      </c>
      <c r="J266" s="7">
        <v>0</v>
      </c>
      <c r="K266" s="7">
        <v>0</v>
      </c>
      <c r="L266" s="7">
        <v>0</v>
      </c>
      <c r="M266" s="7">
        <v>0</v>
      </c>
      <c r="N266" s="7">
        <v>0</v>
      </c>
      <c r="O266" s="7">
        <f t="shared" si="26"/>
        <v>0</v>
      </c>
      <c r="P266" s="7">
        <v>0</v>
      </c>
      <c r="Q266" s="7">
        <v>0</v>
      </c>
      <c r="R266" s="7">
        <v>0</v>
      </c>
      <c r="S266" s="7">
        <v>0</v>
      </c>
      <c r="T266" s="7">
        <v>6452.37</v>
      </c>
      <c r="U266" s="7">
        <f t="shared" si="27"/>
        <v>6452.37</v>
      </c>
      <c r="V266" s="7">
        <f t="shared" si="28"/>
        <v>-6452.37</v>
      </c>
      <c r="W266" s="7">
        <v>0</v>
      </c>
      <c r="X266" s="7">
        <v>0</v>
      </c>
      <c r="Y266" s="8">
        <v>0</v>
      </c>
    </row>
    <row r="267" spans="1:25" x14ac:dyDescent="0.2">
      <c r="A267" s="42" t="s">
        <v>572</v>
      </c>
      <c r="B267" s="43" t="s">
        <v>573</v>
      </c>
      <c r="C267" s="43" t="s">
        <v>630</v>
      </c>
      <c r="D267" s="43" t="s">
        <v>631</v>
      </c>
      <c r="E267" s="43" t="s">
        <v>574</v>
      </c>
      <c r="F267" s="43" t="s">
        <v>575</v>
      </c>
      <c r="G267" s="6">
        <v>44664</v>
      </c>
      <c r="H267" s="6"/>
      <c r="I267" s="7">
        <v>1238530</v>
      </c>
      <c r="J267" s="7">
        <v>0</v>
      </c>
      <c r="K267" s="7">
        <v>0</v>
      </c>
      <c r="L267" s="7">
        <v>0</v>
      </c>
      <c r="M267" s="7">
        <v>0</v>
      </c>
      <c r="N267" s="7">
        <v>0</v>
      </c>
      <c r="O267" s="7">
        <f t="shared" si="26"/>
        <v>0</v>
      </c>
      <c r="P267" s="7">
        <v>0</v>
      </c>
      <c r="Q267" s="7">
        <v>0</v>
      </c>
      <c r="R267" s="7">
        <v>0</v>
      </c>
      <c r="S267" s="7">
        <v>25140.76</v>
      </c>
      <c r="T267" s="7">
        <v>47455.199999999997</v>
      </c>
      <c r="U267" s="7">
        <f t="shared" si="27"/>
        <v>72595.959999999992</v>
      </c>
      <c r="V267" s="7">
        <f t="shared" si="28"/>
        <v>-72595.959999999992</v>
      </c>
      <c r="W267" s="7">
        <v>0</v>
      </c>
      <c r="X267" s="7">
        <v>0</v>
      </c>
      <c r="Y267" s="8">
        <v>0</v>
      </c>
    </row>
    <row r="268" spans="1:25" x14ac:dyDescent="0.2">
      <c r="A268" s="42" t="s">
        <v>120</v>
      </c>
      <c r="B268" s="43" t="s">
        <v>121</v>
      </c>
      <c r="C268" s="43" t="s">
        <v>630</v>
      </c>
      <c r="D268" s="43" t="s">
        <v>631</v>
      </c>
      <c r="E268" s="43" t="s">
        <v>122</v>
      </c>
      <c r="F268" s="43" t="s">
        <v>123</v>
      </c>
      <c r="G268" s="6">
        <v>44691</v>
      </c>
      <c r="H268" s="6"/>
      <c r="I268" s="7">
        <v>1338000</v>
      </c>
      <c r="J268" s="7">
        <v>0</v>
      </c>
      <c r="K268" s="7">
        <v>0</v>
      </c>
      <c r="L268" s="7">
        <v>0</v>
      </c>
      <c r="M268" s="7">
        <v>0</v>
      </c>
      <c r="N268" s="7">
        <v>0</v>
      </c>
      <c r="O268" s="7">
        <f t="shared" si="26"/>
        <v>0</v>
      </c>
      <c r="P268" s="7">
        <v>0</v>
      </c>
      <c r="Q268" s="7">
        <v>0</v>
      </c>
      <c r="R268" s="7">
        <v>0</v>
      </c>
      <c r="S268" s="7">
        <v>10979.97</v>
      </c>
      <c r="T268" s="7">
        <v>51561.3</v>
      </c>
      <c r="U268" s="7">
        <f t="shared" si="27"/>
        <v>62541.270000000004</v>
      </c>
      <c r="V268" s="7">
        <f t="shared" si="28"/>
        <v>-62541.270000000004</v>
      </c>
      <c r="W268" s="7">
        <v>0</v>
      </c>
      <c r="X268" s="7">
        <v>0</v>
      </c>
      <c r="Y268" s="8">
        <v>0</v>
      </c>
    </row>
    <row r="269" spans="1:25" x14ac:dyDescent="0.2">
      <c r="A269" s="42" t="s">
        <v>128</v>
      </c>
      <c r="B269" s="43" t="s">
        <v>129</v>
      </c>
      <c r="C269" s="43" t="s">
        <v>630</v>
      </c>
      <c r="D269" s="43" t="s">
        <v>631</v>
      </c>
      <c r="E269" s="43" t="s">
        <v>122</v>
      </c>
      <c r="F269" s="43" t="s">
        <v>123</v>
      </c>
      <c r="G269" s="6">
        <v>44700</v>
      </c>
      <c r="H269" s="6"/>
      <c r="I269" s="7">
        <v>475000</v>
      </c>
      <c r="J269" s="7">
        <v>0</v>
      </c>
      <c r="K269" s="7">
        <v>0</v>
      </c>
      <c r="L269" s="7">
        <v>36160.187573270807</v>
      </c>
      <c r="M269" s="7">
        <v>0</v>
      </c>
      <c r="N269" s="7">
        <v>0</v>
      </c>
      <c r="O269" s="7">
        <f t="shared" si="26"/>
        <v>36160.187573270807</v>
      </c>
      <c r="P269" s="7">
        <v>0</v>
      </c>
      <c r="Q269" s="7">
        <v>0</v>
      </c>
      <c r="R269" s="7">
        <v>0</v>
      </c>
      <c r="S269" s="7">
        <v>22390.76</v>
      </c>
      <c r="T269" s="7">
        <v>2607.14</v>
      </c>
      <c r="U269" s="7">
        <f t="shared" si="27"/>
        <v>24997.899999999998</v>
      </c>
      <c r="V269" s="7">
        <f t="shared" si="28"/>
        <v>11162.287573270809</v>
      </c>
      <c r="W269" s="7">
        <v>0</v>
      </c>
      <c r="X269" s="7">
        <v>0</v>
      </c>
      <c r="Y269" s="8">
        <v>0</v>
      </c>
    </row>
    <row r="270" spans="1:25" x14ac:dyDescent="0.2">
      <c r="A270" s="42" t="s">
        <v>225</v>
      </c>
      <c r="B270" s="43" t="s">
        <v>226</v>
      </c>
      <c r="C270" s="43" t="s">
        <v>639</v>
      </c>
      <c r="D270" s="43" t="s">
        <v>640</v>
      </c>
      <c r="E270" s="43" t="s">
        <v>166</v>
      </c>
      <c r="F270" s="43" t="s">
        <v>167</v>
      </c>
      <c r="G270" s="6">
        <v>44226</v>
      </c>
      <c r="H270" s="6">
        <v>44223</v>
      </c>
      <c r="I270" s="7">
        <v>1144000</v>
      </c>
      <c r="J270" s="7">
        <v>0</v>
      </c>
      <c r="K270" s="7">
        <v>0</v>
      </c>
      <c r="L270" s="7">
        <v>0</v>
      </c>
      <c r="M270" s="7">
        <v>0</v>
      </c>
      <c r="N270" s="7">
        <v>0</v>
      </c>
      <c r="O270" s="7">
        <f>SUM(J270:N270)</f>
        <v>0</v>
      </c>
      <c r="P270" s="7">
        <v>60238.33</v>
      </c>
      <c r="Q270" s="7">
        <v>0</v>
      </c>
      <c r="R270" s="7">
        <v>0</v>
      </c>
      <c r="S270" s="7">
        <v>15774.18</v>
      </c>
      <c r="T270" s="7">
        <v>0</v>
      </c>
      <c r="U270" s="7">
        <f>SUM(P270:T270)</f>
        <v>76012.510000000009</v>
      </c>
      <c r="V270" s="7">
        <f>O270-U270</f>
        <v>-76012.510000000009</v>
      </c>
      <c r="W270" s="7">
        <v>109626.5</v>
      </c>
      <c r="X270" s="7">
        <v>0</v>
      </c>
      <c r="Y270" s="8">
        <v>109626.5</v>
      </c>
    </row>
    <row r="271" spans="1:25" x14ac:dyDescent="0.2">
      <c r="A271" s="42" t="s">
        <v>193</v>
      </c>
      <c r="B271" s="43" t="s">
        <v>194</v>
      </c>
      <c r="C271" s="43" t="s">
        <v>639</v>
      </c>
      <c r="D271" s="43" t="s">
        <v>640</v>
      </c>
      <c r="E271" s="43" t="s">
        <v>195</v>
      </c>
      <c r="F271" s="43" t="s">
        <v>196</v>
      </c>
      <c r="G271" s="6">
        <v>44279</v>
      </c>
      <c r="H271" s="6"/>
      <c r="I271" s="7">
        <v>88000</v>
      </c>
      <c r="J271" s="7">
        <v>0</v>
      </c>
      <c r="K271" s="7">
        <v>0</v>
      </c>
      <c r="L271" s="7">
        <v>0</v>
      </c>
      <c r="M271" s="7">
        <v>0</v>
      </c>
      <c r="N271" s="7">
        <v>0</v>
      </c>
      <c r="O271" s="7">
        <f t="shared" ref="O271:O287" si="29">SUM(J271:N271)</f>
        <v>0</v>
      </c>
      <c r="P271" s="7">
        <v>0</v>
      </c>
      <c r="Q271" s="7">
        <v>0</v>
      </c>
      <c r="R271" s="7">
        <v>0</v>
      </c>
      <c r="S271" s="7">
        <v>12508.21</v>
      </c>
      <c r="T271" s="7">
        <v>679.85</v>
      </c>
      <c r="U271" s="7">
        <f t="shared" ref="U271:U287" si="30">SUM(P271:T271)</f>
        <v>13188.06</v>
      </c>
      <c r="V271" s="7">
        <f t="shared" ref="V271:V287" si="31">O271-U271</f>
        <v>-13188.06</v>
      </c>
      <c r="W271" s="7">
        <v>16732.689999999999</v>
      </c>
      <c r="X271" s="7">
        <v>0</v>
      </c>
      <c r="Y271" s="8">
        <v>16732.689999999999</v>
      </c>
    </row>
    <row r="272" spans="1:25" x14ac:dyDescent="0.2">
      <c r="A272" s="42" t="s">
        <v>180</v>
      </c>
      <c r="B272" s="43" t="s">
        <v>181</v>
      </c>
      <c r="C272" s="43" t="s">
        <v>639</v>
      </c>
      <c r="D272" s="43" t="s">
        <v>640</v>
      </c>
      <c r="E272" s="43" t="s">
        <v>182</v>
      </c>
      <c r="F272" s="43" t="s">
        <v>183</v>
      </c>
      <c r="G272" s="6">
        <v>44279</v>
      </c>
      <c r="H272" s="6"/>
      <c r="I272" s="7">
        <v>440000</v>
      </c>
      <c r="J272" s="7">
        <v>107274.97</v>
      </c>
      <c r="K272" s="7">
        <v>0</v>
      </c>
      <c r="L272" s="7">
        <v>0</v>
      </c>
      <c r="M272" s="7">
        <v>0</v>
      </c>
      <c r="N272" s="7">
        <v>-75092.479999999996</v>
      </c>
      <c r="O272" s="7">
        <f t="shared" si="29"/>
        <v>32182.490000000005</v>
      </c>
      <c r="P272" s="7">
        <v>0</v>
      </c>
      <c r="Q272" s="7">
        <v>0</v>
      </c>
      <c r="R272" s="7">
        <v>0</v>
      </c>
      <c r="S272" s="7">
        <v>0</v>
      </c>
      <c r="T272" s="7">
        <v>1859.91</v>
      </c>
      <c r="U272" s="7">
        <f t="shared" si="30"/>
        <v>1859.91</v>
      </c>
      <c r="V272" s="7">
        <f t="shared" si="31"/>
        <v>30322.580000000005</v>
      </c>
      <c r="W272" s="7">
        <v>3249.53</v>
      </c>
      <c r="X272" s="7">
        <v>0</v>
      </c>
      <c r="Y272" s="8">
        <v>3249.53</v>
      </c>
    </row>
    <row r="273" spans="1:25" x14ac:dyDescent="0.2">
      <c r="A273" s="42" t="s">
        <v>197</v>
      </c>
      <c r="B273" s="43" t="s">
        <v>198</v>
      </c>
      <c r="C273" s="43" t="s">
        <v>639</v>
      </c>
      <c r="D273" s="43" t="s">
        <v>640</v>
      </c>
      <c r="E273" s="43" t="s">
        <v>199</v>
      </c>
      <c r="F273" s="43" t="s">
        <v>200</v>
      </c>
      <c r="G273" s="6">
        <v>44279</v>
      </c>
      <c r="H273" s="6"/>
      <c r="I273" s="7">
        <v>0</v>
      </c>
      <c r="J273" s="7">
        <v>0</v>
      </c>
      <c r="K273" s="7">
        <v>0</v>
      </c>
      <c r="L273" s="7">
        <v>0</v>
      </c>
      <c r="M273" s="7">
        <v>0</v>
      </c>
      <c r="N273" s="7">
        <v>0</v>
      </c>
      <c r="O273" s="7">
        <f t="shared" si="29"/>
        <v>0</v>
      </c>
      <c r="P273" s="7">
        <v>0</v>
      </c>
      <c r="Q273" s="7">
        <v>0</v>
      </c>
      <c r="R273" s="7">
        <v>0</v>
      </c>
      <c r="S273" s="7">
        <v>0</v>
      </c>
      <c r="T273" s="7">
        <v>0</v>
      </c>
      <c r="U273" s="7">
        <f t="shared" si="30"/>
        <v>0</v>
      </c>
      <c r="V273" s="7">
        <f t="shared" si="31"/>
        <v>0</v>
      </c>
      <c r="W273" s="7">
        <v>4874.3</v>
      </c>
      <c r="X273" s="7">
        <v>0</v>
      </c>
      <c r="Y273" s="8">
        <v>4874.3</v>
      </c>
    </row>
    <row r="274" spans="1:25" x14ac:dyDescent="0.2">
      <c r="A274" s="42" t="s">
        <v>184</v>
      </c>
      <c r="B274" s="43" t="s">
        <v>185</v>
      </c>
      <c r="C274" s="43" t="s">
        <v>639</v>
      </c>
      <c r="D274" s="43" t="s">
        <v>640</v>
      </c>
      <c r="E274" s="43" t="s">
        <v>186</v>
      </c>
      <c r="F274" s="43" t="s">
        <v>187</v>
      </c>
      <c r="G274" s="6">
        <v>44279</v>
      </c>
      <c r="H274" s="6"/>
      <c r="I274" s="7">
        <v>0</v>
      </c>
      <c r="J274" s="7">
        <v>0</v>
      </c>
      <c r="K274" s="7">
        <v>0</v>
      </c>
      <c r="L274" s="7">
        <v>0</v>
      </c>
      <c r="M274" s="7">
        <v>0</v>
      </c>
      <c r="N274" s="7">
        <v>0</v>
      </c>
      <c r="O274" s="7">
        <f t="shared" si="29"/>
        <v>0</v>
      </c>
      <c r="P274" s="7">
        <v>0</v>
      </c>
      <c r="Q274" s="7">
        <v>0</v>
      </c>
      <c r="R274" s="7">
        <v>0</v>
      </c>
      <c r="S274" s="7">
        <v>0</v>
      </c>
      <c r="T274" s="7">
        <v>0</v>
      </c>
      <c r="U274" s="7">
        <f t="shared" si="30"/>
        <v>0</v>
      </c>
      <c r="V274" s="7">
        <f t="shared" si="31"/>
        <v>0</v>
      </c>
      <c r="W274" s="7">
        <v>8123.84</v>
      </c>
      <c r="X274" s="7">
        <v>0</v>
      </c>
      <c r="Y274" s="8">
        <v>8123.84</v>
      </c>
    </row>
    <row r="275" spans="1:25" x14ac:dyDescent="0.2">
      <c r="A275" s="42" t="s">
        <v>29</v>
      </c>
      <c r="B275" s="43" t="s">
        <v>30</v>
      </c>
      <c r="C275" s="43" t="s">
        <v>639</v>
      </c>
      <c r="D275" s="43" t="s">
        <v>640</v>
      </c>
      <c r="E275" s="43" t="s">
        <v>31</v>
      </c>
      <c r="F275" s="43" t="s">
        <v>32</v>
      </c>
      <c r="G275" s="6">
        <v>44427</v>
      </c>
      <c r="H275" s="6"/>
      <c r="I275" s="7">
        <v>43805.3</v>
      </c>
      <c r="J275" s="7">
        <v>46905.79</v>
      </c>
      <c r="K275" s="7">
        <v>0</v>
      </c>
      <c r="L275" s="7">
        <v>0</v>
      </c>
      <c r="M275" s="7">
        <v>0</v>
      </c>
      <c r="N275" s="7">
        <v>0</v>
      </c>
      <c r="O275" s="7">
        <f t="shared" si="29"/>
        <v>46905.79</v>
      </c>
      <c r="P275" s="7">
        <v>27101.119999999999</v>
      </c>
      <c r="Q275" s="7">
        <v>0</v>
      </c>
      <c r="R275" s="7">
        <v>0</v>
      </c>
      <c r="S275" s="7">
        <v>6751.9</v>
      </c>
      <c r="T275" s="7">
        <v>1763.12</v>
      </c>
      <c r="U275" s="7">
        <f t="shared" si="30"/>
        <v>35616.14</v>
      </c>
      <c r="V275" s="7">
        <f t="shared" si="31"/>
        <v>11289.650000000001</v>
      </c>
      <c r="W275" s="7">
        <v>10366.32</v>
      </c>
      <c r="X275" s="7">
        <v>0</v>
      </c>
      <c r="Y275" s="8">
        <v>10366.32</v>
      </c>
    </row>
    <row r="276" spans="1:25" x14ac:dyDescent="0.2">
      <c r="A276" s="42" t="s">
        <v>188</v>
      </c>
      <c r="B276" s="43" t="s">
        <v>189</v>
      </c>
      <c r="C276" s="43" t="s">
        <v>639</v>
      </c>
      <c r="D276" s="43" t="s">
        <v>640</v>
      </c>
      <c r="E276" s="43" t="s">
        <v>45</v>
      </c>
      <c r="F276" s="43" t="s">
        <v>46</v>
      </c>
      <c r="G276" s="6">
        <v>44306</v>
      </c>
      <c r="H276" s="6"/>
      <c r="I276" s="7">
        <v>16500</v>
      </c>
      <c r="J276" s="7">
        <v>0</v>
      </c>
      <c r="K276" s="7">
        <v>0</v>
      </c>
      <c r="L276" s="7">
        <v>0</v>
      </c>
      <c r="M276" s="7">
        <v>0</v>
      </c>
      <c r="N276" s="7">
        <v>0</v>
      </c>
      <c r="O276" s="7">
        <f t="shared" si="29"/>
        <v>0</v>
      </c>
      <c r="P276" s="7">
        <v>0</v>
      </c>
      <c r="Q276" s="7">
        <v>0</v>
      </c>
      <c r="R276" s="7">
        <v>0</v>
      </c>
      <c r="S276" s="7">
        <v>0</v>
      </c>
      <c r="T276" s="7">
        <v>321.66000000000003</v>
      </c>
      <c r="U276" s="7">
        <f t="shared" si="30"/>
        <v>321.66000000000003</v>
      </c>
      <c r="V276" s="7">
        <f t="shared" si="31"/>
        <v>-321.66000000000003</v>
      </c>
      <c r="W276" s="7">
        <v>0</v>
      </c>
      <c r="X276" s="7">
        <v>0</v>
      </c>
      <c r="Y276" s="8">
        <v>0</v>
      </c>
    </row>
    <row r="277" spans="1:25" x14ac:dyDescent="0.2">
      <c r="A277" s="42" t="s">
        <v>178</v>
      </c>
      <c r="B277" s="43" t="s">
        <v>179</v>
      </c>
      <c r="C277" s="43" t="s">
        <v>639</v>
      </c>
      <c r="D277" s="43" t="s">
        <v>640</v>
      </c>
      <c r="E277" s="43" t="s">
        <v>31</v>
      </c>
      <c r="F277" s="43" t="s">
        <v>32</v>
      </c>
      <c r="G277" s="6">
        <v>44279</v>
      </c>
      <c r="H277" s="6"/>
      <c r="I277" s="7">
        <v>43805.3</v>
      </c>
      <c r="J277" s="7">
        <v>0</v>
      </c>
      <c r="K277" s="7">
        <v>0</v>
      </c>
      <c r="L277" s="7">
        <v>0</v>
      </c>
      <c r="M277" s="7">
        <v>0</v>
      </c>
      <c r="N277" s="7">
        <v>0</v>
      </c>
      <c r="O277" s="7">
        <f t="shared" si="29"/>
        <v>0</v>
      </c>
      <c r="P277" s="7">
        <v>0</v>
      </c>
      <c r="Q277" s="7">
        <v>0</v>
      </c>
      <c r="R277" s="7">
        <v>965.41958041958048</v>
      </c>
      <c r="S277" s="7">
        <v>0</v>
      </c>
      <c r="T277" s="7">
        <v>1594.58</v>
      </c>
      <c r="U277" s="7">
        <f t="shared" si="30"/>
        <v>2559.9995804195805</v>
      </c>
      <c r="V277" s="7">
        <f t="shared" si="31"/>
        <v>-2559.9995804195805</v>
      </c>
      <c r="W277" s="7">
        <v>0</v>
      </c>
      <c r="X277" s="7">
        <v>0</v>
      </c>
      <c r="Y277" s="8">
        <v>0</v>
      </c>
    </row>
    <row r="278" spans="1:25" x14ac:dyDescent="0.2">
      <c r="A278" s="42" t="s">
        <v>98</v>
      </c>
      <c r="B278" s="43" t="s">
        <v>99</v>
      </c>
      <c r="C278" s="43" t="s">
        <v>639</v>
      </c>
      <c r="D278" s="43" t="s">
        <v>640</v>
      </c>
      <c r="E278" s="43" t="s">
        <v>31</v>
      </c>
      <c r="F278" s="43" t="s">
        <v>32</v>
      </c>
      <c r="G278" s="6">
        <v>44545</v>
      </c>
      <c r="H278" s="6"/>
      <c r="I278" s="7">
        <v>28600</v>
      </c>
      <c r="J278" s="7">
        <v>32178.217821782171</v>
      </c>
      <c r="K278" s="7">
        <v>0</v>
      </c>
      <c r="L278" s="7">
        <v>0</v>
      </c>
      <c r="M278" s="7">
        <v>0</v>
      </c>
      <c r="N278" s="7">
        <v>0</v>
      </c>
      <c r="O278" s="7">
        <f t="shared" si="29"/>
        <v>32178.217821782171</v>
      </c>
      <c r="P278" s="7">
        <v>24095.33</v>
      </c>
      <c r="Q278" s="7">
        <v>0</v>
      </c>
      <c r="R278" s="7">
        <v>0</v>
      </c>
      <c r="S278" s="7">
        <v>2166.35</v>
      </c>
      <c r="T278" s="7">
        <v>1607.06</v>
      </c>
      <c r="U278" s="7">
        <f t="shared" si="30"/>
        <v>27868.74</v>
      </c>
      <c r="V278" s="7">
        <f t="shared" si="31"/>
        <v>4309.4778217821695</v>
      </c>
      <c r="W278" s="7">
        <v>0</v>
      </c>
      <c r="X278" s="7">
        <v>0</v>
      </c>
      <c r="Y278" s="8">
        <v>0</v>
      </c>
    </row>
    <row r="279" spans="1:25" x14ac:dyDescent="0.2">
      <c r="A279" s="42" t="s">
        <v>25</v>
      </c>
      <c r="B279" s="43" t="s">
        <v>26</v>
      </c>
      <c r="C279" s="43" t="s">
        <v>639</v>
      </c>
      <c r="D279" s="43" t="s">
        <v>640</v>
      </c>
      <c r="E279" s="43" t="s">
        <v>27</v>
      </c>
      <c r="F279" s="43" t="s">
        <v>28</v>
      </c>
      <c r="G279" s="6">
        <v>44404</v>
      </c>
      <c r="H279" s="6"/>
      <c r="I279" s="7">
        <v>33000</v>
      </c>
      <c r="J279" s="7">
        <v>36644.519999999997</v>
      </c>
      <c r="K279" s="7">
        <v>0</v>
      </c>
      <c r="L279" s="7">
        <v>0</v>
      </c>
      <c r="M279" s="7">
        <v>0</v>
      </c>
      <c r="N279" s="7">
        <v>0</v>
      </c>
      <c r="O279" s="7">
        <f t="shared" si="29"/>
        <v>36644.519999999997</v>
      </c>
      <c r="P279" s="7">
        <v>27381.05</v>
      </c>
      <c r="Q279" s="7">
        <v>0</v>
      </c>
      <c r="R279" s="7">
        <v>0</v>
      </c>
      <c r="S279" s="7">
        <v>0</v>
      </c>
      <c r="T279" s="7">
        <v>679.85</v>
      </c>
      <c r="U279" s="7">
        <f t="shared" si="30"/>
        <v>28060.899999999998</v>
      </c>
      <c r="V279" s="7">
        <f t="shared" si="31"/>
        <v>8583.619999999999</v>
      </c>
      <c r="W279" s="7">
        <v>0</v>
      </c>
      <c r="X279" s="7">
        <v>0</v>
      </c>
      <c r="Y279" s="8">
        <v>0</v>
      </c>
    </row>
    <row r="280" spans="1:25" x14ac:dyDescent="0.2">
      <c r="A280" s="42" t="s">
        <v>43</v>
      </c>
      <c r="B280" s="43" t="s">
        <v>44</v>
      </c>
      <c r="C280" s="43" t="s">
        <v>639</v>
      </c>
      <c r="D280" s="43" t="s">
        <v>640</v>
      </c>
      <c r="E280" s="43" t="s">
        <v>45</v>
      </c>
      <c r="F280" s="43" t="s">
        <v>46</v>
      </c>
      <c r="G280" s="6">
        <v>44482</v>
      </c>
      <c r="H280" s="6"/>
      <c r="I280" s="7">
        <v>47300</v>
      </c>
      <c r="J280" s="7">
        <v>53217.82</v>
      </c>
      <c r="K280" s="7">
        <v>0</v>
      </c>
      <c r="L280" s="7">
        <v>0</v>
      </c>
      <c r="M280" s="7">
        <v>0</v>
      </c>
      <c r="N280" s="7">
        <v>0</v>
      </c>
      <c r="O280" s="7">
        <f t="shared" si="29"/>
        <v>53217.82</v>
      </c>
      <c r="P280" s="7">
        <v>38333.480000000003</v>
      </c>
      <c r="Q280" s="7">
        <v>0</v>
      </c>
      <c r="R280" s="7">
        <v>0</v>
      </c>
      <c r="S280" s="7">
        <v>0</v>
      </c>
      <c r="T280" s="7">
        <v>1496.82</v>
      </c>
      <c r="U280" s="7">
        <f t="shared" si="30"/>
        <v>39830.300000000003</v>
      </c>
      <c r="V280" s="7">
        <f t="shared" si="31"/>
        <v>13387.519999999997</v>
      </c>
      <c r="W280" s="7">
        <v>0</v>
      </c>
      <c r="X280" s="7">
        <v>0</v>
      </c>
      <c r="Y280" s="8">
        <v>0</v>
      </c>
    </row>
    <row r="281" spans="1:25" x14ac:dyDescent="0.2">
      <c r="A281" s="42" t="s">
        <v>112</v>
      </c>
      <c r="B281" s="43" t="s">
        <v>113</v>
      </c>
      <c r="C281" s="43" t="s">
        <v>639</v>
      </c>
      <c r="D281" s="43" t="s">
        <v>640</v>
      </c>
      <c r="E281" s="43" t="s">
        <v>114</v>
      </c>
      <c r="F281" s="43" t="s">
        <v>115</v>
      </c>
      <c r="G281" s="6">
        <v>44606</v>
      </c>
      <c r="H281" s="6"/>
      <c r="I281" s="7">
        <v>1670294</v>
      </c>
      <c r="J281" s="7">
        <v>0</v>
      </c>
      <c r="K281" s="7">
        <v>0</v>
      </c>
      <c r="L281" s="7">
        <v>10762.68</v>
      </c>
      <c r="M281" s="7">
        <v>0</v>
      </c>
      <c r="N281" s="7">
        <v>0</v>
      </c>
      <c r="O281" s="7">
        <f t="shared" si="29"/>
        <v>10762.68</v>
      </c>
      <c r="P281" s="7">
        <v>0</v>
      </c>
      <c r="Q281" s="7">
        <v>0</v>
      </c>
      <c r="R281" s="7">
        <v>0</v>
      </c>
      <c r="S281" s="7">
        <v>33355.22</v>
      </c>
      <c r="T281" s="7">
        <v>4025.66</v>
      </c>
      <c r="U281" s="7">
        <f t="shared" si="30"/>
        <v>37380.880000000005</v>
      </c>
      <c r="V281" s="7">
        <f t="shared" si="31"/>
        <v>-26618.200000000004</v>
      </c>
      <c r="W281" s="7">
        <v>0</v>
      </c>
      <c r="X281" s="7">
        <v>0</v>
      </c>
      <c r="Y281" s="8">
        <v>0</v>
      </c>
    </row>
    <row r="282" spans="1:25" x14ac:dyDescent="0.2">
      <c r="A282" s="42" t="s">
        <v>164</v>
      </c>
      <c r="B282" s="43" t="s">
        <v>165</v>
      </c>
      <c r="C282" s="43" t="s">
        <v>639</v>
      </c>
      <c r="D282" s="43" t="s">
        <v>640</v>
      </c>
      <c r="E282" s="43" t="s">
        <v>166</v>
      </c>
      <c r="F282" s="43" t="s">
        <v>167</v>
      </c>
      <c r="G282" s="6">
        <v>44613</v>
      </c>
      <c r="H282" s="6"/>
      <c r="I282" s="7">
        <v>242000</v>
      </c>
      <c r="J282" s="7">
        <v>0</v>
      </c>
      <c r="K282" s="7">
        <v>0</v>
      </c>
      <c r="L282" s="7">
        <v>0</v>
      </c>
      <c r="M282" s="7">
        <v>0</v>
      </c>
      <c r="N282" s="7">
        <v>0</v>
      </c>
      <c r="O282" s="7">
        <f t="shared" si="29"/>
        <v>0</v>
      </c>
      <c r="P282" s="7">
        <v>0</v>
      </c>
      <c r="Q282" s="7">
        <v>0</v>
      </c>
      <c r="R282" s="7">
        <v>0</v>
      </c>
      <c r="S282" s="7">
        <v>5019.4799999999996</v>
      </c>
      <c r="T282" s="7">
        <v>0</v>
      </c>
      <c r="U282" s="7">
        <f t="shared" si="30"/>
        <v>5019.4799999999996</v>
      </c>
      <c r="V282" s="7">
        <f t="shared" si="31"/>
        <v>-5019.4799999999996</v>
      </c>
      <c r="W282" s="7">
        <v>0</v>
      </c>
      <c r="X282" s="7">
        <v>0</v>
      </c>
      <c r="Y282" s="8">
        <v>0</v>
      </c>
    </row>
    <row r="283" spans="1:25" x14ac:dyDescent="0.2">
      <c r="A283" s="42" t="s">
        <v>193</v>
      </c>
      <c r="B283" s="43" t="s">
        <v>194</v>
      </c>
      <c r="C283" s="43" t="s">
        <v>641</v>
      </c>
      <c r="D283" s="43" t="s">
        <v>642</v>
      </c>
      <c r="E283" s="43" t="s">
        <v>195</v>
      </c>
      <c r="F283" s="43" t="s">
        <v>196</v>
      </c>
      <c r="G283" s="6">
        <v>44279</v>
      </c>
      <c r="H283" s="6"/>
      <c r="I283" s="7">
        <v>88000</v>
      </c>
      <c r="J283" s="7">
        <v>0</v>
      </c>
      <c r="K283" s="7">
        <v>0</v>
      </c>
      <c r="L283" s="7">
        <v>0</v>
      </c>
      <c r="M283" s="7">
        <v>0</v>
      </c>
      <c r="N283" s="7">
        <v>0</v>
      </c>
      <c r="O283" s="7">
        <f t="shared" si="29"/>
        <v>0</v>
      </c>
      <c r="P283" s="7">
        <v>0</v>
      </c>
      <c r="Q283" s="7">
        <v>0</v>
      </c>
      <c r="R283" s="7">
        <v>5286.0139860139852</v>
      </c>
      <c r="S283" s="7">
        <v>0</v>
      </c>
      <c r="T283" s="7">
        <v>0</v>
      </c>
      <c r="U283" s="7">
        <f t="shared" si="30"/>
        <v>5286.0139860139852</v>
      </c>
      <c r="V283" s="7">
        <f t="shared" si="31"/>
        <v>-5286.0139860139852</v>
      </c>
      <c r="W283" s="7">
        <v>834.12</v>
      </c>
      <c r="X283" s="7">
        <v>0</v>
      </c>
      <c r="Y283" s="8">
        <v>834.12</v>
      </c>
    </row>
    <row r="284" spans="1:25" x14ac:dyDescent="0.2">
      <c r="A284" s="42" t="s">
        <v>164</v>
      </c>
      <c r="B284" s="43" t="s">
        <v>165</v>
      </c>
      <c r="C284" s="43" t="s">
        <v>641</v>
      </c>
      <c r="D284" s="43" t="s">
        <v>642</v>
      </c>
      <c r="E284" s="43" t="s">
        <v>166</v>
      </c>
      <c r="F284" s="43" t="s">
        <v>167</v>
      </c>
      <c r="G284" s="6">
        <v>44613</v>
      </c>
      <c r="H284" s="6"/>
      <c r="I284" s="7">
        <v>242000</v>
      </c>
      <c r="J284" s="7">
        <v>0</v>
      </c>
      <c r="K284" s="7">
        <v>0</v>
      </c>
      <c r="L284" s="7">
        <v>0</v>
      </c>
      <c r="M284" s="7">
        <v>0</v>
      </c>
      <c r="N284" s="7">
        <v>0</v>
      </c>
      <c r="O284" s="7">
        <f t="shared" si="29"/>
        <v>0</v>
      </c>
      <c r="P284" s="7">
        <v>0</v>
      </c>
      <c r="Q284" s="7">
        <v>0</v>
      </c>
      <c r="R284" s="7">
        <v>0</v>
      </c>
      <c r="S284" s="7">
        <v>10004.74</v>
      </c>
      <c r="T284" s="7">
        <v>0</v>
      </c>
      <c r="U284" s="7">
        <f t="shared" si="30"/>
        <v>10004.74</v>
      </c>
      <c r="V284" s="7">
        <f t="shared" si="31"/>
        <v>-10004.74</v>
      </c>
      <c r="W284" s="7">
        <v>0</v>
      </c>
      <c r="X284" s="7">
        <v>0</v>
      </c>
      <c r="Y284" s="8">
        <v>0</v>
      </c>
    </row>
    <row r="285" spans="1:25" x14ac:dyDescent="0.2">
      <c r="A285" s="42" t="s">
        <v>112</v>
      </c>
      <c r="B285" s="43" t="s">
        <v>113</v>
      </c>
      <c r="C285" s="43" t="s">
        <v>641</v>
      </c>
      <c r="D285" s="43" t="s">
        <v>642</v>
      </c>
      <c r="E285" s="43" t="s">
        <v>114</v>
      </c>
      <c r="F285" s="43" t="s">
        <v>115</v>
      </c>
      <c r="G285" s="6">
        <v>44606</v>
      </c>
      <c r="H285" s="6"/>
      <c r="I285" s="7">
        <v>1670294</v>
      </c>
      <c r="J285" s="7">
        <v>0</v>
      </c>
      <c r="K285" s="7">
        <v>0</v>
      </c>
      <c r="L285" s="7">
        <v>18935.5145831113</v>
      </c>
      <c r="M285" s="7">
        <v>0</v>
      </c>
      <c r="N285" s="7">
        <v>0</v>
      </c>
      <c r="O285" s="7">
        <f t="shared" si="29"/>
        <v>18935.5145831113</v>
      </c>
      <c r="P285" s="7">
        <v>0</v>
      </c>
      <c r="Q285" s="7">
        <v>0</v>
      </c>
      <c r="R285" s="7">
        <v>0</v>
      </c>
      <c r="S285" s="7">
        <v>11904.62</v>
      </c>
      <c r="T285" s="7">
        <v>4016.32</v>
      </c>
      <c r="U285" s="7">
        <f t="shared" si="30"/>
        <v>15920.94</v>
      </c>
      <c r="V285" s="7">
        <f t="shared" si="31"/>
        <v>3014.5745831112999</v>
      </c>
      <c r="W285" s="7">
        <v>0</v>
      </c>
      <c r="X285" s="7">
        <v>0</v>
      </c>
      <c r="Y285" s="8">
        <v>0</v>
      </c>
    </row>
    <row r="286" spans="1:25" x14ac:dyDescent="0.2">
      <c r="A286" s="42" t="s">
        <v>225</v>
      </c>
      <c r="B286" s="43" t="s">
        <v>226</v>
      </c>
      <c r="C286" s="43" t="s">
        <v>641</v>
      </c>
      <c r="D286" s="43" t="s">
        <v>642</v>
      </c>
      <c r="E286" s="43" t="s">
        <v>166</v>
      </c>
      <c r="F286" s="43" t="s">
        <v>167</v>
      </c>
      <c r="G286" s="6">
        <v>44226</v>
      </c>
      <c r="H286" s="6">
        <v>44223</v>
      </c>
      <c r="I286" s="7">
        <v>1144000</v>
      </c>
      <c r="J286" s="7">
        <v>0</v>
      </c>
      <c r="K286" s="7">
        <v>0</v>
      </c>
      <c r="L286" s="7">
        <v>0</v>
      </c>
      <c r="M286" s="7">
        <v>0</v>
      </c>
      <c r="N286" s="7">
        <v>0</v>
      </c>
      <c r="O286" s="7">
        <f t="shared" si="29"/>
        <v>0</v>
      </c>
      <c r="P286" s="7">
        <v>0</v>
      </c>
      <c r="Q286" s="7">
        <v>0</v>
      </c>
      <c r="R286" s="7">
        <v>0</v>
      </c>
      <c r="S286" s="7">
        <v>59760.3</v>
      </c>
      <c r="T286" s="7">
        <v>0</v>
      </c>
      <c r="U286" s="7">
        <f t="shared" si="30"/>
        <v>59760.3</v>
      </c>
      <c r="V286" s="7">
        <f t="shared" si="31"/>
        <v>-59760.3</v>
      </c>
      <c r="W286" s="7">
        <v>0</v>
      </c>
      <c r="X286" s="7">
        <v>0</v>
      </c>
      <c r="Y286" s="8">
        <v>0</v>
      </c>
    </row>
    <row r="287" spans="1:25" x14ac:dyDescent="0.2">
      <c r="A287" s="42" t="s">
        <v>154</v>
      </c>
      <c r="B287" s="43" t="s">
        <v>155</v>
      </c>
      <c r="C287" s="43" t="s">
        <v>641</v>
      </c>
      <c r="D287" s="43" t="s">
        <v>642</v>
      </c>
      <c r="E287" s="43" t="s">
        <v>56</v>
      </c>
      <c r="F287" s="43" t="s">
        <v>57</v>
      </c>
      <c r="G287" s="6">
        <v>44652</v>
      </c>
      <c r="H287" s="6"/>
      <c r="I287" s="7">
        <v>6218750</v>
      </c>
      <c r="J287" s="7">
        <v>0</v>
      </c>
      <c r="K287" s="7">
        <v>0</v>
      </c>
      <c r="L287" s="7">
        <v>0</v>
      </c>
      <c r="M287" s="7">
        <v>0</v>
      </c>
      <c r="N287" s="7">
        <v>0</v>
      </c>
      <c r="O287" s="7">
        <f t="shared" si="29"/>
        <v>0</v>
      </c>
      <c r="P287" s="7">
        <v>0</v>
      </c>
      <c r="Q287" s="7">
        <v>0</v>
      </c>
      <c r="R287" s="7">
        <v>0</v>
      </c>
      <c r="S287" s="7">
        <v>0</v>
      </c>
      <c r="T287" s="7">
        <v>3709.82</v>
      </c>
      <c r="U287" s="7">
        <f t="shared" si="30"/>
        <v>3709.82</v>
      </c>
      <c r="V287" s="7">
        <f t="shared" si="31"/>
        <v>-3709.82</v>
      </c>
      <c r="W287" s="7">
        <v>0</v>
      </c>
      <c r="X287" s="7">
        <v>0</v>
      </c>
      <c r="Y287" s="8">
        <v>0</v>
      </c>
    </row>
    <row r="288" spans="1:25" x14ac:dyDescent="0.2">
      <c r="A288" s="47" t="s">
        <v>299</v>
      </c>
      <c r="B288" s="48" t="s">
        <v>300</v>
      </c>
      <c r="C288" s="48" t="s">
        <v>648</v>
      </c>
      <c r="D288" s="48" t="s">
        <v>649</v>
      </c>
      <c r="E288" s="48" t="s">
        <v>5</v>
      </c>
      <c r="F288" s="48" t="s">
        <v>6</v>
      </c>
      <c r="G288" s="3">
        <v>44277</v>
      </c>
      <c r="H288" s="3">
        <v>44306</v>
      </c>
      <c r="I288" s="4">
        <v>200200</v>
      </c>
      <c r="J288" s="4">
        <v>0</v>
      </c>
      <c r="K288" s="4">
        <v>0</v>
      </c>
      <c r="L288" s="4">
        <v>0</v>
      </c>
      <c r="M288" s="4">
        <v>0</v>
      </c>
      <c r="N288" s="4">
        <v>0</v>
      </c>
      <c r="O288" s="4">
        <v>0</v>
      </c>
      <c r="P288" s="4">
        <v>0</v>
      </c>
      <c r="Q288" s="4">
        <v>0</v>
      </c>
      <c r="R288" s="4">
        <v>0</v>
      </c>
      <c r="S288" s="4">
        <v>0</v>
      </c>
      <c r="T288" s="4">
        <v>0</v>
      </c>
      <c r="U288" s="4">
        <v>0</v>
      </c>
      <c r="V288" s="4">
        <v>0</v>
      </c>
      <c r="W288" s="4">
        <v>0</v>
      </c>
      <c r="X288" s="4">
        <v>1429.77</v>
      </c>
      <c r="Y288" s="5">
        <v>1429.77</v>
      </c>
    </row>
    <row r="289" spans="1:25" ht="13.5" thickBot="1" x14ac:dyDescent="0.25">
      <c r="A289" s="50" t="s">
        <v>704</v>
      </c>
      <c r="B289" s="51"/>
      <c r="C289" s="51"/>
      <c r="D289" s="51"/>
      <c r="E289" s="51"/>
      <c r="F289" s="51"/>
      <c r="G289" s="51"/>
      <c r="H289" s="51"/>
      <c r="I289" s="52">
        <f>SUM(I2:I288)</f>
        <v>332478464.13000005</v>
      </c>
      <c r="J289" s="52">
        <f t="shared" ref="J289:Y289" si="32">SUM(J2:J288)</f>
        <v>87056151.488237694</v>
      </c>
      <c r="K289" s="52">
        <f t="shared" si="32"/>
        <v>921056</v>
      </c>
      <c r="L289" s="52">
        <f t="shared" si="32"/>
        <v>7169897.3985941783</v>
      </c>
      <c r="M289" s="52">
        <f t="shared" si="32"/>
        <v>4192425.7800000003</v>
      </c>
      <c r="N289" s="52">
        <f t="shared" si="32"/>
        <v>1163722.55</v>
      </c>
      <c r="O289" s="52">
        <f t="shared" si="32"/>
        <v>100503253.21683186</v>
      </c>
      <c r="P289" s="52">
        <f t="shared" si="32"/>
        <v>86279775.307515234</v>
      </c>
      <c r="Q289" s="52">
        <f t="shared" si="32"/>
        <v>318532.43999999994</v>
      </c>
      <c r="R289" s="52">
        <f t="shared" si="32"/>
        <v>14324677.041185485</v>
      </c>
      <c r="S289" s="52">
        <f t="shared" si="32"/>
        <v>5920394.3827505857</v>
      </c>
      <c r="T289" s="52">
        <f t="shared" si="32"/>
        <v>9704561.4476357196</v>
      </c>
      <c r="U289" s="52">
        <f t="shared" si="32"/>
        <v>116547940.61908703</v>
      </c>
      <c r="V289" s="52">
        <f t="shared" si="32"/>
        <v>-16116729.881485995</v>
      </c>
      <c r="W289" s="52">
        <f t="shared" si="32"/>
        <v>5140542.9800000023</v>
      </c>
      <c r="X289" s="52">
        <f t="shared" si="32"/>
        <v>1463457.9900000002</v>
      </c>
      <c r="Y289" s="53">
        <f t="shared" si="32"/>
        <v>6604000.9699999988</v>
      </c>
    </row>
  </sheetData>
  <autoFilter ref="A1:Y289" xr:uid="{00000000-0009-0000-0000-000002000000}"/>
  <phoneticPr fontId="3" type="noConversion"/>
  <pageMargins left="0.7" right="0.7" top="0.75" bottom="0.75" header="0.3" footer="0.3"/>
  <pageSetup paperSize="9"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B0F0"/>
  </sheetPr>
  <dimension ref="A1:Z58"/>
  <sheetViews>
    <sheetView workbookViewId="0">
      <pane xSplit="6" ySplit="4" topLeftCell="G41" activePane="bottomRight" state="frozen"/>
      <selection activeCell="F56" sqref="E56:F57"/>
      <selection pane="topRight" activeCell="F56" sqref="E56:F57"/>
      <selection pane="bottomLeft" activeCell="F56" sqref="E56:F57"/>
      <selection pane="bottomRight" activeCell="G63" sqref="G63"/>
    </sheetView>
  </sheetViews>
  <sheetFormatPr defaultRowHeight="12.75" outlineLevelCol="1" x14ac:dyDescent="0.2"/>
  <cols>
    <col min="1" max="1" width="10.140625" style="72" customWidth="1"/>
    <col min="2" max="2" width="8" style="72" bestFit="1" customWidth="1"/>
    <col min="3" max="3" width="9" style="72" bestFit="1" customWidth="1"/>
    <col min="4" max="4" width="12.5703125" style="72" customWidth="1"/>
    <col min="5" max="5" width="6" style="80" bestFit="1" customWidth="1"/>
    <col min="6" max="6" width="8.140625" style="72" customWidth="1"/>
    <col min="7" max="7" width="13" style="72" bestFit="1" customWidth="1"/>
    <col min="8" max="8" width="11.7109375" style="72" customWidth="1"/>
    <col min="9" max="9" width="13" style="72" customWidth="1"/>
    <col min="10" max="14" width="11.7109375" style="72" hidden="1" customWidth="1" outlineLevel="1"/>
    <col min="15" max="15" width="11.7109375" style="72" customWidth="1" collapsed="1"/>
    <col min="16" max="20" width="11.7109375" style="72" hidden="1" customWidth="1" outlineLevel="1"/>
    <col min="21" max="21" width="11.7109375" style="72" customWidth="1" collapsed="1"/>
    <col min="22" max="22" width="11.7109375" style="72" customWidth="1"/>
    <col min="23" max="24" width="11.7109375" style="72" hidden="1" customWidth="1" outlineLevel="1"/>
    <col min="25" max="25" width="11.7109375" style="72" customWidth="1" collapsed="1"/>
    <col min="26" max="26" width="10.7109375" style="72" customWidth="1"/>
    <col min="27" max="16384" width="9.140625" style="72"/>
  </cols>
  <sheetData>
    <row r="1" spans="1:26" ht="23.25" customHeight="1" x14ac:dyDescent="0.2">
      <c r="A1" s="79" t="s">
        <v>1414</v>
      </c>
    </row>
    <row r="2" spans="1:26" ht="15" customHeight="1" x14ac:dyDescent="0.2">
      <c r="A2" s="81" t="s">
        <v>1139</v>
      </c>
    </row>
    <row r="3" spans="1:26" s="88" customFormat="1" x14ac:dyDescent="0.2">
      <c r="A3" s="82" t="s">
        <v>651</v>
      </c>
      <c r="B3" s="82" t="s">
        <v>577</v>
      </c>
      <c r="C3" s="82" t="s">
        <v>599</v>
      </c>
      <c r="D3" s="82" t="s">
        <v>600</v>
      </c>
      <c r="E3" s="83" t="s">
        <v>578</v>
      </c>
      <c r="F3" s="82" t="s">
        <v>579</v>
      </c>
      <c r="G3" s="82" t="s">
        <v>580</v>
      </c>
      <c r="H3" s="82" t="s">
        <v>581</v>
      </c>
      <c r="I3" s="82" t="s">
        <v>582</v>
      </c>
      <c r="J3" s="84" t="s">
        <v>583</v>
      </c>
      <c r="K3" s="84" t="s">
        <v>584</v>
      </c>
      <c r="L3" s="84" t="s">
        <v>585</v>
      </c>
      <c r="M3" s="84" t="s">
        <v>586</v>
      </c>
      <c r="N3" s="84" t="s">
        <v>587</v>
      </c>
      <c r="O3" s="85" t="s">
        <v>588</v>
      </c>
      <c r="P3" s="84" t="s">
        <v>589</v>
      </c>
      <c r="Q3" s="84" t="s">
        <v>590</v>
      </c>
      <c r="R3" s="84" t="s">
        <v>591</v>
      </c>
      <c r="S3" s="84" t="s">
        <v>673</v>
      </c>
      <c r="T3" s="84" t="s">
        <v>593</v>
      </c>
      <c r="U3" s="85" t="s">
        <v>594</v>
      </c>
      <c r="V3" s="86" t="s">
        <v>595</v>
      </c>
      <c r="W3" s="84" t="s">
        <v>596</v>
      </c>
      <c r="X3" s="84" t="s">
        <v>597</v>
      </c>
      <c r="Y3" s="85" t="s">
        <v>598</v>
      </c>
      <c r="Z3" s="87" t="s">
        <v>1296</v>
      </c>
    </row>
    <row r="4" spans="1:26" x14ac:dyDescent="0.2">
      <c r="A4" s="89" t="s">
        <v>474</v>
      </c>
      <c r="B4" s="89" t="s">
        <v>475</v>
      </c>
      <c r="C4" s="89">
        <v>100</v>
      </c>
      <c r="D4" s="89" t="s">
        <v>632</v>
      </c>
      <c r="E4" s="67" t="s">
        <v>166</v>
      </c>
      <c r="F4" s="89" t="s">
        <v>167</v>
      </c>
      <c r="G4" s="90">
        <v>44226</v>
      </c>
      <c r="H4" s="90">
        <v>44004</v>
      </c>
      <c r="I4" s="91">
        <v>0</v>
      </c>
      <c r="J4" s="91">
        <v>0</v>
      </c>
      <c r="K4" s="91">
        <v>0</v>
      </c>
      <c r="L4" s="91">
        <v>36330.730000000003</v>
      </c>
      <c r="M4" s="91">
        <v>0</v>
      </c>
      <c r="N4" s="91">
        <v>0</v>
      </c>
      <c r="O4" s="91">
        <v>36330.730000000003</v>
      </c>
      <c r="P4" s="91">
        <v>0</v>
      </c>
      <c r="Q4" s="91">
        <v>0</v>
      </c>
      <c r="R4" s="91">
        <v>2984.41</v>
      </c>
      <c r="S4" s="91">
        <v>0</v>
      </c>
      <c r="T4" s="91">
        <v>0</v>
      </c>
      <c r="U4" s="91">
        <v>2984.41</v>
      </c>
      <c r="V4" s="91">
        <v>33346.320000000007</v>
      </c>
      <c r="W4" s="91">
        <v>0</v>
      </c>
      <c r="X4" s="91">
        <v>0</v>
      </c>
      <c r="Y4" s="91">
        <v>0</v>
      </c>
      <c r="Z4" s="92">
        <f>V4-Y4</f>
        <v>33346.320000000007</v>
      </c>
    </row>
    <row r="5" spans="1:26" x14ac:dyDescent="0.2">
      <c r="A5" s="89" t="s">
        <v>476</v>
      </c>
      <c r="B5" s="89" t="s">
        <v>477</v>
      </c>
      <c r="C5" s="89">
        <v>100</v>
      </c>
      <c r="D5" s="89" t="s">
        <v>632</v>
      </c>
      <c r="E5" s="67" t="s">
        <v>166</v>
      </c>
      <c r="F5" s="89" t="s">
        <v>167</v>
      </c>
      <c r="G5" s="90">
        <v>44226</v>
      </c>
      <c r="H5" s="90">
        <v>43888</v>
      </c>
      <c r="I5" s="91">
        <v>2664684</v>
      </c>
      <c r="J5" s="91">
        <v>9708.74</v>
      </c>
      <c r="K5" s="91">
        <v>0</v>
      </c>
      <c r="L5" s="91">
        <v>0</v>
      </c>
      <c r="M5" s="91">
        <v>0</v>
      </c>
      <c r="N5" s="91">
        <v>0</v>
      </c>
      <c r="O5" s="91">
        <v>9708.74</v>
      </c>
      <c r="P5" s="91">
        <v>0</v>
      </c>
      <c r="Q5" s="91">
        <v>0</v>
      </c>
      <c r="R5" s="91">
        <v>2355.0100000000002</v>
      </c>
      <c r="S5" s="91">
        <v>0</v>
      </c>
      <c r="T5" s="91">
        <v>0</v>
      </c>
      <c r="U5" s="91">
        <v>2355.0100000000002</v>
      </c>
      <c r="V5" s="91">
        <v>7353.7300000000014</v>
      </c>
      <c r="W5" s="91">
        <v>0</v>
      </c>
      <c r="X5" s="91">
        <v>68.2</v>
      </c>
      <c r="Y5" s="91">
        <v>68.2</v>
      </c>
      <c r="Z5" s="92">
        <f t="shared" ref="Z5:Z58" si="0">V5-Y5</f>
        <v>7285.5300000000016</v>
      </c>
    </row>
    <row r="6" spans="1:26" x14ac:dyDescent="0.2">
      <c r="A6" s="89" t="s">
        <v>225</v>
      </c>
      <c r="B6" s="89" t="s">
        <v>226</v>
      </c>
      <c r="C6" s="89">
        <v>100</v>
      </c>
      <c r="D6" s="89" t="s">
        <v>632</v>
      </c>
      <c r="E6" s="67" t="s">
        <v>166</v>
      </c>
      <c r="F6" s="89" t="s">
        <v>167</v>
      </c>
      <c r="G6" s="90">
        <v>44226</v>
      </c>
      <c r="H6" s="90">
        <v>44223</v>
      </c>
      <c r="I6" s="91">
        <v>9839800</v>
      </c>
      <c r="J6" s="91">
        <v>40021.57</v>
      </c>
      <c r="K6" s="91">
        <v>0</v>
      </c>
      <c r="L6" s="91">
        <v>0</v>
      </c>
      <c r="M6" s="91">
        <v>0</v>
      </c>
      <c r="N6" s="91">
        <v>0</v>
      </c>
      <c r="O6" s="91">
        <v>40021.57</v>
      </c>
      <c r="P6" s="91">
        <v>31503.279999999999</v>
      </c>
      <c r="Q6" s="91">
        <v>0</v>
      </c>
      <c r="R6" s="91">
        <v>21366.229999999996</v>
      </c>
      <c r="S6" s="91">
        <v>0</v>
      </c>
      <c r="T6" s="91">
        <v>0</v>
      </c>
      <c r="U6" s="91">
        <v>52869.509999999995</v>
      </c>
      <c r="V6" s="91">
        <v>-12847.939999999997</v>
      </c>
      <c r="W6" s="91">
        <v>0</v>
      </c>
      <c r="X6" s="91">
        <v>41912.380000000005</v>
      </c>
      <c r="Y6" s="91">
        <v>41912.380000000005</v>
      </c>
      <c r="Z6" s="92">
        <f t="shared" si="0"/>
        <v>-54760.32</v>
      </c>
    </row>
    <row r="7" spans="1:26" x14ac:dyDescent="0.2">
      <c r="A7" s="89" t="s">
        <v>227</v>
      </c>
      <c r="B7" s="89" t="s">
        <v>228</v>
      </c>
      <c r="C7" s="89">
        <v>100</v>
      </c>
      <c r="D7" s="89" t="s">
        <v>632</v>
      </c>
      <c r="E7" s="67" t="s">
        <v>166</v>
      </c>
      <c r="F7" s="89" t="s">
        <v>167</v>
      </c>
      <c r="G7" s="90">
        <v>44306</v>
      </c>
      <c r="H7" s="90">
        <v>44403</v>
      </c>
      <c r="I7" s="91">
        <v>1058000</v>
      </c>
      <c r="J7" s="91">
        <v>0</v>
      </c>
      <c r="K7" s="91">
        <v>0</v>
      </c>
      <c r="L7" s="91">
        <v>-3.24</v>
      </c>
      <c r="M7" s="91">
        <v>0</v>
      </c>
      <c r="N7" s="91">
        <v>0</v>
      </c>
      <c r="O7" s="91">
        <v>-3.24</v>
      </c>
      <c r="P7" s="91">
        <v>0</v>
      </c>
      <c r="Q7" s="91">
        <v>0</v>
      </c>
      <c r="R7" s="91">
        <v>0</v>
      </c>
      <c r="S7" s="91">
        <v>0</v>
      </c>
      <c r="T7" s="91">
        <v>0</v>
      </c>
      <c r="U7" s="91">
        <v>0</v>
      </c>
      <c r="V7" s="91">
        <v>-3.24</v>
      </c>
      <c r="W7" s="91">
        <v>0</v>
      </c>
      <c r="X7" s="91">
        <v>0</v>
      </c>
      <c r="Y7" s="91">
        <v>0</v>
      </c>
      <c r="Z7" s="92">
        <f t="shared" si="0"/>
        <v>-3.24</v>
      </c>
    </row>
    <row r="8" spans="1:26" x14ac:dyDescent="0.2">
      <c r="A8" s="89" t="s">
        <v>168</v>
      </c>
      <c r="B8" s="89" t="s">
        <v>169</v>
      </c>
      <c r="C8" s="89">
        <v>100</v>
      </c>
      <c r="D8" s="89" t="s">
        <v>632</v>
      </c>
      <c r="E8" s="67" t="s">
        <v>166</v>
      </c>
      <c r="F8" s="89" t="s">
        <v>167</v>
      </c>
      <c r="G8" s="90">
        <v>44628</v>
      </c>
      <c r="H8" s="90"/>
      <c r="I8" s="91">
        <v>3825000</v>
      </c>
      <c r="J8" s="91">
        <v>7055.03</v>
      </c>
      <c r="K8" s="91">
        <v>0</v>
      </c>
      <c r="L8" s="91">
        <v>0</v>
      </c>
      <c r="M8" s="91">
        <v>0</v>
      </c>
      <c r="N8" s="91">
        <v>0</v>
      </c>
      <c r="O8" s="91">
        <v>7055.03</v>
      </c>
      <c r="P8" s="91">
        <v>0</v>
      </c>
      <c r="Q8" s="91">
        <v>0</v>
      </c>
      <c r="R8" s="91">
        <v>5660.3</v>
      </c>
      <c r="S8" s="91">
        <v>0</v>
      </c>
      <c r="T8" s="91">
        <v>0</v>
      </c>
      <c r="U8" s="91">
        <v>5660.3</v>
      </c>
      <c r="V8" s="91">
        <v>1394.7299999999998</v>
      </c>
      <c r="W8" s="91">
        <v>0</v>
      </c>
      <c r="X8" s="91">
        <v>275.41000000000003</v>
      </c>
      <c r="Y8" s="91">
        <v>275.41000000000003</v>
      </c>
      <c r="Z8" s="92">
        <f t="shared" si="0"/>
        <v>1119.3199999999997</v>
      </c>
    </row>
    <row r="9" spans="1:26" x14ac:dyDescent="0.2">
      <c r="A9" s="89" t="s">
        <v>707</v>
      </c>
      <c r="B9" s="89" t="s">
        <v>708</v>
      </c>
      <c r="C9" s="89">
        <v>100</v>
      </c>
      <c r="D9" s="89" t="s">
        <v>632</v>
      </c>
      <c r="E9" s="67" t="s">
        <v>166</v>
      </c>
      <c r="F9" s="89" t="s">
        <v>167</v>
      </c>
      <c r="G9" s="90">
        <v>44799</v>
      </c>
      <c r="H9" s="90"/>
      <c r="I9" s="91">
        <v>2874000</v>
      </c>
      <c r="J9" s="91">
        <v>4314.99</v>
      </c>
      <c r="K9" s="91">
        <v>0</v>
      </c>
      <c r="L9" s="91">
        <v>-1441.24</v>
      </c>
      <c r="M9" s="91">
        <v>0</v>
      </c>
      <c r="N9" s="91">
        <v>0</v>
      </c>
      <c r="O9" s="91">
        <v>2873.75</v>
      </c>
      <c r="P9" s="91">
        <v>0</v>
      </c>
      <c r="Q9" s="91">
        <v>0</v>
      </c>
      <c r="R9" s="91">
        <v>7318.74</v>
      </c>
      <c r="S9" s="91">
        <v>0</v>
      </c>
      <c r="T9" s="91">
        <v>0</v>
      </c>
      <c r="U9" s="91">
        <v>7318.74</v>
      </c>
      <c r="V9" s="91">
        <v>-4444.99</v>
      </c>
      <c r="W9" s="91">
        <v>0</v>
      </c>
      <c r="X9" s="91">
        <v>395.44</v>
      </c>
      <c r="Y9" s="91">
        <v>395.44</v>
      </c>
      <c r="Z9" s="92">
        <f t="shared" si="0"/>
        <v>-4840.4299999999994</v>
      </c>
    </row>
    <row r="10" spans="1:26" x14ac:dyDescent="0.2">
      <c r="A10" s="89" t="s">
        <v>847</v>
      </c>
      <c r="B10" s="89" t="s">
        <v>848</v>
      </c>
      <c r="C10" s="89">
        <v>100</v>
      </c>
      <c r="D10" s="89" t="s">
        <v>632</v>
      </c>
      <c r="E10" s="67" t="s">
        <v>166</v>
      </c>
      <c r="F10" s="89" t="s">
        <v>167</v>
      </c>
      <c r="G10" s="90">
        <v>44883</v>
      </c>
      <c r="H10" s="90"/>
      <c r="I10" s="91">
        <v>18946800</v>
      </c>
      <c r="J10" s="91">
        <v>194150.34</v>
      </c>
      <c r="K10" s="91">
        <v>0</v>
      </c>
      <c r="L10" s="91">
        <v>-62091.47</v>
      </c>
      <c r="M10" s="91">
        <v>0</v>
      </c>
      <c r="N10" s="91">
        <v>0</v>
      </c>
      <c r="O10" s="91">
        <v>132058.87</v>
      </c>
      <c r="P10" s="91">
        <v>206267.3</v>
      </c>
      <c r="Q10" s="91">
        <v>0</v>
      </c>
      <c r="R10" s="91">
        <v>87427.72</v>
      </c>
      <c r="S10" s="91">
        <v>477.32</v>
      </c>
      <c r="T10" s="91">
        <v>0</v>
      </c>
      <c r="U10" s="91">
        <v>294172.33999999997</v>
      </c>
      <c r="V10" s="91">
        <v>-162113.47</v>
      </c>
      <c r="W10" s="91">
        <v>0</v>
      </c>
      <c r="X10" s="91">
        <v>25997.1</v>
      </c>
      <c r="Y10" s="91">
        <v>25997.1</v>
      </c>
      <c r="Z10" s="92">
        <f t="shared" si="0"/>
        <v>-188110.57</v>
      </c>
    </row>
    <row r="11" spans="1:26" x14ac:dyDescent="0.2">
      <c r="A11" s="89" t="s">
        <v>483</v>
      </c>
      <c r="B11" s="89" t="s">
        <v>484</v>
      </c>
      <c r="C11" s="89">
        <v>100</v>
      </c>
      <c r="D11" s="89" t="s">
        <v>632</v>
      </c>
      <c r="E11" s="67">
        <v>330</v>
      </c>
      <c r="F11" s="89" t="s">
        <v>49</v>
      </c>
      <c r="G11" s="90">
        <v>44226</v>
      </c>
      <c r="H11" s="90">
        <v>44180</v>
      </c>
      <c r="I11" s="91">
        <v>94000</v>
      </c>
      <c r="J11" s="91">
        <v>0</v>
      </c>
      <c r="K11" s="91">
        <v>0</v>
      </c>
      <c r="L11" s="91">
        <v>0</v>
      </c>
      <c r="M11" s="91">
        <v>0</v>
      </c>
      <c r="N11" s="91">
        <v>0</v>
      </c>
      <c r="O11" s="91">
        <v>0</v>
      </c>
      <c r="P11" s="91">
        <v>0</v>
      </c>
      <c r="Q11" s="91">
        <v>0</v>
      </c>
      <c r="R11" s="91">
        <v>1267.94</v>
      </c>
      <c r="S11" s="91">
        <v>0</v>
      </c>
      <c r="T11" s="91">
        <v>0</v>
      </c>
      <c r="U11" s="91">
        <v>1267.94</v>
      </c>
      <c r="V11" s="91">
        <v>-1267.94</v>
      </c>
      <c r="W11" s="91">
        <v>0</v>
      </c>
      <c r="X11" s="91">
        <v>0</v>
      </c>
      <c r="Y11" s="91">
        <v>0</v>
      </c>
      <c r="Z11" s="92">
        <f t="shared" si="0"/>
        <v>-1267.94</v>
      </c>
    </row>
    <row r="12" spans="1:26" x14ac:dyDescent="0.2">
      <c r="A12" s="89" t="s">
        <v>423</v>
      </c>
      <c r="B12" s="89" t="s">
        <v>424</v>
      </c>
      <c r="C12" s="89">
        <v>100</v>
      </c>
      <c r="D12" s="89" t="s">
        <v>632</v>
      </c>
      <c r="E12" s="67">
        <v>330</v>
      </c>
      <c r="F12" s="89" t="s">
        <v>49</v>
      </c>
      <c r="G12" s="90">
        <v>44226</v>
      </c>
      <c r="H12" s="90">
        <v>43969</v>
      </c>
      <c r="I12" s="91">
        <v>0</v>
      </c>
      <c r="J12" s="91">
        <v>0</v>
      </c>
      <c r="K12" s="91">
        <v>0</v>
      </c>
      <c r="L12" s="91">
        <v>0</v>
      </c>
      <c r="M12" s="91">
        <v>0</v>
      </c>
      <c r="N12" s="91">
        <v>0</v>
      </c>
      <c r="O12" s="91">
        <v>0</v>
      </c>
      <c r="P12" s="91">
        <v>0</v>
      </c>
      <c r="Q12" s="91">
        <v>0</v>
      </c>
      <c r="R12" s="91">
        <v>0</v>
      </c>
      <c r="S12" s="91">
        <v>0</v>
      </c>
      <c r="T12" s="91">
        <v>0</v>
      </c>
      <c r="U12" s="91">
        <v>0</v>
      </c>
      <c r="V12" s="91">
        <v>0</v>
      </c>
      <c r="W12" s="91">
        <v>0</v>
      </c>
      <c r="X12" s="91">
        <v>0</v>
      </c>
      <c r="Y12" s="91">
        <v>0</v>
      </c>
      <c r="Z12" s="92">
        <f t="shared" si="0"/>
        <v>0</v>
      </c>
    </row>
    <row r="13" spans="1:26" x14ac:dyDescent="0.2">
      <c r="A13" s="89" t="s">
        <v>493</v>
      </c>
      <c r="B13" s="89" t="s">
        <v>494</v>
      </c>
      <c r="C13" s="89">
        <v>100</v>
      </c>
      <c r="D13" s="89" t="s">
        <v>632</v>
      </c>
      <c r="E13" s="67">
        <v>330</v>
      </c>
      <c r="F13" s="89" t="s">
        <v>49</v>
      </c>
      <c r="G13" s="90">
        <v>44226</v>
      </c>
      <c r="H13" s="90">
        <v>42328</v>
      </c>
      <c r="I13" s="91">
        <v>80819400</v>
      </c>
      <c r="J13" s="91">
        <v>0</v>
      </c>
      <c r="K13" s="91">
        <v>0</v>
      </c>
      <c r="L13" s="91">
        <v>0</v>
      </c>
      <c r="M13" s="91">
        <v>0</v>
      </c>
      <c r="N13" s="91">
        <v>0</v>
      </c>
      <c r="O13" s="91">
        <v>0</v>
      </c>
      <c r="P13" s="91">
        <v>0</v>
      </c>
      <c r="Q13" s="91">
        <v>0</v>
      </c>
      <c r="R13" s="91">
        <v>2344.7000000000003</v>
      </c>
      <c r="S13" s="91">
        <v>27211.280000000002</v>
      </c>
      <c r="T13" s="91">
        <v>0</v>
      </c>
      <c r="U13" s="91">
        <v>29555.98</v>
      </c>
      <c r="V13" s="91">
        <v>-29555.98</v>
      </c>
      <c r="W13" s="91">
        <v>0</v>
      </c>
      <c r="X13" s="91">
        <v>0</v>
      </c>
      <c r="Y13" s="91">
        <v>0</v>
      </c>
      <c r="Z13" s="92">
        <f t="shared" si="0"/>
        <v>-29555.98</v>
      </c>
    </row>
    <row r="14" spans="1:26" x14ac:dyDescent="0.2">
      <c r="A14" s="89" t="s">
        <v>497</v>
      </c>
      <c r="B14" s="89" t="s">
        <v>498</v>
      </c>
      <c r="C14" s="89">
        <v>100</v>
      </c>
      <c r="D14" s="89" t="s">
        <v>632</v>
      </c>
      <c r="E14" s="67">
        <v>330</v>
      </c>
      <c r="F14" s="89" t="s">
        <v>49</v>
      </c>
      <c r="G14" s="90">
        <v>44271</v>
      </c>
      <c r="H14" s="90">
        <v>42431</v>
      </c>
      <c r="I14" s="91">
        <v>0</v>
      </c>
      <c r="J14" s="91">
        <v>0</v>
      </c>
      <c r="K14" s="91">
        <v>0</v>
      </c>
      <c r="L14" s="91">
        <v>0</v>
      </c>
      <c r="M14" s="91">
        <v>0</v>
      </c>
      <c r="N14" s="91">
        <v>0</v>
      </c>
      <c r="O14" s="91">
        <v>0</v>
      </c>
      <c r="P14" s="91">
        <v>0</v>
      </c>
      <c r="Q14" s="91">
        <v>0</v>
      </c>
      <c r="R14" s="91">
        <v>0</v>
      </c>
      <c r="S14" s="91">
        <v>0</v>
      </c>
      <c r="T14" s="91">
        <v>0</v>
      </c>
      <c r="U14" s="91">
        <v>0</v>
      </c>
      <c r="V14" s="91">
        <v>0</v>
      </c>
      <c r="W14" s="91">
        <v>0</v>
      </c>
      <c r="X14" s="91">
        <v>0</v>
      </c>
      <c r="Y14" s="91">
        <v>0</v>
      </c>
      <c r="Z14" s="92">
        <f t="shared" si="0"/>
        <v>0</v>
      </c>
    </row>
    <row r="15" spans="1:26" x14ac:dyDescent="0.2">
      <c r="A15" s="89" t="s">
        <v>82</v>
      </c>
      <c r="B15" s="89" t="s">
        <v>83</v>
      </c>
      <c r="C15" s="89">
        <v>100</v>
      </c>
      <c r="D15" s="89" t="s">
        <v>632</v>
      </c>
      <c r="E15" s="67">
        <v>330</v>
      </c>
      <c r="F15" s="89" t="s">
        <v>49</v>
      </c>
      <c r="G15" s="90">
        <v>44487</v>
      </c>
      <c r="H15" s="90">
        <v>44928</v>
      </c>
      <c r="I15" s="91">
        <v>50367000</v>
      </c>
      <c r="J15" s="91">
        <v>43635.9</v>
      </c>
      <c r="K15" s="91">
        <v>0</v>
      </c>
      <c r="L15" s="91">
        <v>0</v>
      </c>
      <c r="M15" s="91">
        <v>0</v>
      </c>
      <c r="N15" s="91">
        <v>0</v>
      </c>
      <c r="O15" s="91">
        <v>43635.9</v>
      </c>
      <c r="P15" s="91">
        <v>42091.21</v>
      </c>
      <c r="Q15" s="91">
        <v>0</v>
      </c>
      <c r="R15" s="91">
        <v>21652.579999999998</v>
      </c>
      <c r="S15" s="91">
        <v>20047.54</v>
      </c>
      <c r="T15" s="91">
        <v>0</v>
      </c>
      <c r="U15" s="91">
        <v>83791.33</v>
      </c>
      <c r="V15" s="91">
        <v>-40155.43</v>
      </c>
      <c r="W15" s="91">
        <v>0</v>
      </c>
      <c r="X15" s="91">
        <v>2116.79</v>
      </c>
      <c r="Y15" s="91">
        <v>2116.79</v>
      </c>
      <c r="Z15" s="92">
        <f t="shared" si="0"/>
        <v>-42272.22</v>
      </c>
    </row>
    <row r="16" spans="1:26" x14ac:dyDescent="0.2">
      <c r="A16" s="89" t="s">
        <v>508</v>
      </c>
      <c r="B16" s="89" t="s">
        <v>509</v>
      </c>
      <c r="C16" s="89">
        <v>100</v>
      </c>
      <c r="D16" s="89" t="s">
        <v>632</v>
      </c>
      <c r="E16" s="67">
        <v>360</v>
      </c>
      <c r="F16" s="89" t="s">
        <v>91</v>
      </c>
      <c r="G16" s="90">
        <v>44226</v>
      </c>
      <c r="H16" s="90">
        <v>42620</v>
      </c>
      <c r="I16" s="91">
        <v>0</v>
      </c>
      <c r="J16" s="91">
        <v>0</v>
      </c>
      <c r="K16" s="91">
        <v>0</v>
      </c>
      <c r="L16" s="91">
        <v>0</v>
      </c>
      <c r="M16" s="91">
        <v>0</v>
      </c>
      <c r="N16" s="91">
        <v>0</v>
      </c>
      <c r="O16" s="91">
        <v>0</v>
      </c>
      <c r="P16" s="91">
        <v>0</v>
      </c>
      <c r="Q16" s="91">
        <v>0</v>
      </c>
      <c r="R16" s="91">
        <v>0</v>
      </c>
      <c r="S16" s="91">
        <v>0</v>
      </c>
      <c r="T16" s="91">
        <v>0</v>
      </c>
      <c r="U16" s="91">
        <v>0</v>
      </c>
      <c r="V16" s="91">
        <v>0</v>
      </c>
      <c r="W16" s="91">
        <v>0</v>
      </c>
      <c r="X16" s="91">
        <v>0</v>
      </c>
      <c r="Y16" s="91">
        <v>0</v>
      </c>
      <c r="Z16" s="92">
        <f t="shared" si="0"/>
        <v>0</v>
      </c>
    </row>
    <row r="17" spans="1:26" x14ac:dyDescent="0.2">
      <c r="A17" s="89" t="s">
        <v>242</v>
      </c>
      <c r="B17" s="89" t="s">
        <v>243</v>
      </c>
      <c r="C17" s="89">
        <v>100</v>
      </c>
      <c r="D17" s="89" t="s">
        <v>632</v>
      </c>
      <c r="E17" s="67">
        <v>330</v>
      </c>
      <c r="F17" s="89" t="s">
        <v>49</v>
      </c>
      <c r="G17" s="90">
        <v>44226</v>
      </c>
      <c r="H17" s="90">
        <v>42181</v>
      </c>
      <c r="I17" s="91">
        <v>0</v>
      </c>
      <c r="J17" s="91">
        <v>1926748.6</v>
      </c>
      <c r="K17" s="91">
        <v>0</v>
      </c>
      <c r="L17" s="91">
        <v>0</v>
      </c>
      <c r="M17" s="91">
        <v>0</v>
      </c>
      <c r="N17" s="91">
        <v>0</v>
      </c>
      <c r="O17" s="91">
        <v>1926748.6</v>
      </c>
      <c r="P17" s="91">
        <v>1138252</v>
      </c>
      <c r="Q17" s="91">
        <v>0</v>
      </c>
      <c r="R17" s="91">
        <v>25728.59</v>
      </c>
      <c r="S17" s="91">
        <v>41557.25</v>
      </c>
      <c r="T17" s="91">
        <v>0</v>
      </c>
      <c r="U17" s="91">
        <v>1205537.8400000001</v>
      </c>
      <c r="V17" s="91">
        <v>721210.76</v>
      </c>
      <c r="W17" s="91">
        <v>0</v>
      </c>
      <c r="X17" s="91">
        <v>2192</v>
      </c>
      <c r="Y17" s="91">
        <v>2192</v>
      </c>
      <c r="Z17" s="92">
        <f t="shared" si="0"/>
        <v>719018.76</v>
      </c>
    </row>
    <row r="18" spans="1:26" x14ac:dyDescent="0.2">
      <c r="A18" s="89" t="s">
        <v>297</v>
      </c>
      <c r="B18" s="89" t="s">
        <v>298</v>
      </c>
      <c r="C18" s="89">
        <v>100</v>
      </c>
      <c r="D18" s="89" t="s">
        <v>632</v>
      </c>
      <c r="E18" s="67" t="s">
        <v>5</v>
      </c>
      <c r="F18" s="89" t="s">
        <v>6</v>
      </c>
      <c r="G18" s="90">
        <v>44264</v>
      </c>
      <c r="H18" s="90">
        <v>44288</v>
      </c>
      <c r="I18" s="91">
        <v>11536522.800000001</v>
      </c>
      <c r="J18" s="91">
        <v>0</v>
      </c>
      <c r="K18" s="91">
        <v>0</v>
      </c>
      <c r="L18" s="91">
        <v>2755.7000000000021</v>
      </c>
      <c r="M18" s="91">
        <v>0</v>
      </c>
      <c r="N18" s="91">
        <v>0</v>
      </c>
      <c r="O18" s="91">
        <v>2755.7000000000021</v>
      </c>
      <c r="P18" s="91">
        <v>0</v>
      </c>
      <c r="Q18" s="91">
        <v>0</v>
      </c>
      <c r="R18" s="91">
        <v>6022.6200000000008</v>
      </c>
      <c r="S18" s="91">
        <v>6587.04</v>
      </c>
      <c r="T18" s="91">
        <v>0</v>
      </c>
      <c r="U18" s="91">
        <v>12609.66</v>
      </c>
      <c r="V18" s="91">
        <v>-9853.9599999999973</v>
      </c>
      <c r="W18" s="91">
        <v>0</v>
      </c>
      <c r="X18" s="91">
        <v>17481.009999999998</v>
      </c>
      <c r="Y18" s="91">
        <v>17481.009999999998</v>
      </c>
      <c r="Z18" s="92">
        <f t="shared" si="0"/>
        <v>-27334.969999999994</v>
      </c>
    </row>
    <row r="19" spans="1:26" x14ac:dyDescent="0.2">
      <c r="A19" s="89" t="s">
        <v>756</v>
      </c>
      <c r="B19" s="89" t="s">
        <v>757</v>
      </c>
      <c r="C19" s="89">
        <v>100</v>
      </c>
      <c r="D19" s="89" t="s">
        <v>632</v>
      </c>
      <c r="E19" s="67" t="s">
        <v>96</v>
      </c>
      <c r="F19" s="89" t="s">
        <v>97</v>
      </c>
      <c r="G19" s="90">
        <v>44818</v>
      </c>
      <c r="H19" s="90"/>
      <c r="I19" s="91">
        <v>6430600</v>
      </c>
      <c r="J19" s="91">
        <v>32327.59</v>
      </c>
      <c r="K19" s="91">
        <v>0</v>
      </c>
      <c r="L19" s="91">
        <v>0</v>
      </c>
      <c r="M19" s="91">
        <v>0</v>
      </c>
      <c r="N19" s="91">
        <v>0</v>
      </c>
      <c r="O19" s="91">
        <v>32327.59</v>
      </c>
      <c r="P19" s="91">
        <v>60665.25</v>
      </c>
      <c r="Q19" s="91">
        <v>0</v>
      </c>
      <c r="R19" s="91">
        <v>35172.61</v>
      </c>
      <c r="S19" s="91">
        <v>4773.22</v>
      </c>
      <c r="T19" s="91">
        <v>31671.480000000003</v>
      </c>
      <c r="U19" s="91">
        <v>132282.56</v>
      </c>
      <c r="V19" s="91">
        <v>-99954.97</v>
      </c>
      <c r="W19" s="91">
        <v>0</v>
      </c>
      <c r="X19" s="91">
        <v>3581.82</v>
      </c>
      <c r="Y19" s="91">
        <v>3581.82</v>
      </c>
      <c r="Z19" s="92">
        <f t="shared" si="0"/>
        <v>-103536.79000000001</v>
      </c>
    </row>
    <row r="20" spans="1:26" x14ac:dyDescent="0.2">
      <c r="A20" s="89" t="s">
        <v>112</v>
      </c>
      <c r="B20" s="89" t="s">
        <v>113</v>
      </c>
      <c r="C20" s="89">
        <v>100</v>
      </c>
      <c r="D20" s="89" t="s">
        <v>632</v>
      </c>
      <c r="E20" s="67" t="s">
        <v>114</v>
      </c>
      <c r="F20" s="89" t="s">
        <v>115</v>
      </c>
      <c r="G20" s="90">
        <v>44606</v>
      </c>
      <c r="H20" s="90"/>
      <c r="I20" s="91">
        <v>10261764</v>
      </c>
      <c r="J20" s="91">
        <v>71780.149999999994</v>
      </c>
      <c r="K20" s="91">
        <v>0</v>
      </c>
      <c r="L20" s="91">
        <v>2357.61</v>
      </c>
      <c r="M20" s="91">
        <v>0</v>
      </c>
      <c r="N20" s="91">
        <v>0</v>
      </c>
      <c r="O20" s="91">
        <v>74137.759999999995</v>
      </c>
      <c r="P20" s="91">
        <v>14455.23</v>
      </c>
      <c r="Q20" s="91">
        <v>0</v>
      </c>
      <c r="R20" s="91">
        <v>10491.48</v>
      </c>
      <c r="S20" s="91">
        <v>19378.5</v>
      </c>
      <c r="T20" s="91">
        <v>0</v>
      </c>
      <c r="U20" s="91">
        <v>44325.210000000006</v>
      </c>
      <c r="V20" s="91">
        <v>29812.549999999992</v>
      </c>
      <c r="W20" s="91">
        <v>0</v>
      </c>
      <c r="X20" s="91">
        <v>0</v>
      </c>
      <c r="Y20" s="91">
        <v>0</v>
      </c>
      <c r="Z20" s="92">
        <f t="shared" si="0"/>
        <v>29812.549999999992</v>
      </c>
    </row>
    <row r="21" spans="1:26" x14ac:dyDescent="0.2">
      <c r="A21" s="89" t="s">
        <v>709</v>
      </c>
      <c r="B21" s="89" t="s">
        <v>710</v>
      </c>
      <c r="C21" s="89">
        <v>100</v>
      </c>
      <c r="D21" s="89" t="s">
        <v>632</v>
      </c>
      <c r="E21" s="67" t="s">
        <v>114</v>
      </c>
      <c r="F21" s="89" t="s">
        <v>115</v>
      </c>
      <c r="G21" s="90">
        <v>44776</v>
      </c>
      <c r="H21" s="90"/>
      <c r="I21" s="91">
        <v>7687368</v>
      </c>
      <c r="J21" s="91">
        <v>1116823.67</v>
      </c>
      <c r="K21" s="91">
        <v>0</v>
      </c>
      <c r="L21" s="91">
        <v>449.11000000000007</v>
      </c>
      <c r="M21" s="91">
        <v>0</v>
      </c>
      <c r="N21" s="91">
        <v>0</v>
      </c>
      <c r="O21" s="91">
        <v>1117272.7800000003</v>
      </c>
      <c r="P21" s="91">
        <v>1275993.1600000001</v>
      </c>
      <c r="Q21" s="91">
        <v>0</v>
      </c>
      <c r="R21" s="91">
        <v>8878.75</v>
      </c>
      <c r="S21" s="91">
        <v>0</v>
      </c>
      <c r="T21" s="91">
        <v>549.65</v>
      </c>
      <c r="U21" s="91">
        <v>1285421.56</v>
      </c>
      <c r="V21" s="91">
        <v>-168148.78</v>
      </c>
      <c r="W21" s="91">
        <v>0</v>
      </c>
      <c r="X21" s="91">
        <v>11459.88</v>
      </c>
      <c r="Y21" s="91">
        <v>11459.88</v>
      </c>
      <c r="Z21" s="92">
        <f t="shared" si="0"/>
        <v>-179608.66</v>
      </c>
    </row>
    <row r="22" spans="1:26" x14ac:dyDescent="0.2">
      <c r="A22" s="89" t="s">
        <v>786</v>
      </c>
      <c r="B22" s="89" t="s">
        <v>787</v>
      </c>
      <c r="C22" s="89">
        <v>100</v>
      </c>
      <c r="D22" s="89" t="s">
        <v>632</v>
      </c>
      <c r="E22" s="67" t="s">
        <v>705</v>
      </c>
      <c r="F22" s="89" t="s">
        <v>706</v>
      </c>
      <c r="G22" s="90">
        <v>44825</v>
      </c>
      <c r="H22" s="90"/>
      <c r="I22" s="91">
        <v>1059000</v>
      </c>
      <c r="J22" s="91">
        <v>248207.23</v>
      </c>
      <c r="K22" s="91">
        <v>0</v>
      </c>
      <c r="L22" s="91">
        <v>0</v>
      </c>
      <c r="M22" s="91">
        <v>0</v>
      </c>
      <c r="N22" s="91">
        <v>2863.94</v>
      </c>
      <c r="O22" s="91">
        <v>251071.17</v>
      </c>
      <c r="P22" s="91">
        <v>401510.24</v>
      </c>
      <c r="Q22" s="91">
        <v>0</v>
      </c>
      <c r="R22" s="91">
        <v>493.89</v>
      </c>
      <c r="S22" s="91">
        <v>0</v>
      </c>
      <c r="T22" s="91">
        <v>-487.47</v>
      </c>
      <c r="U22" s="91">
        <v>401516.66000000003</v>
      </c>
      <c r="V22" s="91">
        <v>-150445.49</v>
      </c>
      <c r="W22" s="91">
        <v>0</v>
      </c>
      <c r="X22" s="91">
        <v>0</v>
      </c>
      <c r="Y22" s="91">
        <v>0</v>
      </c>
      <c r="Z22" s="92">
        <f t="shared" si="0"/>
        <v>-150445.49</v>
      </c>
    </row>
    <row r="23" spans="1:26" x14ac:dyDescent="0.2">
      <c r="A23" s="89" t="s">
        <v>843</v>
      </c>
      <c r="B23" s="89" t="s">
        <v>844</v>
      </c>
      <c r="C23" s="89">
        <v>100</v>
      </c>
      <c r="D23" s="89" t="s">
        <v>632</v>
      </c>
      <c r="E23" s="67" t="s">
        <v>845</v>
      </c>
      <c r="F23" s="89" t="s">
        <v>846</v>
      </c>
      <c r="G23" s="90">
        <v>44931</v>
      </c>
      <c r="H23" s="90"/>
      <c r="I23" s="91">
        <v>3574500</v>
      </c>
      <c r="J23" s="91">
        <v>0</v>
      </c>
      <c r="K23" s="91">
        <v>0</v>
      </c>
      <c r="L23" s="91">
        <v>4084.5</v>
      </c>
      <c r="M23" s="91">
        <v>0</v>
      </c>
      <c r="N23" s="91">
        <v>0</v>
      </c>
      <c r="O23" s="91">
        <v>4084.5</v>
      </c>
      <c r="P23" s="91">
        <v>0</v>
      </c>
      <c r="Q23" s="91">
        <v>0</v>
      </c>
      <c r="R23" s="91">
        <v>3038.7200000000003</v>
      </c>
      <c r="S23" s="91">
        <v>0</v>
      </c>
      <c r="T23" s="91">
        <v>0</v>
      </c>
      <c r="U23" s="91">
        <v>3038.7200000000003</v>
      </c>
      <c r="V23" s="91">
        <v>1045.7799999999997</v>
      </c>
      <c r="W23" s="91">
        <v>0</v>
      </c>
      <c r="X23" s="91">
        <v>0</v>
      </c>
      <c r="Y23" s="91">
        <v>0</v>
      </c>
      <c r="Z23" s="92">
        <f t="shared" si="0"/>
        <v>1045.7799999999997</v>
      </c>
    </row>
    <row r="24" spans="1:26" x14ac:dyDescent="0.2">
      <c r="A24" s="89" t="s">
        <v>871</v>
      </c>
      <c r="B24" s="89" t="s">
        <v>872</v>
      </c>
      <c r="C24" s="89">
        <v>100</v>
      </c>
      <c r="D24" s="89" t="s">
        <v>632</v>
      </c>
      <c r="E24" s="67" t="s">
        <v>705</v>
      </c>
      <c r="F24" s="89" t="s">
        <v>706</v>
      </c>
      <c r="G24" s="90">
        <v>44777</v>
      </c>
      <c r="H24" s="90"/>
      <c r="I24" s="91">
        <v>214700</v>
      </c>
      <c r="J24" s="91">
        <v>0</v>
      </c>
      <c r="K24" s="91">
        <v>0</v>
      </c>
      <c r="L24" s="91">
        <v>0</v>
      </c>
      <c r="M24" s="91">
        <v>0</v>
      </c>
      <c r="N24" s="91">
        <v>0</v>
      </c>
      <c r="O24" s="91">
        <v>0</v>
      </c>
      <c r="P24" s="91">
        <v>0</v>
      </c>
      <c r="Q24" s="91">
        <v>0</v>
      </c>
      <c r="R24" s="91">
        <v>0</v>
      </c>
      <c r="S24" s="91">
        <v>0</v>
      </c>
      <c r="T24" s="91">
        <v>0</v>
      </c>
      <c r="U24" s="91">
        <v>0</v>
      </c>
      <c r="V24" s="91">
        <v>0</v>
      </c>
      <c r="W24" s="91">
        <v>0</v>
      </c>
      <c r="X24" s="91">
        <v>0</v>
      </c>
      <c r="Y24" s="91">
        <v>0</v>
      </c>
      <c r="Z24" s="92">
        <f t="shared" si="0"/>
        <v>0</v>
      </c>
    </row>
    <row r="25" spans="1:26" x14ac:dyDescent="0.2">
      <c r="A25" s="89" t="s">
        <v>885</v>
      </c>
      <c r="B25" s="89" t="s">
        <v>886</v>
      </c>
      <c r="C25" s="89">
        <v>100</v>
      </c>
      <c r="D25" s="89" t="s">
        <v>632</v>
      </c>
      <c r="E25" s="67">
        <v>330</v>
      </c>
      <c r="F25" s="89" t="s">
        <v>49</v>
      </c>
      <c r="G25" s="90">
        <v>44973</v>
      </c>
      <c r="H25" s="90"/>
      <c r="I25" s="91">
        <v>44000</v>
      </c>
      <c r="J25" s="91">
        <v>0</v>
      </c>
      <c r="K25" s="91">
        <v>0</v>
      </c>
      <c r="L25" s="91">
        <v>0</v>
      </c>
      <c r="M25" s="91">
        <v>0</v>
      </c>
      <c r="N25" s="91">
        <v>0</v>
      </c>
      <c r="O25" s="91">
        <v>0</v>
      </c>
      <c r="P25" s="91">
        <v>0</v>
      </c>
      <c r="Q25" s="91">
        <v>0</v>
      </c>
      <c r="R25" s="91">
        <v>0</v>
      </c>
      <c r="S25" s="91">
        <v>0</v>
      </c>
      <c r="T25" s="91">
        <v>0</v>
      </c>
      <c r="U25" s="91">
        <v>0</v>
      </c>
      <c r="V25" s="91">
        <v>0</v>
      </c>
      <c r="W25" s="91">
        <v>0</v>
      </c>
      <c r="X25" s="91">
        <v>0</v>
      </c>
      <c r="Y25" s="91">
        <v>0</v>
      </c>
      <c r="Z25" s="92">
        <f t="shared" si="0"/>
        <v>0</v>
      </c>
    </row>
    <row r="26" spans="1:26" x14ac:dyDescent="0.2">
      <c r="A26" s="89" t="s">
        <v>164</v>
      </c>
      <c r="B26" s="89" t="s">
        <v>165</v>
      </c>
      <c r="C26" s="89">
        <v>100</v>
      </c>
      <c r="D26" s="89" t="s">
        <v>632</v>
      </c>
      <c r="E26" s="67" t="s">
        <v>166</v>
      </c>
      <c r="F26" s="89" t="s">
        <v>167</v>
      </c>
      <c r="G26" s="90">
        <v>44613</v>
      </c>
      <c r="H26" s="90"/>
      <c r="I26" s="91">
        <v>242000</v>
      </c>
      <c r="J26" s="91">
        <v>0</v>
      </c>
      <c r="K26" s="91">
        <v>0</v>
      </c>
      <c r="L26" s="91">
        <v>0</v>
      </c>
      <c r="M26" s="91">
        <v>0</v>
      </c>
      <c r="N26" s="91">
        <v>0</v>
      </c>
      <c r="O26" s="91">
        <v>0</v>
      </c>
      <c r="P26" s="91">
        <v>0</v>
      </c>
      <c r="Q26" s="91">
        <v>0</v>
      </c>
      <c r="R26" s="91">
        <v>0</v>
      </c>
      <c r="S26" s="91">
        <v>0</v>
      </c>
      <c r="T26" s="91">
        <v>-527.39</v>
      </c>
      <c r="U26" s="91">
        <v>-527.39</v>
      </c>
      <c r="V26" s="91">
        <v>527.39</v>
      </c>
      <c r="W26" s="91">
        <v>0</v>
      </c>
      <c r="X26" s="91">
        <v>0</v>
      </c>
      <c r="Y26" s="91">
        <v>0</v>
      </c>
      <c r="Z26" s="92">
        <f t="shared" si="0"/>
        <v>527.39</v>
      </c>
    </row>
    <row r="27" spans="1:26" x14ac:dyDescent="0.2">
      <c r="A27" s="89" t="s">
        <v>894</v>
      </c>
      <c r="B27" s="89" t="s">
        <v>895</v>
      </c>
      <c r="C27" s="89">
        <v>100</v>
      </c>
      <c r="D27" s="89" t="s">
        <v>632</v>
      </c>
      <c r="E27" s="67" t="s">
        <v>166</v>
      </c>
      <c r="F27" s="89" t="s">
        <v>167</v>
      </c>
      <c r="G27" s="90">
        <v>44971</v>
      </c>
      <c r="H27" s="90"/>
      <c r="I27" s="91">
        <v>212600</v>
      </c>
      <c r="J27" s="91">
        <v>245709.88</v>
      </c>
      <c r="K27" s="91">
        <v>0</v>
      </c>
      <c r="L27" s="91">
        <v>-38.129999999999995</v>
      </c>
      <c r="M27" s="91">
        <v>0</v>
      </c>
      <c r="N27" s="91">
        <v>0</v>
      </c>
      <c r="O27" s="91">
        <v>245671.75</v>
      </c>
      <c r="P27" s="91">
        <v>217391.3</v>
      </c>
      <c r="Q27" s="91">
        <v>0</v>
      </c>
      <c r="R27" s="91">
        <v>0</v>
      </c>
      <c r="S27" s="91">
        <v>0</v>
      </c>
      <c r="T27" s="91">
        <v>0</v>
      </c>
      <c r="U27" s="91">
        <v>217391.3</v>
      </c>
      <c r="V27" s="91">
        <v>28280.450000000015</v>
      </c>
      <c r="W27" s="91">
        <v>0</v>
      </c>
      <c r="X27" s="91">
        <v>0</v>
      </c>
      <c r="Y27" s="91">
        <v>0</v>
      </c>
      <c r="Z27" s="92">
        <f t="shared" si="0"/>
        <v>28280.450000000015</v>
      </c>
    </row>
    <row r="28" spans="1:26" x14ac:dyDescent="0.2">
      <c r="A28" s="89" t="s">
        <v>419</v>
      </c>
      <c r="B28" s="89" t="s">
        <v>420</v>
      </c>
      <c r="C28" s="89">
        <v>100</v>
      </c>
      <c r="D28" s="89" t="s">
        <v>632</v>
      </c>
      <c r="E28" s="67">
        <v>330</v>
      </c>
      <c r="F28" s="89" t="s">
        <v>49</v>
      </c>
      <c r="G28" s="90">
        <v>44226</v>
      </c>
      <c r="H28" s="90">
        <v>44371</v>
      </c>
      <c r="I28" s="91">
        <v>0</v>
      </c>
      <c r="J28" s="91">
        <v>0</v>
      </c>
      <c r="K28" s="91">
        <v>0</v>
      </c>
      <c r="L28" s="91">
        <v>0</v>
      </c>
      <c r="M28" s="91">
        <v>0</v>
      </c>
      <c r="N28" s="91">
        <v>0</v>
      </c>
      <c r="O28" s="91">
        <v>0</v>
      </c>
      <c r="P28" s="91">
        <v>0</v>
      </c>
      <c r="Q28" s="91">
        <v>0</v>
      </c>
      <c r="R28" s="91">
        <v>0</v>
      </c>
      <c r="S28" s="91">
        <v>0</v>
      </c>
      <c r="T28" s="91">
        <v>-11074.03</v>
      </c>
      <c r="U28" s="91">
        <v>-11074.03</v>
      </c>
      <c r="V28" s="91">
        <v>11074.03</v>
      </c>
      <c r="W28" s="91">
        <v>0</v>
      </c>
      <c r="X28" s="91">
        <v>0</v>
      </c>
      <c r="Y28" s="91">
        <v>0</v>
      </c>
      <c r="Z28" s="92">
        <f t="shared" si="0"/>
        <v>11074.03</v>
      </c>
    </row>
    <row r="29" spans="1:26" x14ac:dyDescent="0.2">
      <c r="A29" s="89" t="s">
        <v>915</v>
      </c>
      <c r="B29" s="89" t="s">
        <v>916</v>
      </c>
      <c r="C29" s="89">
        <v>100</v>
      </c>
      <c r="D29" s="89" t="s">
        <v>632</v>
      </c>
      <c r="E29" s="67" t="s">
        <v>96</v>
      </c>
      <c r="F29" s="89" t="s">
        <v>97</v>
      </c>
      <c r="G29" s="90">
        <v>44977</v>
      </c>
      <c r="H29" s="90"/>
      <c r="I29" s="91">
        <v>222200</v>
      </c>
      <c r="J29" s="91">
        <v>153985.87</v>
      </c>
      <c r="K29" s="91">
        <v>0</v>
      </c>
      <c r="L29" s="91">
        <v>0</v>
      </c>
      <c r="M29" s="91">
        <v>0</v>
      </c>
      <c r="N29" s="91">
        <v>0</v>
      </c>
      <c r="O29" s="91">
        <v>153985.87</v>
      </c>
      <c r="P29" s="91">
        <v>0</v>
      </c>
      <c r="Q29" s="91">
        <v>0</v>
      </c>
      <c r="R29" s="91">
        <v>0</v>
      </c>
      <c r="S29" s="91">
        <v>0</v>
      </c>
      <c r="T29" s="91">
        <v>0</v>
      </c>
      <c r="U29" s="91">
        <v>0</v>
      </c>
      <c r="V29" s="91">
        <v>153985.87</v>
      </c>
      <c r="W29" s="91">
        <v>0</v>
      </c>
      <c r="X29" s="91">
        <v>0</v>
      </c>
      <c r="Y29" s="91">
        <v>0</v>
      </c>
      <c r="Z29" s="92">
        <f t="shared" si="0"/>
        <v>153985.87</v>
      </c>
    </row>
    <row r="30" spans="1:26" x14ac:dyDescent="0.2">
      <c r="A30" s="89" t="s">
        <v>943</v>
      </c>
      <c r="B30" s="89" t="s">
        <v>953</v>
      </c>
      <c r="C30" s="89">
        <v>100</v>
      </c>
      <c r="D30" s="89" t="s">
        <v>632</v>
      </c>
      <c r="E30" s="67" t="s">
        <v>96</v>
      </c>
      <c r="F30" s="89" t="s">
        <v>97</v>
      </c>
      <c r="G30" s="90">
        <v>45049</v>
      </c>
      <c r="H30" s="90"/>
      <c r="I30" s="91">
        <v>2457000</v>
      </c>
      <c r="J30" s="91">
        <v>2419782.6</v>
      </c>
      <c r="K30" s="91">
        <v>0</v>
      </c>
      <c r="L30" s="91">
        <v>25587.07</v>
      </c>
      <c r="M30" s="91">
        <v>0</v>
      </c>
      <c r="N30" s="91">
        <v>0</v>
      </c>
      <c r="O30" s="91">
        <v>2445369.67</v>
      </c>
      <c r="P30" s="91">
        <v>3999366.4808695652</v>
      </c>
      <c r="Q30" s="91">
        <v>0</v>
      </c>
      <c r="R30" s="91">
        <v>8283.06</v>
      </c>
      <c r="S30" s="91">
        <v>-58335.240000000005</v>
      </c>
      <c r="T30" s="91">
        <v>149873.15</v>
      </c>
      <c r="U30" s="91">
        <v>4099187.4508695658</v>
      </c>
      <c r="V30" s="91">
        <v>-1653817.7808695654</v>
      </c>
      <c r="W30" s="91">
        <v>0</v>
      </c>
      <c r="X30" s="91">
        <v>20725.47</v>
      </c>
      <c r="Y30" s="91">
        <v>20725.47</v>
      </c>
      <c r="Z30" s="92">
        <f t="shared" si="0"/>
        <v>-1674543.2508695654</v>
      </c>
    </row>
    <row r="31" spans="1:26" x14ac:dyDescent="0.2">
      <c r="A31" s="89" t="s">
        <v>427</v>
      </c>
      <c r="B31" s="89" t="s">
        <v>428</v>
      </c>
      <c r="C31" s="89">
        <v>100</v>
      </c>
      <c r="D31" s="89" t="s">
        <v>632</v>
      </c>
      <c r="E31" s="67">
        <v>330</v>
      </c>
      <c r="F31" s="89" t="s">
        <v>49</v>
      </c>
      <c r="G31" s="90">
        <v>44226</v>
      </c>
      <c r="H31" s="90">
        <v>43266</v>
      </c>
      <c r="I31" s="91">
        <v>0</v>
      </c>
      <c r="J31" s="91">
        <v>0</v>
      </c>
      <c r="K31" s="91">
        <v>0</v>
      </c>
      <c r="L31" s="91">
        <v>0</v>
      </c>
      <c r="M31" s="91">
        <v>0</v>
      </c>
      <c r="N31" s="91">
        <v>0</v>
      </c>
      <c r="O31" s="91">
        <v>0</v>
      </c>
      <c r="P31" s="91">
        <v>0</v>
      </c>
      <c r="Q31" s="91">
        <v>0</v>
      </c>
      <c r="R31" s="91">
        <v>2445.2600000000002</v>
      </c>
      <c r="S31" s="91">
        <v>0</v>
      </c>
      <c r="T31" s="91">
        <v>0</v>
      </c>
      <c r="U31" s="91">
        <v>2445.2600000000002</v>
      </c>
      <c r="V31" s="91">
        <v>-2445.2600000000002</v>
      </c>
      <c r="W31" s="91">
        <v>0</v>
      </c>
      <c r="X31" s="91">
        <v>0</v>
      </c>
      <c r="Y31" s="91">
        <v>0</v>
      </c>
      <c r="Z31" s="92">
        <f t="shared" si="0"/>
        <v>-2445.2600000000002</v>
      </c>
    </row>
    <row r="32" spans="1:26" x14ac:dyDescent="0.2">
      <c r="A32" s="89" t="s">
        <v>162</v>
      </c>
      <c r="B32" s="89" t="s">
        <v>163</v>
      </c>
      <c r="C32" s="89">
        <v>100</v>
      </c>
      <c r="D32" s="89" t="s">
        <v>632</v>
      </c>
      <c r="E32" s="67" t="s">
        <v>5</v>
      </c>
      <c r="F32" s="89" t="s">
        <v>6</v>
      </c>
      <c r="G32" s="90">
        <v>44411</v>
      </c>
      <c r="H32" s="90"/>
      <c r="I32" s="91">
        <v>1611280</v>
      </c>
      <c r="J32" s="91">
        <v>0</v>
      </c>
      <c r="K32" s="91">
        <v>0</v>
      </c>
      <c r="L32" s="91">
        <v>0</v>
      </c>
      <c r="M32" s="91">
        <v>0</v>
      </c>
      <c r="N32" s="91">
        <v>0</v>
      </c>
      <c r="O32" s="91">
        <v>0</v>
      </c>
      <c r="P32" s="91">
        <v>0</v>
      </c>
      <c r="Q32" s="91">
        <v>0</v>
      </c>
      <c r="R32" s="91">
        <v>5750.9000000000005</v>
      </c>
      <c r="S32" s="91">
        <v>0</v>
      </c>
      <c r="T32" s="91">
        <v>0</v>
      </c>
      <c r="U32" s="91">
        <v>5750.9000000000005</v>
      </c>
      <c r="V32" s="91">
        <v>-5750.9000000000005</v>
      </c>
      <c r="W32" s="91">
        <v>0</v>
      </c>
      <c r="X32" s="91">
        <v>0</v>
      </c>
      <c r="Y32" s="91">
        <v>0</v>
      </c>
      <c r="Z32" s="92">
        <f t="shared" si="0"/>
        <v>-5750.9000000000005</v>
      </c>
    </row>
    <row r="33" spans="1:26" x14ac:dyDescent="0.2">
      <c r="A33" s="89" t="s">
        <v>963</v>
      </c>
      <c r="B33" s="89" t="s">
        <v>964</v>
      </c>
      <c r="C33" s="89">
        <v>100</v>
      </c>
      <c r="D33" s="89" t="s">
        <v>632</v>
      </c>
      <c r="E33" s="67" t="s">
        <v>166</v>
      </c>
      <c r="F33" s="89" t="s">
        <v>167</v>
      </c>
      <c r="G33" s="90">
        <v>44526</v>
      </c>
      <c r="H33" s="90"/>
      <c r="I33" s="91">
        <v>0</v>
      </c>
      <c r="J33" s="91">
        <v>0</v>
      </c>
      <c r="K33" s="91">
        <v>0</v>
      </c>
      <c r="L33" s="91">
        <v>0</v>
      </c>
      <c r="M33" s="91">
        <v>0</v>
      </c>
      <c r="N33" s="91">
        <v>0</v>
      </c>
      <c r="O33" s="91">
        <v>0</v>
      </c>
      <c r="P33" s="91">
        <v>0</v>
      </c>
      <c r="Q33" s="91">
        <v>0</v>
      </c>
      <c r="R33" s="91">
        <v>0</v>
      </c>
      <c r="S33" s="91">
        <v>0</v>
      </c>
      <c r="T33" s="91">
        <v>0</v>
      </c>
      <c r="U33" s="91">
        <v>0</v>
      </c>
      <c r="V33" s="91">
        <v>0</v>
      </c>
      <c r="W33" s="91">
        <v>0</v>
      </c>
      <c r="X33" s="91">
        <v>0</v>
      </c>
      <c r="Y33" s="91">
        <v>0</v>
      </c>
      <c r="Z33" s="92">
        <f t="shared" si="0"/>
        <v>0</v>
      </c>
    </row>
    <row r="34" spans="1:26" x14ac:dyDescent="0.2">
      <c r="A34" s="89" t="s">
        <v>976</v>
      </c>
      <c r="B34" s="89" t="s">
        <v>977</v>
      </c>
      <c r="C34" s="89">
        <v>100</v>
      </c>
      <c r="D34" s="89" t="s">
        <v>632</v>
      </c>
      <c r="E34" s="67">
        <v>330</v>
      </c>
      <c r="F34" s="89" t="s">
        <v>49</v>
      </c>
      <c r="G34" s="90">
        <v>45145</v>
      </c>
      <c r="H34" s="90"/>
      <c r="I34" s="91">
        <v>0</v>
      </c>
      <c r="J34" s="91">
        <v>54600</v>
      </c>
      <c r="K34" s="91">
        <v>0</v>
      </c>
      <c r="L34" s="91">
        <v>639.6</v>
      </c>
      <c r="M34" s="91">
        <v>0</v>
      </c>
      <c r="N34" s="91">
        <v>0</v>
      </c>
      <c r="O34" s="91">
        <v>55239.6</v>
      </c>
      <c r="P34" s="91">
        <v>51480</v>
      </c>
      <c r="Q34" s="91">
        <v>0</v>
      </c>
      <c r="R34" s="91">
        <v>0</v>
      </c>
      <c r="S34" s="91">
        <v>8878.2099999999991</v>
      </c>
      <c r="T34" s="91">
        <v>1243.98</v>
      </c>
      <c r="U34" s="91">
        <v>61602.19</v>
      </c>
      <c r="V34" s="91">
        <v>-6362.5899999999992</v>
      </c>
      <c r="W34" s="91">
        <v>0</v>
      </c>
      <c r="X34" s="91">
        <v>4937.84</v>
      </c>
      <c r="Y34" s="91">
        <v>4937.84</v>
      </c>
      <c r="Z34" s="92">
        <f t="shared" si="0"/>
        <v>-11300.43</v>
      </c>
    </row>
    <row r="35" spans="1:26" x14ac:dyDescent="0.2">
      <c r="A35" s="89" t="s">
        <v>478</v>
      </c>
      <c r="B35" s="89" t="s">
        <v>479</v>
      </c>
      <c r="C35" s="89">
        <v>100</v>
      </c>
      <c r="D35" s="89" t="s">
        <v>632</v>
      </c>
      <c r="E35" s="67">
        <v>250</v>
      </c>
      <c r="F35" s="89" t="s">
        <v>480</v>
      </c>
      <c r="G35" s="90">
        <v>44226</v>
      </c>
      <c r="H35" s="90">
        <v>43566</v>
      </c>
      <c r="I35" s="91">
        <v>0</v>
      </c>
      <c r="J35" s="91">
        <v>0</v>
      </c>
      <c r="K35" s="91">
        <v>0</v>
      </c>
      <c r="L35" s="91">
        <v>0</v>
      </c>
      <c r="M35" s="91">
        <v>0</v>
      </c>
      <c r="N35" s="91">
        <v>0</v>
      </c>
      <c r="O35" s="91">
        <v>0</v>
      </c>
      <c r="P35" s="91">
        <v>0</v>
      </c>
      <c r="Q35" s="91">
        <v>0</v>
      </c>
      <c r="R35" s="91">
        <v>0</v>
      </c>
      <c r="S35" s="91">
        <v>0</v>
      </c>
      <c r="T35" s="91">
        <v>0</v>
      </c>
      <c r="U35" s="91">
        <v>0</v>
      </c>
      <c r="V35" s="91">
        <v>0</v>
      </c>
      <c r="W35" s="91">
        <v>0</v>
      </c>
      <c r="X35" s="91">
        <v>0</v>
      </c>
      <c r="Y35" s="91">
        <v>0</v>
      </c>
      <c r="Z35" s="92">
        <f t="shared" si="0"/>
        <v>0</v>
      </c>
    </row>
    <row r="36" spans="1:26" x14ac:dyDescent="0.2">
      <c r="A36" s="89" t="s">
        <v>995</v>
      </c>
      <c r="B36" s="89" t="s">
        <v>996</v>
      </c>
      <c r="C36" s="89">
        <v>100</v>
      </c>
      <c r="D36" s="89" t="s">
        <v>632</v>
      </c>
      <c r="E36" s="67">
        <v>370</v>
      </c>
      <c r="F36" s="89" t="s">
        <v>997</v>
      </c>
      <c r="G36" s="90">
        <v>44226</v>
      </c>
      <c r="H36" s="90">
        <v>43630</v>
      </c>
      <c r="I36" s="91">
        <v>616000</v>
      </c>
      <c r="J36" s="91">
        <v>0</v>
      </c>
      <c r="K36" s="91">
        <v>0</v>
      </c>
      <c r="L36" s="91">
        <v>0</v>
      </c>
      <c r="M36" s="91">
        <v>0</v>
      </c>
      <c r="N36" s="91">
        <v>0</v>
      </c>
      <c r="O36" s="91">
        <v>0</v>
      </c>
      <c r="P36" s="91">
        <v>0</v>
      </c>
      <c r="Q36" s="91">
        <v>0</v>
      </c>
      <c r="R36" s="91">
        <v>0</v>
      </c>
      <c r="S36" s="91">
        <v>0</v>
      </c>
      <c r="T36" s="91">
        <v>0</v>
      </c>
      <c r="U36" s="91">
        <v>0</v>
      </c>
      <c r="V36" s="91">
        <v>0</v>
      </c>
      <c r="W36" s="91">
        <v>0</v>
      </c>
      <c r="X36" s="91">
        <v>0</v>
      </c>
      <c r="Y36" s="91">
        <v>0</v>
      </c>
      <c r="Z36" s="92">
        <f t="shared" si="0"/>
        <v>0</v>
      </c>
    </row>
    <row r="37" spans="1:26" x14ac:dyDescent="0.2">
      <c r="A37" s="89" t="s">
        <v>1008</v>
      </c>
      <c r="B37" s="89" t="s">
        <v>1009</v>
      </c>
      <c r="C37" s="89">
        <v>100</v>
      </c>
      <c r="D37" s="89" t="s">
        <v>632</v>
      </c>
      <c r="E37" s="67">
        <v>25001</v>
      </c>
      <c r="F37" s="89" t="s">
        <v>1010</v>
      </c>
      <c r="G37" s="90">
        <v>0</v>
      </c>
      <c r="H37" s="90">
        <v>0</v>
      </c>
      <c r="I37" s="91">
        <v>0</v>
      </c>
      <c r="J37" s="91">
        <v>0</v>
      </c>
      <c r="K37" s="91">
        <v>0</v>
      </c>
      <c r="L37" s="91">
        <v>0</v>
      </c>
      <c r="M37" s="91">
        <v>0</v>
      </c>
      <c r="N37" s="91">
        <v>0</v>
      </c>
      <c r="O37" s="91">
        <v>0</v>
      </c>
      <c r="P37" s="91">
        <v>0</v>
      </c>
      <c r="Q37" s="91">
        <v>0</v>
      </c>
      <c r="R37" s="91">
        <v>0</v>
      </c>
      <c r="S37" s="91">
        <v>0</v>
      </c>
      <c r="T37" s="91">
        <v>0</v>
      </c>
      <c r="U37" s="91">
        <v>0</v>
      </c>
      <c r="V37" s="91">
        <v>0</v>
      </c>
      <c r="W37" s="91">
        <v>0</v>
      </c>
      <c r="X37" s="91">
        <v>0</v>
      </c>
      <c r="Y37" s="91">
        <v>0</v>
      </c>
      <c r="Z37" s="92">
        <f t="shared" si="0"/>
        <v>0</v>
      </c>
    </row>
    <row r="38" spans="1:26" x14ac:dyDescent="0.2">
      <c r="A38" s="89" t="s">
        <v>1011</v>
      </c>
      <c r="B38" s="89" t="s">
        <v>1012</v>
      </c>
      <c r="C38" s="89">
        <v>100</v>
      </c>
      <c r="D38" s="89" t="s">
        <v>632</v>
      </c>
      <c r="E38" s="67">
        <v>25011</v>
      </c>
      <c r="F38" s="89" t="s">
        <v>1010</v>
      </c>
      <c r="G38" s="90">
        <v>0</v>
      </c>
      <c r="H38" s="90">
        <v>0</v>
      </c>
      <c r="I38" s="91"/>
      <c r="J38" s="91">
        <v>0</v>
      </c>
      <c r="K38" s="91">
        <v>0</v>
      </c>
      <c r="L38" s="91">
        <v>0</v>
      </c>
      <c r="M38" s="91">
        <v>0</v>
      </c>
      <c r="N38" s="91">
        <v>0</v>
      </c>
      <c r="O38" s="91">
        <v>0</v>
      </c>
      <c r="P38" s="91">
        <v>0</v>
      </c>
      <c r="Q38" s="91">
        <v>0</v>
      </c>
      <c r="R38" s="91">
        <v>0</v>
      </c>
      <c r="S38" s="91">
        <v>0</v>
      </c>
      <c r="T38" s="91">
        <v>0</v>
      </c>
      <c r="U38" s="91">
        <v>0</v>
      </c>
      <c r="V38" s="91">
        <v>0</v>
      </c>
      <c r="W38" s="91">
        <v>0</v>
      </c>
      <c r="X38" s="91">
        <v>0</v>
      </c>
      <c r="Y38" s="91">
        <v>0</v>
      </c>
      <c r="Z38" s="92">
        <f t="shared" si="0"/>
        <v>0</v>
      </c>
    </row>
    <row r="39" spans="1:26" x14ac:dyDescent="0.2">
      <c r="A39" s="89" t="s">
        <v>986</v>
      </c>
      <c r="B39" s="89" t="s">
        <v>987</v>
      </c>
      <c r="C39" s="89">
        <v>100</v>
      </c>
      <c r="D39" s="89" t="s">
        <v>632</v>
      </c>
      <c r="E39" s="67">
        <v>360</v>
      </c>
      <c r="F39" s="89" t="s">
        <v>91</v>
      </c>
      <c r="G39" s="90">
        <v>44226</v>
      </c>
      <c r="H39" s="90">
        <v>43761</v>
      </c>
      <c r="I39" s="91">
        <v>0</v>
      </c>
      <c r="J39" s="91">
        <v>0</v>
      </c>
      <c r="K39" s="91">
        <v>0</v>
      </c>
      <c r="L39" s="91">
        <v>0</v>
      </c>
      <c r="M39" s="91">
        <v>0</v>
      </c>
      <c r="N39" s="91">
        <v>0</v>
      </c>
      <c r="O39" s="91">
        <v>0</v>
      </c>
      <c r="P39" s="91">
        <v>0</v>
      </c>
      <c r="Q39" s="91">
        <v>0</v>
      </c>
      <c r="R39" s="91">
        <v>7221.4400000000005</v>
      </c>
      <c r="S39" s="91">
        <v>0</v>
      </c>
      <c r="T39" s="91">
        <v>0</v>
      </c>
      <c r="U39" s="91">
        <v>7221.4400000000005</v>
      </c>
      <c r="V39" s="91">
        <v>-7221.4400000000005</v>
      </c>
      <c r="W39" s="91">
        <v>0</v>
      </c>
      <c r="X39" s="91">
        <v>0</v>
      </c>
      <c r="Y39" s="91">
        <v>0</v>
      </c>
      <c r="Z39" s="92">
        <f t="shared" si="0"/>
        <v>-7221.4400000000005</v>
      </c>
    </row>
    <row r="40" spans="1:26" x14ac:dyDescent="0.2">
      <c r="A40" s="89" t="s">
        <v>742</v>
      </c>
      <c r="B40" s="89" t="s">
        <v>743</v>
      </c>
      <c r="C40" s="89">
        <v>100</v>
      </c>
      <c r="D40" s="89" t="s">
        <v>632</v>
      </c>
      <c r="E40" s="67" t="s">
        <v>744</v>
      </c>
      <c r="F40" s="89" t="s">
        <v>745</v>
      </c>
      <c r="G40" s="90">
        <v>44830</v>
      </c>
      <c r="H40" s="90"/>
      <c r="I40" s="91">
        <v>13348000</v>
      </c>
      <c r="J40" s="91">
        <v>0</v>
      </c>
      <c r="K40" s="91">
        <v>0</v>
      </c>
      <c r="L40" s="91">
        <v>0</v>
      </c>
      <c r="M40" s="91">
        <v>0</v>
      </c>
      <c r="N40" s="91">
        <v>0</v>
      </c>
      <c r="O40" s="91">
        <v>0</v>
      </c>
      <c r="P40" s="91">
        <v>0</v>
      </c>
      <c r="Q40" s="91">
        <v>0</v>
      </c>
      <c r="R40" s="91">
        <v>0</v>
      </c>
      <c r="S40" s="91">
        <v>0</v>
      </c>
      <c r="T40" s="91">
        <v>0</v>
      </c>
      <c r="U40" s="91">
        <v>0</v>
      </c>
      <c r="V40" s="91">
        <v>0</v>
      </c>
      <c r="W40" s="91">
        <v>0</v>
      </c>
      <c r="X40" s="91">
        <v>0</v>
      </c>
      <c r="Y40" s="91">
        <v>0</v>
      </c>
      <c r="Z40" s="92">
        <f t="shared" si="0"/>
        <v>0</v>
      </c>
    </row>
    <row r="41" spans="1:26" x14ac:dyDescent="0.2">
      <c r="A41" s="89" t="s">
        <v>489</v>
      </c>
      <c r="B41" s="89" t="s">
        <v>490</v>
      </c>
      <c r="C41" s="89">
        <v>100</v>
      </c>
      <c r="D41" s="89" t="s">
        <v>632</v>
      </c>
      <c r="E41" s="67" t="s">
        <v>35</v>
      </c>
      <c r="F41" s="89" t="s">
        <v>36</v>
      </c>
      <c r="G41" s="90">
        <v>44226</v>
      </c>
      <c r="H41" s="90">
        <v>44012</v>
      </c>
      <c r="I41" s="91">
        <v>0</v>
      </c>
      <c r="J41" s="91">
        <v>0</v>
      </c>
      <c r="K41" s="91">
        <v>0</v>
      </c>
      <c r="L41" s="91">
        <v>0</v>
      </c>
      <c r="M41" s="91">
        <v>0</v>
      </c>
      <c r="N41" s="91">
        <v>0</v>
      </c>
      <c r="O41" s="91">
        <v>0</v>
      </c>
      <c r="P41" s="91">
        <v>0</v>
      </c>
      <c r="Q41" s="91">
        <v>0</v>
      </c>
      <c r="R41" s="91">
        <v>0</v>
      </c>
      <c r="S41" s="91">
        <v>0</v>
      </c>
      <c r="T41" s="91">
        <v>0</v>
      </c>
      <c r="U41" s="91">
        <v>0</v>
      </c>
      <c r="V41" s="91">
        <v>0</v>
      </c>
      <c r="W41" s="91">
        <v>0</v>
      </c>
      <c r="X41" s="91">
        <v>0</v>
      </c>
      <c r="Y41" s="91">
        <v>0</v>
      </c>
      <c r="Z41" s="92">
        <f t="shared" si="0"/>
        <v>0</v>
      </c>
    </row>
    <row r="42" spans="1:26" x14ac:dyDescent="0.2">
      <c r="A42" s="89" t="s">
        <v>1066</v>
      </c>
      <c r="B42" s="89" t="s">
        <v>300</v>
      </c>
      <c r="C42" s="89">
        <v>100</v>
      </c>
      <c r="D42" s="89" t="s">
        <v>632</v>
      </c>
      <c r="E42" s="67">
        <v>330</v>
      </c>
      <c r="F42" s="89" t="s">
        <v>49</v>
      </c>
      <c r="G42" s="90">
        <v>44226</v>
      </c>
      <c r="H42" s="90">
        <v>43941</v>
      </c>
      <c r="I42" s="91">
        <v>0</v>
      </c>
      <c r="J42" s="91">
        <v>0</v>
      </c>
      <c r="K42" s="91">
        <v>0</v>
      </c>
      <c r="L42" s="91">
        <v>0</v>
      </c>
      <c r="M42" s="91">
        <v>0</v>
      </c>
      <c r="N42" s="91">
        <v>0</v>
      </c>
      <c r="O42" s="91">
        <v>0</v>
      </c>
      <c r="P42" s="91">
        <v>0</v>
      </c>
      <c r="Q42" s="91">
        <v>0</v>
      </c>
      <c r="R42" s="91">
        <v>130993.87</v>
      </c>
      <c r="S42" s="91">
        <v>0</v>
      </c>
      <c r="T42" s="91">
        <v>0</v>
      </c>
      <c r="U42" s="91">
        <v>130993.87</v>
      </c>
      <c r="V42" s="91">
        <v>-130993.87</v>
      </c>
      <c r="W42" s="91">
        <v>0</v>
      </c>
      <c r="X42" s="91">
        <v>0</v>
      </c>
      <c r="Y42" s="91">
        <v>0</v>
      </c>
      <c r="Z42" s="92">
        <f t="shared" si="0"/>
        <v>-130993.87</v>
      </c>
    </row>
    <row r="43" spans="1:26" x14ac:dyDescent="0.2">
      <c r="A43" s="89" t="s">
        <v>1097</v>
      </c>
      <c r="B43" s="89" t="s">
        <v>1098</v>
      </c>
      <c r="C43" s="89">
        <v>100</v>
      </c>
      <c r="D43" s="89" t="s">
        <v>632</v>
      </c>
      <c r="E43" s="67" t="s">
        <v>166</v>
      </c>
      <c r="F43" s="89" t="s">
        <v>167</v>
      </c>
      <c r="G43" s="90">
        <v>45212</v>
      </c>
      <c r="H43" s="90"/>
      <c r="I43" s="91">
        <v>1554800</v>
      </c>
      <c r="J43" s="91">
        <v>0</v>
      </c>
      <c r="K43" s="91">
        <v>0</v>
      </c>
      <c r="L43" s="91">
        <v>143819.1</v>
      </c>
      <c r="M43" s="91">
        <v>0</v>
      </c>
      <c r="N43" s="91">
        <v>0</v>
      </c>
      <c r="O43" s="91">
        <v>143819.1</v>
      </c>
      <c r="P43" s="91">
        <v>0</v>
      </c>
      <c r="Q43" s="91">
        <v>0</v>
      </c>
      <c r="R43" s="91">
        <v>0</v>
      </c>
      <c r="S43" s="91">
        <v>64443.360000000001</v>
      </c>
      <c r="T43" s="91">
        <v>143522.28</v>
      </c>
      <c r="U43" s="91">
        <v>207965.64</v>
      </c>
      <c r="V43" s="91">
        <v>-64146.539999999994</v>
      </c>
      <c r="W43" s="91">
        <v>240.31</v>
      </c>
      <c r="X43" s="91">
        <v>0</v>
      </c>
      <c r="Y43" s="91">
        <v>240.31</v>
      </c>
      <c r="Z43" s="92">
        <f t="shared" si="0"/>
        <v>-64386.849999999991</v>
      </c>
    </row>
    <row r="44" spans="1:26" x14ac:dyDescent="0.2">
      <c r="A44" s="89" t="s">
        <v>1069</v>
      </c>
      <c r="B44" s="89" t="s">
        <v>1070</v>
      </c>
      <c r="C44" s="89">
        <v>100</v>
      </c>
      <c r="D44" s="89" t="s">
        <v>632</v>
      </c>
      <c r="E44" s="67" t="s">
        <v>166</v>
      </c>
      <c r="F44" s="89" t="s">
        <v>167</v>
      </c>
      <c r="G44" s="90">
        <v>45175</v>
      </c>
      <c r="H44" s="90"/>
      <c r="I44" s="91">
        <v>1030000</v>
      </c>
      <c r="J44" s="91">
        <v>0</v>
      </c>
      <c r="K44" s="91">
        <v>0</v>
      </c>
      <c r="L44" s="91">
        <v>3774.12</v>
      </c>
      <c r="M44" s="91">
        <v>0</v>
      </c>
      <c r="N44" s="91">
        <v>0</v>
      </c>
      <c r="O44" s="91">
        <v>3774.12</v>
      </c>
      <c r="P44" s="91">
        <v>0</v>
      </c>
      <c r="Q44" s="91">
        <v>0</v>
      </c>
      <c r="R44" s="91">
        <v>0</v>
      </c>
      <c r="S44" s="91">
        <v>19340.93</v>
      </c>
      <c r="T44" s="91">
        <v>49922.07</v>
      </c>
      <c r="U44" s="91">
        <v>69263</v>
      </c>
      <c r="V44" s="91">
        <v>-65488.880000000005</v>
      </c>
      <c r="W44" s="91">
        <v>0</v>
      </c>
      <c r="X44" s="91">
        <v>25278.620000000003</v>
      </c>
      <c r="Y44" s="91">
        <v>25278.620000000003</v>
      </c>
      <c r="Z44" s="92">
        <f t="shared" si="0"/>
        <v>-90767.5</v>
      </c>
    </row>
    <row r="45" spans="1:26" x14ac:dyDescent="0.2">
      <c r="A45" s="89" t="s">
        <v>1091</v>
      </c>
      <c r="B45" s="89" t="s">
        <v>1092</v>
      </c>
      <c r="C45" s="89">
        <v>100</v>
      </c>
      <c r="D45" s="89" t="s">
        <v>632</v>
      </c>
      <c r="E45" s="67">
        <v>330</v>
      </c>
      <c r="F45" s="89" t="s">
        <v>49</v>
      </c>
      <c r="G45" s="90">
        <v>45086</v>
      </c>
      <c r="H45" s="90"/>
      <c r="I45" s="91">
        <v>589600</v>
      </c>
      <c r="J45" s="91">
        <v>598527.16</v>
      </c>
      <c r="K45" s="91">
        <v>0</v>
      </c>
      <c r="L45" s="91">
        <v>0</v>
      </c>
      <c r="M45" s="91">
        <v>0</v>
      </c>
      <c r="N45" s="91">
        <v>0</v>
      </c>
      <c r="O45" s="91">
        <v>598527.16</v>
      </c>
      <c r="P45" s="91">
        <v>574816</v>
      </c>
      <c r="Q45" s="91">
        <v>0</v>
      </c>
      <c r="R45" s="91">
        <v>0</v>
      </c>
      <c r="S45" s="91">
        <v>0</v>
      </c>
      <c r="T45" s="91">
        <v>0</v>
      </c>
      <c r="U45" s="91">
        <v>574816</v>
      </c>
      <c r="V45" s="91">
        <v>23711.160000000033</v>
      </c>
      <c r="W45" s="91">
        <v>0</v>
      </c>
      <c r="X45" s="91">
        <v>127.34</v>
      </c>
      <c r="Y45" s="91">
        <v>127.34</v>
      </c>
      <c r="Z45" s="92">
        <f t="shared" si="0"/>
        <v>23583.820000000032</v>
      </c>
    </row>
    <row r="46" spans="1:26" x14ac:dyDescent="0.2">
      <c r="A46" s="89" t="s">
        <v>1058</v>
      </c>
      <c r="B46" s="89" t="s">
        <v>1059</v>
      </c>
      <c r="C46" s="89">
        <v>100</v>
      </c>
      <c r="D46" s="89" t="s">
        <v>632</v>
      </c>
      <c r="E46" s="67">
        <v>330</v>
      </c>
      <c r="F46" s="89" t="s">
        <v>49</v>
      </c>
      <c r="G46" s="90">
        <v>45247</v>
      </c>
      <c r="H46" s="90"/>
      <c r="I46" s="91">
        <v>690000</v>
      </c>
      <c r="J46" s="91">
        <v>19859.55</v>
      </c>
      <c r="K46" s="91">
        <v>0</v>
      </c>
      <c r="L46" s="91">
        <v>4825.47</v>
      </c>
      <c r="M46" s="91">
        <v>0</v>
      </c>
      <c r="N46" s="91">
        <v>0</v>
      </c>
      <c r="O46" s="91">
        <v>24685.02</v>
      </c>
      <c r="P46" s="91">
        <v>9130</v>
      </c>
      <c r="Q46" s="91">
        <v>0</v>
      </c>
      <c r="R46" s="91">
        <v>388.01</v>
      </c>
      <c r="S46" s="91">
        <v>0</v>
      </c>
      <c r="T46" s="91">
        <v>12263.689999999999</v>
      </c>
      <c r="U46" s="91">
        <v>21781.7</v>
      </c>
      <c r="V46" s="91">
        <v>2903.3200000000011</v>
      </c>
      <c r="W46" s="91">
        <v>0</v>
      </c>
      <c r="X46" s="91">
        <v>975.2</v>
      </c>
      <c r="Y46" s="91">
        <v>975.2</v>
      </c>
      <c r="Z46" s="92">
        <f t="shared" si="0"/>
        <v>1928.120000000001</v>
      </c>
    </row>
    <row r="47" spans="1:26" x14ac:dyDescent="0.2">
      <c r="A47" s="89" t="s">
        <v>1099</v>
      </c>
      <c r="B47" s="89" t="s">
        <v>1100</v>
      </c>
      <c r="C47" s="89">
        <v>100</v>
      </c>
      <c r="D47" s="89" t="s">
        <v>632</v>
      </c>
      <c r="E47" s="67" t="s">
        <v>166</v>
      </c>
      <c r="F47" s="89" t="s">
        <v>167</v>
      </c>
      <c r="G47" s="90">
        <v>45212</v>
      </c>
      <c r="H47" s="90"/>
      <c r="I47" s="91">
        <v>188500</v>
      </c>
      <c r="J47" s="91">
        <v>139224.13</v>
      </c>
      <c r="K47" s="91">
        <v>0</v>
      </c>
      <c r="L47" s="91">
        <v>33402.65</v>
      </c>
      <c r="M47" s="91">
        <v>11455.74</v>
      </c>
      <c r="N47" s="91">
        <v>0</v>
      </c>
      <c r="O47" s="91">
        <v>184082.52000000002</v>
      </c>
      <c r="P47" s="91">
        <v>146681.03</v>
      </c>
      <c r="Q47" s="91">
        <v>0</v>
      </c>
      <c r="R47" s="91">
        <v>0</v>
      </c>
      <c r="S47" s="91">
        <v>26407.66</v>
      </c>
      <c r="T47" s="91">
        <v>5903.83</v>
      </c>
      <c r="U47" s="91">
        <v>178992.52</v>
      </c>
      <c r="V47" s="91">
        <v>5090.0000000000146</v>
      </c>
      <c r="W47" s="91">
        <v>0</v>
      </c>
      <c r="X47" s="91">
        <v>0</v>
      </c>
      <c r="Y47" s="91">
        <v>0</v>
      </c>
      <c r="Z47" s="92">
        <f t="shared" si="0"/>
        <v>5090.0000000000146</v>
      </c>
    </row>
    <row r="48" spans="1:26" x14ac:dyDescent="0.2">
      <c r="A48" s="89" t="s">
        <v>1119</v>
      </c>
      <c r="B48" s="89">
        <v>668</v>
      </c>
      <c r="C48" s="89">
        <v>100</v>
      </c>
      <c r="D48" s="89" t="s">
        <v>632</v>
      </c>
      <c r="E48" s="67" t="s">
        <v>1032</v>
      </c>
      <c r="F48" s="89" t="s">
        <v>1033</v>
      </c>
      <c r="G48" s="90">
        <v>45282</v>
      </c>
      <c r="H48" s="90"/>
      <c r="I48" s="91">
        <v>1140000</v>
      </c>
      <c r="J48" s="91">
        <v>999025.87</v>
      </c>
      <c r="K48" s="91">
        <v>0</v>
      </c>
      <c r="L48" s="91">
        <v>33272.32</v>
      </c>
      <c r="M48" s="91">
        <v>0</v>
      </c>
      <c r="N48" s="91">
        <v>0</v>
      </c>
      <c r="O48" s="91">
        <v>1032298.19</v>
      </c>
      <c r="P48" s="91">
        <v>1063793.1100000001</v>
      </c>
      <c r="Q48" s="91">
        <v>0</v>
      </c>
      <c r="R48" s="91">
        <v>2810.7</v>
      </c>
      <c r="S48" s="91">
        <v>7096.5599999999995</v>
      </c>
      <c r="T48" s="91">
        <v>43775.839999999997</v>
      </c>
      <c r="U48" s="91">
        <v>1117476.21</v>
      </c>
      <c r="V48" s="91">
        <v>-85178.01999999996</v>
      </c>
      <c r="W48" s="91">
        <v>0</v>
      </c>
      <c r="X48" s="91">
        <v>0</v>
      </c>
      <c r="Y48" s="91">
        <v>0</v>
      </c>
      <c r="Z48" s="92">
        <f t="shared" si="0"/>
        <v>-85178.01999999996</v>
      </c>
    </row>
    <row r="49" spans="1:26" x14ac:dyDescent="0.2">
      <c r="A49" s="89" t="s">
        <v>1274</v>
      </c>
      <c r="B49" s="89" t="s">
        <v>1275</v>
      </c>
      <c r="C49" s="89">
        <v>100</v>
      </c>
      <c r="D49" s="89" t="s">
        <v>632</v>
      </c>
      <c r="E49" s="67">
        <v>330</v>
      </c>
      <c r="F49" s="89" t="s">
        <v>49</v>
      </c>
      <c r="G49" s="90">
        <v>44226</v>
      </c>
      <c r="H49" s="90">
        <v>44209</v>
      </c>
      <c r="I49" s="91">
        <v>0</v>
      </c>
      <c r="J49" s="91">
        <v>0</v>
      </c>
      <c r="K49" s="91">
        <v>0</v>
      </c>
      <c r="L49" s="91">
        <v>0</v>
      </c>
      <c r="M49" s="91">
        <v>0</v>
      </c>
      <c r="N49" s="91">
        <v>0</v>
      </c>
      <c r="O49" s="91">
        <v>0</v>
      </c>
      <c r="P49" s="91">
        <v>0</v>
      </c>
      <c r="Q49" s="91">
        <v>0</v>
      </c>
      <c r="R49" s="91">
        <v>7923.7199999999993</v>
      </c>
      <c r="S49" s="91">
        <v>0</v>
      </c>
      <c r="T49" s="91">
        <v>0</v>
      </c>
      <c r="U49" s="91">
        <v>7923.7199999999993</v>
      </c>
      <c r="V49" s="91">
        <v>-7923.7199999999993</v>
      </c>
      <c r="W49" s="91">
        <v>0</v>
      </c>
      <c r="X49" s="91">
        <v>0</v>
      </c>
      <c r="Y49" s="91">
        <v>0</v>
      </c>
      <c r="Z49" s="92">
        <f t="shared" si="0"/>
        <v>-7923.7199999999993</v>
      </c>
    </row>
    <row r="50" spans="1:26" x14ac:dyDescent="0.2">
      <c r="A50" s="89" t="s">
        <v>1255</v>
      </c>
      <c r="B50" s="89" t="s">
        <v>1256</v>
      </c>
      <c r="C50" s="89">
        <v>100</v>
      </c>
      <c r="D50" s="89" t="s">
        <v>632</v>
      </c>
      <c r="E50" s="67">
        <v>330</v>
      </c>
      <c r="F50" s="89" t="s">
        <v>49</v>
      </c>
      <c r="G50" s="90">
        <v>45286</v>
      </c>
      <c r="H50" s="90"/>
      <c r="I50" s="91">
        <v>4360000</v>
      </c>
      <c r="J50" s="91">
        <v>0</v>
      </c>
      <c r="K50" s="91">
        <v>0</v>
      </c>
      <c r="L50" s="91">
        <v>0</v>
      </c>
      <c r="M50" s="91">
        <v>0</v>
      </c>
      <c r="N50" s="91">
        <v>0</v>
      </c>
      <c r="O50" s="91">
        <v>0</v>
      </c>
      <c r="P50" s="91">
        <v>0</v>
      </c>
      <c r="Q50" s="91">
        <v>0</v>
      </c>
      <c r="R50" s="91">
        <v>0</v>
      </c>
      <c r="S50" s="91">
        <v>34720.17</v>
      </c>
      <c r="T50" s="91">
        <v>79894.570000000007</v>
      </c>
      <c r="U50" s="91">
        <v>114614.74</v>
      </c>
      <c r="V50" s="91">
        <v>-114614.74</v>
      </c>
      <c r="W50" s="91">
        <v>0</v>
      </c>
      <c r="X50" s="91">
        <v>3858.2200000000003</v>
      </c>
      <c r="Y50" s="91">
        <v>3858.2200000000003</v>
      </c>
      <c r="Z50" s="92">
        <f t="shared" si="0"/>
        <v>-118472.96000000001</v>
      </c>
    </row>
    <row r="51" spans="1:26" x14ac:dyDescent="0.2">
      <c r="A51" s="89" t="s">
        <v>94</v>
      </c>
      <c r="B51" s="89" t="s">
        <v>95</v>
      </c>
      <c r="C51" s="89">
        <v>100</v>
      </c>
      <c r="D51" s="89" t="s">
        <v>632</v>
      </c>
      <c r="E51" s="67" t="s">
        <v>96</v>
      </c>
      <c r="F51" s="89" t="s">
        <v>97</v>
      </c>
      <c r="G51" s="90">
        <v>44546</v>
      </c>
      <c r="H51" s="90"/>
      <c r="I51" s="91">
        <v>1147800</v>
      </c>
      <c r="J51" s="91">
        <v>0</v>
      </c>
      <c r="K51" s="91">
        <v>0</v>
      </c>
      <c r="L51" s="91">
        <v>0</v>
      </c>
      <c r="M51" s="91">
        <v>0</v>
      </c>
      <c r="N51" s="91">
        <v>0</v>
      </c>
      <c r="O51" s="91">
        <v>0</v>
      </c>
      <c r="P51" s="91">
        <v>0</v>
      </c>
      <c r="Q51" s="91">
        <v>0</v>
      </c>
      <c r="R51" s="91">
        <v>0</v>
      </c>
      <c r="S51" s="91">
        <v>1641.98</v>
      </c>
      <c r="T51" s="91">
        <v>0</v>
      </c>
      <c r="U51" s="91">
        <v>1641.98</v>
      </c>
      <c r="V51" s="91">
        <v>-1641.98</v>
      </c>
      <c r="W51" s="91">
        <v>0</v>
      </c>
      <c r="X51" s="91">
        <v>0</v>
      </c>
      <c r="Y51" s="91">
        <v>0</v>
      </c>
      <c r="Z51" s="92">
        <f t="shared" si="0"/>
        <v>-1641.98</v>
      </c>
    </row>
    <row r="52" spans="1:26" x14ac:dyDescent="0.2">
      <c r="A52" s="89" t="s">
        <v>1382</v>
      </c>
      <c r="B52" s="89" t="s">
        <v>1383</v>
      </c>
      <c r="C52" s="89">
        <v>100</v>
      </c>
      <c r="D52" s="89" t="s">
        <v>632</v>
      </c>
      <c r="E52" s="67" t="s">
        <v>705</v>
      </c>
      <c r="F52" s="89" t="s">
        <v>706</v>
      </c>
      <c r="G52" s="90">
        <v>44825</v>
      </c>
      <c r="H52" s="90"/>
      <c r="I52" s="91">
        <v>353000</v>
      </c>
      <c r="J52" s="91">
        <v>250594.94</v>
      </c>
      <c r="K52" s="91">
        <v>0</v>
      </c>
      <c r="L52" s="91">
        <v>0</v>
      </c>
      <c r="M52" s="91">
        <v>0</v>
      </c>
      <c r="N52" s="91">
        <v>0</v>
      </c>
      <c r="O52" s="91">
        <v>250594.94</v>
      </c>
      <c r="P52" s="91">
        <v>340884.57</v>
      </c>
      <c r="Q52" s="91">
        <v>0</v>
      </c>
      <c r="R52" s="91">
        <v>0</v>
      </c>
      <c r="S52" s="91">
        <v>0</v>
      </c>
      <c r="T52" s="91">
        <v>0</v>
      </c>
      <c r="U52" s="91">
        <v>340884.57</v>
      </c>
      <c r="V52" s="91">
        <v>-90289.63</v>
      </c>
      <c r="W52" s="91">
        <v>0</v>
      </c>
      <c r="X52" s="91">
        <v>0</v>
      </c>
      <c r="Y52" s="91">
        <v>0</v>
      </c>
      <c r="Z52" s="92">
        <f t="shared" si="0"/>
        <v>-90289.63</v>
      </c>
    </row>
    <row r="53" spans="1:26" x14ac:dyDescent="0.2">
      <c r="A53" s="89" t="s">
        <v>1380</v>
      </c>
      <c r="B53" s="89" t="s">
        <v>1381</v>
      </c>
      <c r="C53" s="89">
        <v>100</v>
      </c>
      <c r="D53" s="89" t="s">
        <v>632</v>
      </c>
      <c r="E53" s="67" t="s">
        <v>845</v>
      </c>
      <c r="F53" s="89" t="s">
        <v>846</v>
      </c>
      <c r="G53" s="90">
        <v>45371</v>
      </c>
      <c r="H53" s="90"/>
      <c r="I53" s="91">
        <v>316008</v>
      </c>
      <c r="J53" s="91">
        <v>0</v>
      </c>
      <c r="K53" s="91">
        <v>0</v>
      </c>
      <c r="L53" s="91">
        <v>0</v>
      </c>
      <c r="M53" s="91">
        <v>0</v>
      </c>
      <c r="N53" s="91">
        <v>0</v>
      </c>
      <c r="O53" s="91">
        <v>0</v>
      </c>
      <c r="P53" s="91">
        <v>0</v>
      </c>
      <c r="Q53" s="91">
        <v>0</v>
      </c>
      <c r="R53" s="91">
        <v>0</v>
      </c>
      <c r="S53" s="91">
        <v>0</v>
      </c>
      <c r="T53" s="91">
        <v>24030.71</v>
      </c>
      <c r="U53" s="91">
        <v>24030.71</v>
      </c>
      <c r="V53" s="91">
        <v>-24030.71</v>
      </c>
      <c r="W53" s="91">
        <v>0</v>
      </c>
      <c r="X53" s="91">
        <v>0</v>
      </c>
      <c r="Y53" s="91">
        <v>0</v>
      </c>
      <c r="Z53" s="92">
        <f t="shared" si="0"/>
        <v>-24030.71</v>
      </c>
    </row>
    <row r="54" spans="1:26" x14ac:dyDescent="0.2">
      <c r="A54" s="89" t="s">
        <v>1417</v>
      </c>
      <c r="B54" s="89" t="s">
        <v>1418</v>
      </c>
      <c r="C54" s="89">
        <v>100</v>
      </c>
      <c r="D54" s="89" t="s">
        <v>1455</v>
      </c>
      <c r="E54" s="67" t="s">
        <v>166</v>
      </c>
      <c r="F54" s="89" t="s">
        <v>167</v>
      </c>
      <c r="G54" s="90">
        <v>45435</v>
      </c>
      <c r="H54" s="90"/>
      <c r="I54" s="91">
        <v>1480000</v>
      </c>
      <c r="J54" s="91">
        <v>0</v>
      </c>
      <c r="K54" s="91">
        <v>0</v>
      </c>
      <c r="L54" s="91">
        <v>0</v>
      </c>
      <c r="M54" s="91">
        <v>0</v>
      </c>
      <c r="N54" s="91">
        <v>0</v>
      </c>
      <c r="O54" s="91">
        <v>0</v>
      </c>
      <c r="P54" s="91">
        <v>0</v>
      </c>
      <c r="Q54" s="91">
        <v>0</v>
      </c>
      <c r="R54" s="91">
        <v>0</v>
      </c>
      <c r="S54" s="91">
        <v>0</v>
      </c>
      <c r="T54" s="91">
        <v>771.73</v>
      </c>
      <c r="U54" s="91">
        <v>771.73</v>
      </c>
      <c r="V54" s="91">
        <v>-771.73</v>
      </c>
      <c r="W54" s="91">
        <v>0</v>
      </c>
      <c r="X54" s="91">
        <v>0</v>
      </c>
      <c r="Y54" s="91">
        <v>0</v>
      </c>
      <c r="Z54" s="92">
        <f t="shared" si="0"/>
        <v>-771.73</v>
      </c>
    </row>
    <row r="55" spans="1:26" x14ac:dyDescent="0.2">
      <c r="A55" s="89" t="s">
        <v>1419</v>
      </c>
      <c r="B55" s="89" t="s">
        <v>1420</v>
      </c>
      <c r="C55" s="89">
        <v>100</v>
      </c>
      <c r="D55" s="89" t="s">
        <v>1455</v>
      </c>
      <c r="E55" s="67" t="s">
        <v>166</v>
      </c>
      <c r="F55" s="89" t="s">
        <v>167</v>
      </c>
      <c r="G55" s="90">
        <v>45442</v>
      </c>
      <c r="H55" s="90"/>
      <c r="I55" s="91">
        <v>1790000</v>
      </c>
      <c r="J55" s="91">
        <v>0</v>
      </c>
      <c r="K55" s="91">
        <v>0</v>
      </c>
      <c r="L55" s="91">
        <v>0</v>
      </c>
      <c r="M55" s="91">
        <v>0</v>
      </c>
      <c r="N55" s="91">
        <v>0</v>
      </c>
      <c r="O55" s="91">
        <v>0</v>
      </c>
      <c r="P55" s="91">
        <v>0</v>
      </c>
      <c r="Q55" s="91">
        <v>0</v>
      </c>
      <c r="R55" s="91">
        <v>0</v>
      </c>
      <c r="S55" s="91">
        <v>0</v>
      </c>
      <c r="T55" s="91">
        <v>92.88</v>
      </c>
      <c r="U55" s="91">
        <v>92.88</v>
      </c>
      <c r="V55" s="91">
        <v>-92.88</v>
      </c>
      <c r="W55" s="91">
        <v>0</v>
      </c>
      <c r="X55" s="91">
        <v>0</v>
      </c>
      <c r="Y55" s="91">
        <v>0</v>
      </c>
      <c r="Z55" s="92">
        <f t="shared" si="0"/>
        <v>-92.88</v>
      </c>
    </row>
    <row r="56" spans="1:26" x14ac:dyDescent="0.2">
      <c r="A56" s="89" t="s">
        <v>1431</v>
      </c>
      <c r="B56" s="89" t="s">
        <v>1432</v>
      </c>
      <c r="C56" s="89">
        <v>100</v>
      </c>
      <c r="D56" s="89" t="s">
        <v>1455</v>
      </c>
      <c r="E56" s="67" t="s">
        <v>114</v>
      </c>
      <c r="F56" s="89" t="s">
        <v>115</v>
      </c>
      <c r="G56" s="90">
        <v>44799</v>
      </c>
      <c r="H56" s="90"/>
      <c r="I56" s="91">
        <v>0</v>
      </c>
      <c r="J56" s="91">
        <v>0</v>
      </c>
      <c r="K56" s="91">
        <v>0</v>
      </c>
      <c r="L56" s="91">
        <v>424.83</v>
      </c>
      <c r="M56" s="91">
        <v>0</v>
      </c>
      <c r="N56" s="91">
        <v>0</v>
      </c>
      <c r="O56" s="91">
        <v>424.83</v>
      </c>
      <c r="P56" s="91">
        <v>0</v>
      </c>
      <c r="Q56" s="91">
        <v>0</v>
      </c>
      <c r="R56" s="91">
        <v>0</v>
      </c>
      <c r="S56" s="91">
        <v>0</v>
      </c>
      <c r="T56" s="91">
        <v>0</v>
      </c>
      <c r="U56" s="91">
        <v>0</v>
      </c>
      <c r="V56" s="91">
        <v>424.83</v>
      </c>
      <c r="W56" s="91">
        <v>0</v>
      </c>
      <c r="X56" s="91">
        <v>0</v>
      </c>
      <c r="Y56" s="91">
        <v>0</v>
      </c>
      <c r="Z56" s="92">
        <f t="shared" si="0"/>
        <v>424.83</v>
      </c>
    </row>
    <row r="57" spans="1:26" x14ac:dyDescent="0.2">
      <c r="A57" s="89" t="s">
        <v>853</v>
      </c>
      <c r="B57" s="89"/>
      <c r="C57" s="89">
        <v>100</v>
      </c>
      <c r="D57" s="89" t="s">
        <v>632</v>
      </c>
      <c r="E57" s="67"/>
      <c r="F57" s="89"/>
      <c r="G57" s="90"/>
      <c r="H57" s="90"/>
      <c r="I57" s="91">
        <v>0</v>
      </c>
      <c r="J57" s="91">
        <v>0</v>
      </c>
      <c r="K57" s="91">
        <v>0</v>
      </c>
      <c r="L57" s="91">
        <v>0</v>
      </c>
      <c r="M57" s="91">
        <v>0</v>
      </c>
      <c r="N57" s="91">
        <v>0</v>
      </c>
      <c r="O57" s="91">
        <v>0</v>
      </c>
      <c r="P57" s="91">
        <v>0</v>
      </c>
      <c r="Q57" s="91">
        <v>0</v>
      </c>
      <c r="R57" s="91">
        <v>0</v>
      </c>
      <c r="S57" s="91">
        <v>0</v>
      </c>
      <c r="T57" s="91">
        <v>0</v>
      </c>
      <c r="U57" s="91">
        <v>0</v>
      </c>
      <c r="V57" s="91">
        <v>0</v>
      </c>
      <c r="W57" s="91">
        <v>0</v>
      </c>
      <c r="X57" s="91">
        <v>0</v>
      </c>
      <c r="Y57" s="91">
        <v>0</v>
      </c>
      <c r="Z57" s="92">
        <f t="shared" si="0"/>
        <v>0</v>
      </c>
    </row>
    <row r="58" spans="1:26" s="100" customFormat="1" x14ac:dyDescent="0.2">
      <c r="A58" s="93" t="s">
        <v>622</v>
      </c>
      <c r="B58" s="93"/>
      <c r="C58" s="93"/>
      <c r="D58" s="93"/>
      <c r="E58" s="94"/>
      <c r="F58" s="93"/>
      <c r="G58" s="93"/>
      <c r="H58" s="93"/>
      <c r="I58" s="93">
        <f t="shared" ref="I58:Y58" si="1">SUM(I4:I57)</f>
        <v>244645926.80000001</v>
      </c>
      <c r="J58" s="95">
        <f t="shared" si="1"/>
        <v>8576083.8100000005</v>
      </c>
      <c r="K58" s="95">
        <f t="shared" si="1"/>
        <v>0</v>
      </c>
      <c r="L58" s="95">
        <f t="shared" si="1"/>
        <v>228148.73</v>
      </c>
      <c r="M58" s="95">
        <f t="shared" si="1"/>
        <v>11455.74</v>
      </c>
      <c r="N58" s="95">
        <f t="shared" si="1"/>
        <v>2863.94</v>
      </c>
      <c r="O58" s="96">
        <f t="shared" si="1"/>
        <v>8818552.2199999988</v>
      </c>
      <c r="P58" s="95">
        <f t="shared" si="1"/>
        <v>9574280.1608695649</v>
      </c>
      <c r="Q58" s="95">
        <f t="shared" si="1"/>
        <v>0</v>
      </c>
      <c r="R58" s="95">
        <f t="shared" si="1"/>
        <v>408021.25</v>
      </c>
      <c r="S58" s="97">
        <f t="shared" si="1"/>
        <v>224225.78</v>
      </c>
      <c r="T58" s="97">
        <f t="shared" si="1"/>
        <v>531426.97000000009</v>
      </c>
      <c r="U58" s="98">
        <f t="shared" si="1"/>
        <v>10737954.16086957</v>
      </c>
      <c r="V58" s="99">
        <f t="shared" si="1"/>
        <v>-1919401.9408695651</v>
      </c>
      <c r="W58" s="95">
        <f t="shared" si="1"/>
        <v>240.31</v>
      </c>
      <c r="X58" s="95">
        <f t="shared" si="1"/>
        <v>161382.72</v>
      </c>
      <c r="Y58" s="96">
        <f t="shared" si="1"/>
        <v>161623.03</v>
      </c>
      <c r="Z58" s="122">
        <f t="shared" si="0"/>
        <v>-2081024.9708695651</v>
      </c>
    </row>
  </sheetData>
  <autoFilter ref="A3:Y58" xr:uid="{00000000-0009-0000-0000-000003000000}"/>
  <phoneticPr fontId="3" type="noConversion"/>
  <conditionalFormatting sqref="A1">
    <cfRule type="duplicateValues" dxfId="64" priority="3"/>
  </conditionalFormatting>
  <conditionalFormatting sqref="A19:A25">
    <cfRule type="duplicateValues" dxfId="63" priority="7"/>
  </conditionalFormatting>
  <conditionalFormatting sqref="A26:A57">
    <cfRule type="duplicateValues" dxfId="62" priority="53"/>
  </conditionalFormatting>
  <conditionalFormatting sqref="A58">
    <cfRule type="duplicateValues" dxfId="61" priority="1"/>
  </conditionalFormatting>
  <conditionalFormatting sqref="A172">
    <cfRule type="duplicateValues" dxfId="60" priority="5"/>
  </conditionalFormatting>
  <conditionalFormatting sqref="A173:A1048576 A2:A18 A59:A171">
    <cfRule type="duplicateValues" dxfId="59" priority="6"/>
  </conditionalFormatting>
  <pageMargins left="0.7" right="0.7" top="0.75" bottom="0.75" header="0.3" footer="0.3"/>
  <pageSetup paperSize="9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43"/>
  <sheetViews>
    <sheetView workbookViewId="0">
      <pane ySplit="2" topLeftCell="A18" activePane="bottomLeft" state="frozen"/>
      <selection activeCell="Z3" sqref="Z3:Z43"/>
      <selection pane="bottomLeft" sqref="A1:XFD1048576"/>
    </sheetView>
  </sheetViews>
  <sheetFormatPr defaultRowHeight="12" x14ac:dyDescent="0.15"/>
  <cols>
    <col min="1" max="4" width="9.140625" style="14"/>
    <col min="5" max="5" width="7.5703125" style="24" customWidth="1"/>
    <col min="6" max="6" width="9.140625" style="14"/>
    <col min="7" max="8" width="13.28515625" style="31" bestFit="1" customWidth="1"/>
    <col min="9" max="9" width="20" style="2" bestFit="1" customWidth="1"/>
    <col min="10" max="10" width="18.7109375" style="2" bestFit="1" customWidth="1"/>
    <col min="11" max="11" width="15" style="2" bestFit="1" customWidth="1"/>
    <col min="12" max="13" width="16.140625" style="2" bestFit="1" customWidth="1"/>
    <col min="14" max="14" width="17.42578125" style="2" bestFit="1" customWidth="1"/>
    <col min="15" max="16" width="18.7109375" style="2" bestFit="1" customWidth="1"/>
    <col min="17" max="17" width="15" style="2" bestFit="1" customWidth="1"/>
    <col min="18" max="18" width="16.140625" style="2" bestFit="1" customWidth="1"/>
    <col min="19" max="19" width="17.28515625" style="2" bestFit="1" customWidth="1"/>
    <col min="20" max="20" width="16.140625" style="2" bestFit="1" customWidth="1"/>
    <col min="21" max="21" width="18.7109375" style="2" bestFit="1" customWidth="1"/>
    <col min="22" max="22" width="20" style="2" bestFit="1" customWidth="1"/>
    <col min="23" max="23" width="19.85546875" style="2" bestFit="1" customWidth="1"/>
    <col min="24" max="24" width="17.42578125" style="2" bestFit="1" customWidth="1"/>
    <col min="25" max="25" width="16.140625" style="2" bestFit="1" customWidth="1"/>
    <col min="26" max="16384" width="9.140625" style="14"/>
  </cols>
  <sheetData>
    <row r="1" spans="1:25" s="62" customFormat="1" ht="29.25" customHeight="1" thickBot="1" x14ac:dyDescent="0.25">
      <c r="A1" s="58" t="s">
        <v>1199</v>
      </c>
      <c r="B1" s="58"/>
      <c r="C1" s="16"/>
      <c r="D1" s="58"/>
      <c r="E1" s="58"/>
      <c r="F1" s="58"/>
      <c r="G1" s="59"/>
      <c r="H1" s="59"/>
      <c r="I1" s="60"/>
      <c r="J1" s="60"/>
      <c r="K1" s="60"/>
      <c r="L1" s="60"/>
      <c r="M1" s="60"/>
      <c r="N1" s="60"/>
      <c r="O1" s="60"/>
      <c r="P1" s="60"/>
      <c r="Q1" s="60"/>
      <c r="R1" s="60"/>
      <c r="S1" s="60"/>
      <c r="T1" s="60"/>
      <c r="U1" s="60"/>
      <c r="V1" s="60"/>
      <c r="W1" s="60"/>
      <c r="X1" s="61"/>
      <c r="Y1" s="61"/>
    </row>
    <row r="2" spans="1:25" s="16" customFormat="1" ht="14.25" customHeight="1" x14ac:dyDescent="0.2">
      <c r="A2" s="15" t="s">
        <v>576</v>
      </c>
      <c r="B2" s="15" t="s">
        <v>577</v>
      </c>
      <c r="C2" s="15" t="s">
        <v>599</v>
      </c>
      <c r="D2" s="15" t="s">
        <v>600</v>
      </c>
      <c r="E2" s="21" t="s">
        <v>578</v>
      </c>
      <c r="F2" s="15" t="s">
        <v>579</v>
      </c>
      <c r="G2" s="29" t="s">
        <v>580</v>
      </c>
      <c r="H2" s="29" t="s">
        <v>581</v>
      </c>
      <c r="I2" s="32" t="s">
        <v>582</v>
      </c>
      <c r="J2" s="32" t="s">
        <v>583</v>
      </c>
      <c r="K2" s="32" t="s">
        <v>584</v>
      </c>
      <c r="L2" s="32" t="s">
        <v>585</v>
      </c>
      <c r="M2" s="32" t="s">
        <v>586</v>
      </c>
      <c r="N2" s="32" t="s">
        <v>633</v>
      </c>
      <c r="O2" s="33" t="s">
        <v>588</v>
      </c>
      <c r="P2" s="32" t="s">
        <v>634</v>
      </c>
      <c r="Q2" s="32" t="s">
        <v>590</v>
      </c>
      <c r="R2" s="32" t="s">
        <v>635</v>
      </c>
      <c r="S2" s="32" t="s">
        <v>636</v>
      </c>
      <c r="T2" s="32" t="s">
        <v>593</v>
      </c>
      <c r="U2" s="33" t="s">
        <v>594</v>
      </c>
      <c r="V2" s="33" t="s">
        <v>595</v>
      </c>
      <c r="W2" s="32" t="s">
        <v>628</v>
      </c>
      <c r="X2" s="32" t="s">
        <v>597</v>
      </c>
      <c r="Y2" s="32" t="s">
        <v>598</v>
      </c>
    </row>
    <row r="3" spans="1:25" s="16" customFormat="1" ht="15.75" customHeight="1" x14ac:dyDescent="0.2">
      <c r="A3" s="17" t="s">
        <v>854</v>
      </c>
      <c r="B3" s="18" t="s">
        <v>434</v>
      </c>
      <c r="C3" s="18">
        <v>601</v>
      </c>
      <c r="D3" s="18" t="s">
        <v>857</v>
      </c>
      <c r="E3" s="22">
        <v>293</v>
      </c>
      <c r="F3" s="18" t="s">
        <v>858</v>
      </c>
      <c r="G3" s="65">
        <v>44226</v>
      </c>
      <c r="H3" s="65">
        <v>43717</v>
      </c>
      <c r="I3" s="27">
        <v>0</v>
      </c>
      <c r="J3" s="27">
        <v>0</v>
      </c>
      <c r="K3" s="27">
        <v>0</v>
      </c>
      <c r="L3" s="27">
        <v>0</v>
      </c>
      <c r="M3" s="27">
        <v>0</v>
      </c>
      <c r="N3" s="27">
        <v>0</v>
      </c>
      <c r="O3" s="27">
        <v>0</v>
      </c>
      <c r="P3" s="27">
        <v>0</v>
      </c>
      <c r="Q3" s="27">
        <v>0</v>
      </c>
      <c r="R3" s="27">
        <v>0</v>
      </c>
      <c r="S3" s="27">
        <v>0</v>
      </c>
      <c r="T3" s="27">
        <v>0</v>
      </c>
      <c r="U3" s="27">
        <v>0</v>
      </c>
      <c r="V3" s="27">
        <v>0</v>
      </c>
      <c r="W3" s="27">
        <v>0</v>
      </c>
      <c r="X3" s="27">
        <v>0</v>
      </c>
      <c r="Y3" s="27">
        <v>0</v>
      </c>
    </row>
    <row r="4" spans="1:25" s="16" customFormat="1" ht="15.75" customHeight="1" x14ac:dyDescent="0.2">
      <c r="A4" s="17" t="s">
        <v>554</v>
      </c>
      <c r="B4" s="18" t="s">
        <v>555</v>
      </c>
      <c r="C4" s="18">
        <v>601</v>
      </c>
      <c r="D4" s="18" t="s">
        <v>857</v>
      </c>
      <c r="E4" s="22">
        <v>460</v>
      </c>
      <c r="F4" s="18" t="s">
        <v>859</v>
      </c>
      <c r="G4" s="65">
        <v>44226</v>
      </c>
      <c r="H4" s="65">
        <v>44407</v>
      </c>
      <c r="I4" s="27">
        <v>0</v>
      </c>
      <c r="J4" s="27">
        <v>0</v>
      </c>
      <c r="K4" s="27">
        <v>0</v>
      </c>
      <c r="L4" s="27">
        <v>0</v>
      </c>
      <c r="M4" s="27">
        <v>0</v>
      </c>
      <c r="N4" s="27">
        <v>0</v>
      </c>
      <c r="O4" s="27">
        <v>0</v>
      </c>
      <c r="P4" s="27">
        <v>0</v>
      </c>
      <c r="Q4" s="27">
        <v>0</v>
      </c>
      <c r="R4" s="27">
        <v>0</v>
      </c>
      <c r="S4" s="27">
        <v>0</v>
      </c>
      <c r="T4" s="27">
        <v>0</v>
      </c>
      <c r="U4" s="27">
        <v>0</v>
      </c>
      <c r="V4" s="27">
        <v>0</v>
      </c>
      <c r="W4" s="27">
        <v>0</v>
      </c>
      <c r="X4" s="27">
        <v>0</v>
      </c>
      <c r="Y4" s="27">
        <v>0</v>
      </c>
    </row>
    <row r="5" spans="1:25" s="16" customFormat="1" ht="15.75" customHeight="1" x14ac:dyDescent="0.2">
      <c r="A5" s="17" t="s">
        <v>362</v>
      </c>
      <c r="B5" s="18" t="s">
        <v>363</v>
      </c>
      <c r="C5" s="18">
        <v>601</v>
      </c>
      <c r="D5" s="18" t="s">
        <v>857</v>
      </c>
      <c r="E5" s="22">
        <v>460</v>
      </c>
      <c r="F5" s="18" t="s">
        <v>859</v>
      </c>
      <c r="G5" s="65">
        <v>44226</v>
      </c>
      <c r="H5" s="65">
        <v>44127</v>
      </c>
      <c r="I5" s="27">
        <v>0</v>
      </c>
      <c r="J5" s="27">
        <v>0</v>
      </c>
      <c r="K5" s="27">
        <v>0</v>
      </c>
      <c r="L5" s="27">
        <v>0</v>
      </c>
      <c r="M5" s="27">
        <v>0</v>
      </c>
      <c r="N5" s="27">
        <v>0</v>
      </c>
      <c r="O5" s="27">
        <v>0</v>
      </c>
      <c r="P5" s="27">
        <v>0</v>
      </c>
      <c r="Q5" s="27">
        <v>0</v>
      </c>
      <c r="R5" s="27">
        <v>0</v>
      </c>
      <c r="S5" s="27">
        <v>0</v>
      </c>
      <c r="T5" s="27">
        <v>0</v>
      </c>
      <c r="U5" s="27">
        <v>0</v>
      </c>
      <c r="V5" s="27">
        <v>0</v>
      </c>
      <c r="W5" s="27">
        <v>0</v>
      </c>
      <c r="X5" s="27">
        <v>0</v>
      </c>
      <c r="Y5" s="27">
        <v>0</v>
      </c>
    </row>
    <row r="6" spans="1:25" s="16" customFormat="1" ht="15.75" customHeight="1" x14ac:dyDescent="0.2">
      <c r="A6" s="17" t="s">
        <v>360</v>
      </c>
      <c r="B6" s="18" t="s">
        <v>361</v>
      </c>
      <c r="C6" s="18">
        <v>601</v>
      </c>
      <c r="D6" s="18" t="s">
        <v>857</v>
      </c>
      <c r="E6" s="22">
        <v>460</v>
      </c>
      <c r="F6" s="18" t="s">
        <v>859</v>
      </c>
      <c r="G6" s="65">
        <v>44226</v>
      </c>
      <c r="H6" s="65">
        <v>44382</v>
      </c>
      <c r="I6" s="27">
        <v>0</v>
      </c>
      <c r="J6" s="27">
        <v>0</v>
      </c>
      <c r="K6" s="27">
        <v>0</v>
      </c>
      <c r="L6" s="27">
        <v>0</v>
      </c>
      <c r="M6" s="27">
        <v>0</v>
      </c>
      <c r="N6" s="27">
        <v>0</v>
      </c>
      <c r="O6" s="27">
        <v>0</v>
      </c>
      <c r="P6" s="27">
        <v>0</v>
      </c>
      <c r="Q6" s="27">
        <v>0</v>
      </c>
      <c r="R6" s="27">
        <v>0</v>
      </c>
      <c r="S6" s="27">
        <v>0</v>
      </c>
      <c r="T6" s="27">
        <v>0</v>
      </c>
      <c r="U6" s="27">
        <v>0</v>
      </c>
      <c r="V6" s="27">
        <v>0</v>
      </c>
      <c r="W6" s="27">
        <v>0</v>
      </c>
      <c r="X6" s="27">
        <v>0</v>
      </c>
      <c r="Y6" s="27">
        <v>0</v>
      </c>
    </row>
    <row r="7" spans="1:25" s="16" customFormat="1" ht="15.75" customHeight="1" x14ac:dyDescent="0.2">
      <c r="A7" s="17" t="s">
        <v>558</v>
      </c>
      <c r="B7" s="18" t="s">
        <v>559</v>
      </c>
      <c r="C7" s="18">
        <v>601</v>
      </c>
      <c r="D7" s="18" t="s">
        <v>857</v>
      </c>
      <c r="E7" s="22">
        <v>460</v>
      </c>
      <c r="F7" s="18" t="s">
        <v>859</v>
      </c>
      <c r="G7" s="65">
        <v>44350</v>
      </c>
      <c r="H7" s="65">
        <v>44369</v>
      </c>
      <c r="I7" s="27">
        <v>0</v>
      </c>
      <c r="J7" s="27">
        <v>0</v>
      </c>
      <c r="K7" s="27">
        <v>0</v>
      </c>
      <c r="L7" s="27">
        <v>0</v>
      </c>
      <c r="M7" s="27">
        <v>0</v>
      </c>
      <c r="N7" s="27">
        <v>0</v>
      </c>
      <c r="O7" s="27">
        <v>0</v>
      </c>
      <c r="P7" s="27">
        <v>0</v>
      </c>
      <c r="Q7" s="27">
        <v>0</v>
      </c>
      <c r="R7" s="27">
        <v>0</v>
      </c>
      <c r="S7" s="27">
        <v>0</v>
      </c>
      <c r="T7" s="27">
        <v>0</v>
      </c>
      <c r="U7" s="27">
        <v>0</v>
      </c>
      <c r="V7" s="27">
        <v>0</v>
      </c>
      <c r="W7" s="27">
        <v>0</v>
      </c>
      <c r="X7" s="27">
        <v>0</v>
      </c>
      <c r="Y7" s="27">
        <v>0</v>
      </c>
    </row>
    <row r="8" spans="1:25" s="16" customFormat="1" ht="15.75" customHeight="1" x14ac:dyDescent="0.2">
      <c r="A8" s="17" t="s">
        <v>560</v>
      </c>
      <c r="B8" s="18" t="s">
        <v>561</v>
      </c>
      <c r="C8" s="18">
        <v>601</v>
      </c>
      <c r="D8" s="18" t="s">
        <v>857</v>
      </c>
      <c r="E8" s="22">
        <v>460</v>
      </c>
      <c r="F8" s="18" t="s">
        <v>859</v>
      </c>
      <c r="G8" s="65">
        <v>44431</v>
      </c>
      <c r="H8" s="65">
        <v>44770</v>
      </c>
      <c r="I8" s="27">
        <v>0</v>
      </c>
      <c r="J8" s="27">
        <v>0</v>
      </c>
      <c r="K8" s="27">
        <v>0</v>
      </c>
      <c r="L8" s="27">
        <v>0</v>
      </c>
      <c r="M8" s="27">
        <v>0</v>
      </c>
      <c r="N8" s="27">
        <v>0</v>
      </c>
      <c r="O8" s="27">
        <v>0</v>
      </c>
      <c r="P8" s="27">
        <v>0</v>
      </c>
      <c r="Q8" s="27">
        <v>0</v>
      </c>
      <c r="R8" s="27">
        <v>0</v>
      </c>
      <c r="S8" s="27">
        <v>0</v>
      </c>
      <c r="T8" s="27">
        <v>0</v>
      </c>
      <c r="U8" s="27">
        <v>0</v>
      </c>
      <c r="V8" s="27">
        <v>0</v>
      </c>
      <c r="W8" s="27">
        <v>0</v>
      </c>
      <c r="X8" s="27">
        <v>0</v>
      </c>
      <c r="Y8" s="27">
        <v>0</v>
      </c>
    </row>
    <row r="9" spans="1:25" s="16" customFormat="1" ht="15.75" customHeight="1" x14ac:dyDescent="0.2">
      <c r="A9" s="17" t="s">
        <v>826</v>
      </c>
      <c r="B9" s="18" t="s">
        <v>827</v>
      </c>
      <c r="C9" s="18">
        <v>601</v>
      </c>
      <c r="D9" s="18" t="s">
        <v>857</v>
      </c>
      <c r="E9" s="22">
        <v>460</v>
      </c>
      <c r="F9" s="18" t="s">
        <v>859</v>
      </c>
      <c r="G9" s="65">
        <v>44851</v>
      </c>
      <c r="H9" s="65"/>
      <c r="I9" s="27">
        <v>7305383</v>
      </c>
      <c r="J9" s="27">
        <v>0</v>
      </c>
      <c r="K9" s="27">
        <v>0</v>
      </c>
      <c r="L9" s="27">
        <v>0</v>
      </c>
      <c r="M9" s="27">
        <v>0</v>
      </c>
      <c r="N9" s="27">
        <v>0</v>
      </c>
      <c r="O9" s="27">
        <v>0</v>
      </c>
      <c r="P9" s="27">
        <v>0</v>
      </c>
      <c r="Q9" s="27">
        <v>0</v>
      </c>
      <c r="R9" s="27">
        <v>0.02</v>
      </c>
      <c r="S9" s="27">
        <v>0</v>
      </c>
      <c r="T9" s="27">
        <v>0</v>
      </c>
      <c r="U9" s="27">
        <v>0.02</v>
      </c>
      <c r="V9" s="27">
        <v>-0.02</v>
      </c>
      <c r="W9" s="27">
        <v>0</v>
      </c>
      <c r="X9" s="27">
        <v>0</v>
      </c>
      <c r="Y9" s="27">
        <v>0</v>
      </c>
    </row>
    <row r="10" spans="1:25" s="16" customFormat="1" ht="15.75" customHeight="1" x14ac:dyDescent="0.2">
      <c r="A10" s="17" t="s">
        <v>833</v>
      </c>
      <c r="B10" s="18" t="s">
        <v>834</v>
      </c>
      <c r="C10" s="18">
        <v>601</v>
      </c>
      <c r="D10" s="18" t="s">
        <v>857</v>
      </c>
      <c r="E10" s="22">
        <v>460</v>
      </c>
      <c r="F10" s="18" t="s">
        <v>859</v>
      </c>
      <c r="G10" s="65">
        <v>44872</v>
      </c>
      <c r="H10" s="65"/>
      <c r="I10" s="27">
        <v>0</v>
      </c>
      <c r="J10" s="27">
        <v>0</v>
      </c>
      <c r="K10" s="27">
        <v>0</v>
      </c>
      <c r="L10" s="27">
        <v>0</v>
      </c>
      <c r="M10" s="27">
        <v>0</v>
      </c>
      <c r="N10" s="27">
        <v>0</v>
      </c>
      <c r="O10" s="27">
        <v>0</v>
      </c>
      <c r="P10" s="27">
        <v>0</v>
      </c>
      <c r="Q10" s="27">
        <v>0</v>
      </c>
      <c r="R10" s="27">
        <v>0</v>
      </c>
      <c r="S10" s="27">
        <v>0</v>
      </c>
      <c r="T10" s="27">
        <v>0</v>
      </c>
      <c r="U10" s="27">
        <v>0</v>
      </c>
      <c r="V10" s="27">
        <v>0</v>
      </c>
      <c r="W10" s="27">
        <v>0</v>
      </c>
      <c r="X10" s="27">
        <v>0</v>
      </c>
      <c r="Y10" s="27">
        <v>0</v>
      </c>
    </row>
    <row r="11" spans="1:25" s="16" customFormat="1" ht="15.75" customHeight="1" x14ac:dyDescent="0.2">
      <c r="A11" s="17" t="s">
        <v>564</v>
      </c>
      <c r="B11" s="18" t="s">
        <v>565</v>
      </c>
      <c r="C11" s="18">
        <v>601</v>
      </c>
      <c r="D11" s="18" t="s">
        <v>857</v>
      </c>
      <c r="E11" s="22" t="s">
        <v>860</v>
      </c>
      <c r="F11" s="18" t="s">
        <v>861</v>
      </c>
      <c r="G11" s="65">
        <v>44226</v>
      </c>
      <c r="H11" s="65">
        <v>44133</v>
      </c>
      <c r="I11" s="27">
        <v>0</v>
      </c>
      <c r="J11" s="27">
        <v>0</v>
      </c>
      <c r="K11" s="27">
        <v>0</v>
      </c>
      <c r="L11" s="27">
        <v>0</v>
      </c>
      <c r="M11" s="27">
        <v>0</v>
      </c>
      <c r="N11" s="27">
        <v>0</v>
      </c>
      <c r="O11" s="27">
        <v>0</v>
      </c>
      <c r="P11" s="27">
        <v>0</v>
      </c>
      <c r="Q11" s="27">
        <v>0</v>
      </c>
      <c r="R11" s="27">
        <v>0</v>
      </c>
      <c r="S11" s="27">
        <v>0</v>
      </c>
      <c r="T11" s="27">
        <v>0</v>
      </c>
      <c r="U11" s="27">
        <v>0</v>
      </c>
      <c r="V11" s="27">
        <v>0</v>
      </c>
      <c r="W11" s="27">
        <v>0</v>
      </c>
      <c r="X11" s="27">
        <v>0</v>
      </c>
      <c r="Y11" s="27">
        <v>0</v>
      </c>
    </row>
    <row r="12" spans="1:25" s="16" customFormat="1" ht="15.75" customHeight="1" x14ac:dyDescent="0.2">
      <c r="A12" s="17" t="s">
        <v>134</v>
      </c>
      <c r="B12" s="18" t="s">
        <v>135</v>
      </c>
      <c r="C12" s="18">
        <v>601</v>
      </c>
      <c r="D12" s="18" t="s">
        <v>857</v>
      </c>
      <c r="E12" s="22" t="s">
        <v>860</v>
      </c>
      <c r="F12" s="18" t="s">
        <v>862</v>
      </c>
      <c r="G12" s="65">
        <v>44480</v>
      </c>
      <c r="H12" s="65"/>
      <c r="I12" s="27">
        <v>0</v>
      </c>
      <c r="J12" s="27">
        <v>0</v>
      </c>
      <c r="K12" s="27">
        <v>0</v>
      </c>
      <c r="L12" s="27">
        <v>0</v>
      </c>
      <c r="M12" s="27">
        <v>0</v>
      </c>
      <c r="N12" s="27">
        <v>0</v>
      </c>
      <c r="O12" s="27">
        <v>0</v>
      </c>
      <c r="P12" s="27">
        <v>0</v>
      </c>
      <c r="Q12" s="27">
        <v>0</v>
      </c>
      <c r="R12" s="27">
        <v>0</v>
      </c>
      <c r="S12" s="27">
        <v>0</v>
      </c>
      <c r="T12" s="27">
        <v>0</v>
      </c>
      <c r="U12" s="27">
        <v>0</v>
      </c>
      <c r="V12" s="27">
        <v>0</v>
      </c>
      <c r="W12" s="27">
        <v>0</v>
      </c>
      <c r="X12" s="27">
        <v>0</v>
      </c>
      <c r="Y12" s="27">
        <v>0</v>
      </c>
    </row>
    <row r="13" spans="1:25" s="16" customFormat="1" ht="15.75" customHeight="1" x14ac:dyDescent="0.2">
      <c r="A13" s="17" t="s">
        <v>816</v>
      </c>
      <c r="B13" s="18" t="s">
        <v>817</v>
      </c>
      <c r="C13" s="18">
        <v>601</v>
      </c>
      <c r="D13" s="18" t="s">
        <v>857</v>
      </c>
      <c r="E13" s="22" t="s">
        <v>863</v>
      </c>
      <c r="F13" s="18" t="s">
        <v>861</v>
      </c>
      <c r="G13" s="65">
        <v>44894</v>
      </c>
      <c r="H13" s="65"/>
      <c r="I13" s="27">
        <v>0</v>
      </c>
      <c r="J13" s="27">
        <v>0</v>
      </c>
      <c r="K13" s="27">
        <v>0</v>
      </c>
      <c r="L13" s="27">
        <v>0</v>
      </c>
      <c r="M13" s="27">
        <v>0</v>
      </c>
      <c r="N13" s="27">
        <v>0</v>
      </c>
      <c r="O13" s="27">
        <v>0</v>
      </c>
      <c r="P13" s="27">
        <v>0</v>
      </c>
      <c r="Q13" s="27">
        <v>0</v>
      </c>
      <c r="R13" s="27">
        <v>0</v>
      </c>
      <c r="S13" s="27">
        <v>0</v>
      </c>
      <c r="T13" s="27">
        <v>0</v>
      </c>
      <c r="U13" s="27">
        <v>0</v>
      </c>
      <c r="V13" s="27">
        <v>0</v>
      </c>
      <c r="W13" s="27">
        <v>0</v>
      </c>
      <c r="X13" s="27">
        <v>0</v>
      </c>
      <c r="Y13" s="27">
        <v>0</v>
      </c>
    </row>
    <row r="14" spans="1:25" s="16" customFormat="1" ht="15.75" customHeight="1" x14ac:dyDescent="0.2">
      <c r="A14" s="17" t="s">
        <v>717</v>
      </c>
      <c r="B14" s="18" t="s">
        <v>300</v>
      </c>
      <c r="C14" s="18">
        <v>601</v>
      </c>
      <c r="D14" s="18" t="s">
        <v>857</v>
      </c>
      <c r="E14" s="22" t="s">
        <v>864</v>
      </c>
      <c r="F14" s="18" t="s">
        <v>865</v>
      </c>
      <c r="G14" s="65">
        <v>44770</v>
      </c>
      <c r="H14" s="65"/>
      <c r="I14" s="27">
        <v>0</v>
      </c>
      <c r="J14" s="27">
        <v>0</v>
      </c>
      <c r="K14" s="27">
        <v>0</v>
      </c>
      <c r="L14" s="27">
        <v>0</v>
      </c>
      <c r="M14" s="27">
        <v>0</v>
      </c>
      <c r="N14" s="27">
        <v>0</v>
      </c>
      <c r="O14" s="27">
        <v>0</v>
      </c>
      <c r="P14" s="27">
        <v>0</v>
      </c>
      <c r="Q14" s="27">
        <v>0</v>
      </c>
      <c r="R14" s="27">
        <v>0</v>
      </c>
      <c r="S14" s="27">
        <v>0</v>
      </c>
      <c r="T14" s="27">
        <v>0</v>
      </c>
      <c r="U14" s="27">
        <v>0</v>
      </c>
      <c r="V14" s="27">
        <v>0</v>
      </c>
      <c r="W14" s="27">
        <v>0</v>
      </c>
      <c r="X14" s="27">
        <v>0</v>
      </c>
      <c r="Y14" s="27">
        <v>0</v>
      </c>
    </row>
    <row r="15" spans="1:25" s="16" customFormat="1" ht="15.75" customHeight="1" x14ac:dyDescent="0.2">
      <c r="A15" s="17" t="s">
        <v>711</v>
      </c>
      <c r="B15" s="18" t="s">
        <v>712</v>
      </c>
      <c r="C15" s="18">
        <v>601</v>
      </c>
      <c r="D15" s="18" t="s">
        <v>857</v>
      </c>
      <c r="E15" s="22" t="s">
        <v>866</v>
      </c>
      <c r="F15" s="18" t="s">
        <v>867</v>
      </c>
      <c r="G15" s="65">
        <v>44767</v>
      </c>
      <c r="H15" s="65"/>
      <c r="I15" s="27">
        <v>0</v>
      </c>
      <c r="J15" s="27">
        <v>0</v>
      </c>
      <c r="K15" s="27">
        <v>0</v>
      </c>
      <c r="L15" s="27">
        <v>0</v>
      </c>
      <c r="M15" s="27">
        <v>0</v>
      </c>
      <c r="N15" s="27">
        <v>0</v>
      </c>
      <c r="O15" s="27">
        <v>0</v>
      </c>
      <c r="P15" s="27">
        <v>0</v>
      </c>
      <c r="Q15" s="27">
        <v>0</v>
      </c>
      <c r="R15" s="27">
        <v>0</v>
      </c>
      <c r="S15" s="27">
        <v>0</v>
      </c>
      <c r="T15" s="27">
        <v>0</v>
      </c>
      <c r="U15" s="27">
        <v>0</v>
      </c>
      <c r="V15" s="27">
        <v>0</v>
      </c>
      <c r="W15" s="27">
        <v>0</v>
      </c>
      <c r="X15" s="27">
        <v>0</v>
      </c>
      <c r="Y15" s="27">
        <v>0</v>
      </c>
    </row>
    <row r="16" spans="1:25" s="16" customFormat="1" ht="15.75" customHeight="1" x14ac:dyDescent="0.2">
      <c r="A16" s="17" t="s">
        <v>715</v>
      </c>
      <c r="B16" s="18" t="s">
        <v>716</v>
      </c>
      <c r="C16" s="18">
        <v>601</v>
      </c>
      <c r="D16" s="18" t="s">
        <v>857</v>
      </c>
      <c r="E16" s="22" t="s">
        <v>868</v>
      </c>
      <c r="F16" s="18" t="s">
        <v>869</v>
      </c>
      <c r="G16" s="65">
        <v>44784</v>
      </c>
      <c r="H16" s="65"/>
      <c r="I16" s="27">
        <v>0</v>
      </c>
      <c r="J16" s="27">
        <v>0</v>
      </c>
      <c r="K16" s="27">
        <v>0</v>
      </c>
      <c r="L16" s="27">
        <v>0</v>
      </c>
      <c r="M16" s="27">
        <v>0</v>
      </c>
      <c r="N16" s="27">
        <v>0</v>
      </c>
      <c r="O16" s="27">
        <v>0</v>
      </c>
      <c r="P16" s="27">
        <v>0</v>
      </c>
      <c r="Q16" s="27">
        <v>0</v>
      </c>
      <c r="R16" s="27">
        <v>0</v>
      </c>
      <c r="S16" s="27">
        <v>0</v>
      </c>
      <c r="T16" s="27">
        <v>0</v>
      </c>
      <c r="U16" s="27">
        <v>0</v>
      </c>
      <c r="V16" s="27">
        <v>0</v>
      </c>
      <c r="W16" s="27">
        <v>0</v>
      </c>
      <c r="X16" s="27">
        <v>0</v>
      </c>
      <c r="Y16" s="27">
        <v>0</v>
      </c>
    </row>
    <row r="17" spans="1:26" s="16" customFormat="1" ht="15.75" customHeight="1" x14ac:dyDescent="0.2">
      <c r="A17" s="17" t="s">
        <v>855</v>
      </c>
      <c r="B17" s="18" t="s">
        <v>67</v>
      </c>
      <c r="C17" s="18">
        <v>601</v>
      </c>
      <c r="D17" s="18" t="s">
        <v>857</v>
      </c>
      <c r="E17" s="22" t="s">
        <v>870</v>
      </c>
      <c r="F17" s="18" t="s">
        <v>856</v>
      </c>
      <c r="G17" s="65">
        <v>44628</v>
      </c>
      <c r="H17" s="65"/>
      <c r="I17" s="27">
        <v>0</v>
      </c>
      <c r="J17" s="27">
        <v>0</v>
      </c>
      <c r="K17" s="27">
        <v>0</v>
      </c>
      <c r="L17" s="27">
        <v>0</v>
      </c>
      <c r="M17" s="27">
        <v>0</v>
      </c>
      <c r="N17" s="27">
        <v>0</v>
      </c>
      <c r="O17" s="27">
        <v>0</v>
      </c>
      <c r="P17" s="27">
        <v>0</v>
      </c>
      <c r="Q17" s="27">
        <v>0</v>
      </c>
      <c r="R17" s="27">
        <v>0</v>
      </c>
      <c r="S17" s="27">
        <v>0</v>
      </c>
      <c r="T17" s="27">
        <v>0</v>
      </c>
      <c r="U17" s="27">
        <v>0</v>
      </c>
      <c r="V17" s="27">
        <v>0</v>
      </c>
      <c r="W17" s="27">
        <v>0</v>
      </c>
      <c r="X17" s="27">
        <v>0</v>
      </c>
      <c r="Y17" s="27">
        <v>0</v>
      </c>
    </row>
    <row r="18" spans="1:26" s="16" customFormat="1" ht="15.75" customHeight="1" x14ac:dyDescent="0.2">
      <c r="A18" s="17" t="s">
        <v>900</v>
      </c>
      <c r="B18" s="18" t="s">
        <v>793</v>
      </c>
      <c r="C18" s="18">
        <v>601</v>
      </c>
      <c r="D18" s="18" t="s">
        <v>857</v>
      </c>
      <c r="E18" s="22" t="s">
        <v>870</v>
      </c>
      <c r="F18" s="18" t="s">
        <v>901</v>
      </c>
      <c r="G18" s="65">
        <v>44775</v>
      </c>
      <c r="H18" s="65"/>
      <c r="I18" s="27">
        <v>0</v>
      </c>
      <c r="J18" s="27">
        <v>0</v>
      </c>
      <c r="K18" s="27">
        <v>0</v>
      </c>
      <c r="L18" s="27">
        <v>0</v>
      </c>
      <c r="M18" s="27">
        <v>0</v>
      </c>
      <c r="N18" s="27">
        <v>0</v>
      </c>
      <c r="O18" s="27">
        <v>0</v>
      </c>
      <c r="P18" s="27">
        <v>0</v>
      </c>
      <c r="Q18" s="27">
        <v>0</v>
      </c>
      <c r="R18" s="27">
        <v>0</v>
      </c>
      <c r="S18" s="27">
        <v>0</v>
      </c>
      <c r="T18" s="27">
        <v>0</v>
      </c>
      <c r="U18" s="27">
        <v>0</v>
      </c>
      <c r="V18" s="27">
        <v>0</v>
      </c>
      <c r="W18" s="27">
        <v>0</v>
      </c>
      <c r="X18" s="27">
        <v>0</v>
      </c>
      <c r="Y18" s="27">
        <v>0</v>
      </c>
    </row>
    <row r="19" spans="1:26" s="16" customFormat="1" ht="15.75" customHeight="1" x14ac:dyDescent="0.2">
      <c r="A19" s="17" t="s">
        <v>902</v>
      </c>
      <c r="B19" s="18" t="s">
        <v>889</v>
      </c>
      <c r="C19" s="18">
        <v>601</v>
      </c>
      <c r="D19" s="18" t="s">
        <v>857</v>
      </c>
      <c r="E19" s="22" t="s">
        <v>903</v>
      </c>
      <c r="F19" s="18" t="s">
        <v>904</v>
      </c>
      <c r="G19" s="65">
        <v>44226</v>
      </c>
      <c r="H19" s="65">
        <v>42198</v>
      </c>
      <c r="I19" s="27">
        <v>0</v>
      </c>
      <c r="J19" s="27">
        <v>0</v>
      </c>
      <c r="K19" s="27">
        <v>0</v>
      </c>
      <c r="L19" s="27">
        <v>0</v>
      </c>
      <c r="M19" s="27">
        <v>0</v>
      </c>
      <c r="N19" s="27">
        <v>0</v>
      </c>
      <c r="O19" s="27">
        <v>0</v>
      </c>
      <c r="P19" s="27">
        <v>0</v>
      </c>
      <c r="Q19" s="27">
        <v>0</v>
      </c>
      <c r="R19" s="27">
        <v>0</v>
      </c>
      <c r="S19" s="27">
        <v>0</v>
      </c>
      <c r="T19" s="27">
        <v>0</v>
      </c>
      <c r="U19" s="27">
        <v>0</v>
      </c>
      <c r="V19" s="27">
        <v>0</v>
      </c>
      <c r="W19" s="27">
        <v>0</v>
      </c>
      <c r="X19" s="27">
        <v>0</v>
      </c>
      <c r="Y19" s="27">
        <v>0</v>
      </c>
    </row>
    <row r="20" spans="1:26" s="16" customFormat="1" ht="15.75" customHeight="1" x14ac:dyDescent="0.2">
      <c r="A20" s="17" t="s">
        <v>905</v>
      </c>
      <c r="B20" s="18" t="s">
        <v>557</v>
      </c>
      <c r="C20" s="18">
        <v>601</v>
      </c>
      <c r="D20" s="18" t="s">
        <v>906</v>
      </c>
      <c r="E20" s="22">
        <v>460</v>
      </c>
      <c r="F20" s="18" t="s">
        <v>907</v>
      </c>
      <c r="G20" s="65">
        <v>44226</v>
      </c>
      <c r="H20" s="65">
        <v>43620</v>
      </c>
      <c r="I20" s="27">
        <v>0</v>
      </c>
      <c r="J20" s="27">
        <v>0</v>
      </c>
      <c r="K20" s="27">
        <v>0</v>
      </c>
      <c r="L20" s="27">
        <v>0</v>
      </c>
      <c r="M20" s="27">
        <v>0</v>
      </c>
      <c r="N20" s="27">
        <v>0</v>
      </c>
      <c r="O20" s="27">
        <v>0</v>
      </c>
      <c r="P20" s="27">
        <v>0</v>
      </c>
      <c r="Q20" s="27">
        <v>0</v>
      </c>
      <c r="R20" s="27">
        <v>0</v>
      </c>
      <c r="S20" s="27">
        <v>0</v>
      </c>
      <c r="T20" s="27">
        <v>0</v>
      </c>
      <c r="U20" s="27">
        <v>0</v>
      </c>
      <c r="V20" s="27">
        <v>0</v>
      </c>
      <c r="W20" s="27">
        <v>0</v>
      </c>
      <c r="X20" s="27">
        <v>0</v>
      </c>
      <c r="Y20" s="27">
        <v>0</v>
      </c>
    </row>
    <row r="21" spans="1:26" s="16" customFormat="1" ht="15.75" customHeight="1" x14ac:dyDescent="0.2">
      <c r="A21" s="17" t="s">
        <v>908</v>
      </c>
      <c r="B21" s="18" t="s">
        <v>365</v>
      </c>
      <c r="C21" s="18">
        <v>601</v>
      </c>
      <c r="D21" s="18" t="s">
        <v>857</v>
      </c>
      <c r="E21" s="22">
        <v>460</v>
      </c>
      <c r="F21" s="18" t="s">
        <v>859</v>
      </c>
      <c r="G21" s="65">
        <v>44226</v>
      </c>
      <c r="H21" s="65">
        <v>44410</v>
      </c>
      <c r="I21" s="27">
        <v>0</v>
      </c>
      <c r="J21" s="27">
        <v>0</v>
      </c>
      <c r="K21" s="27">
        <v>0</v>
      </c>
      <c r="L21" s="27">
        <v>0</v>
      </c>
      <c r="M21" s="27">
        <v>0</v>
      </c>
      <c r="N21" s="27">
        <v>0</v>
      </c>
      <c r="O21" s="27">
        <v>0</v>
      </c>
      <c r="P21" s="27">
        <v>0</v>
      </c>
      <c r="Q21" s="27">
        <v>0</v>
      </c>
      <c r="R21" s="27">
        <v>0</v>
      </c>
      <c r="S21" s="27">
        <v>0</v>
      </c>
      <c r="T21" s="27">
        <v>0</v>
      </c>
      <c r="U21" s="27">
        <v>0</v>
      </c>
      <c r="V21" s="27">
        <v>0</v>
      </c>
      <c r="W21" s="27">
        <v>0</v>
      </c>
      <c r="X21" s="27">
        <v>0</v>
      </c>
      <c r="Y21" s="27">
        <v>0</v>
      </c>
    </row>
    <row r="22" spans="1:26" s="16" customFormat="1" ht="15.75" customHeight="1" x14ac:dyDescent="0.2">
      <c r="A22" s="54" t="s">
        <v>911</v>
      </c>
      <c r="B22" s="55" t="s">
        <v>912</v>
      </c>
      <c r="C22" s="18">
        <v>601</v>
      </c>
      <c r="D22" s="18" t="s">
        <v>857</v>
      </c>
      <c r="E22" s="57" t="s">
        <v>790</v>
      </c>
      <c r="F22" s="55" t="s">
        <v>791</v>
      </c>
      <c r="G22" s="56">
        <v>45069</v>
      </c>
      <c r="H22" s="56"/>
      <c r="I22" s="66">
        <v>0</v>
      </c>
      <c r="J22" s="27">
        <v>0</v>
      </c>
      <c r="K22" s="27">
        <v>0</v>
      </c>
      <c r="L22" s="27">
        <v>0</v>
      </c>
      <c r="M22" s="27">
        <v>0</v>
      </c>
      <c r="N22" s="27">
        <v>0</v>
      </c>
      <c r="O22" s="27">
        <v>0</v>
      </c>
      <c r="P22" s="27">
        <v>0</v>
      </c>
      <c r="Q22" s="27">
        <v>0</v>
      </c>
      <c r="R22" s="27">
        <v>0</v>
      </c>
      <c r="S22" s="27">
        <v>0</v>
      </c>
      <c r="T22" s="27">
        <v>0</v>
      </c>
      <c r="U22" s="27">
        <v>0</v>
      </c>
      <c r="V22" s="27">
        <v>0</v>
      </c>
      <c r="W22" s="27">
        <v>0</v>
      </c>
      <c r="X22" s="27">
        <v>0</v>
      </c>
      <c r="Y22" s="27">
        <v>0</v>
      </c>
    </row>
    <row r="23" spans="1:26" s="16" customFormat="1" ht="15.75" customHeight="1" x14ac:dyDescent="0.2">
      <c r="A23" s="54" t="s">
        <v>1006</v>
      </c>
      <c r="B23" s="55" t="s">
        <v>1007</v>
      </c>
      <c r="C23" s="18">
        <v>601</v>
      </c>
      <c r="D23" s="18" t="s">
        <v>857</v>
      </c>
      <c r="E23" s="57" t="s">
        <v>5</v>
      </c>
      <c r="F23" s="55" t="s">
        <v>6</v>
      </c>
      <c r="G23" s="56">
        <v>45107</v>
      </c>
      <c r="H23" s="56"/>
      <c r="I23" s="66">
        <v>78155</v>
      </c>
      <c r="J23" s="27">
        <v>0</v>
      </c>
      <c r="K23" s="27">
        <v>0</v>
      </c>
      <c r="L23" s="27">
        <v>0</v>
      </c>
      <c r="M23" s="27">
        <v>0</v>
      </c>
      <c r="N23" s="27">
        <v>0</v>
      </c>
      <c r="O23" s="27">
        <v>0</v>
      </c>
      <c r="P23" s="27">
        <v>0</v>
      </c>
      <c r="Q23" s="27">
        <v>0</v>
      </c>
      <c r="R23" s="27">
        <v>0</v>
      </c>
      <c r="S23" s="27">
        <v>0</v>
      </c>
      <c r="T23" s="27">
        <v>0</v>
      </c>
      <c r="U23" s="27">
        <v>0</v>
      </c>
      <c r="V23" s="27">
        <v>0</v>
      </c>
      <c r="W23" s="27">
        <v>0</v>
      </c>
      <c r="X23" s="27">
        <v>0</v>
      </c>
      <c r="Y23" s="27">
        <v>0</v>
      </c>
    </row>
    <row r="24" spans="1:26" s="13" customFormat="1" ht="14.25" customHeight="1" x14ac:dyDescent="0.2">
      <c r="A24" s="64" t="s">
        <v>851</v>
      </c>
      <c r="B24" s="25"/>
      <c r="C24" s="18">
        <v>601</v>
      </c>
      <c r="D24" s="18" t="s">
        <v>637</v>
      </c>
      <c r="E24" s="26"/>
      <c r="F24" s="25"/>
      <c r="G24" s="10"/>
      <c r="H24" s="10"/>
      <c r="I24" s="27">
        <v>0</v>
      </c>
      <c r="J24" s="27">
        <v>0</v>
      </c>
      <c r="K24" s="27">
        <v>0</v>
      </c>
      <c r="L24" s="27">
        <v>0</v>
      </c>
      <c r="M24" s="27">
        <v>0</v>
      </c>
      <c r="N24" s="27">
        <v>0</v>
      </c>
      <c r="O24" s="27">
        <v>0</v>
      </c>
      <c r="P24" s="27">
        <v>0</v>
      </c>
      <c r="Q24" s="27">
        <v>0</v>
      </c>
      <c r="R24" s="27">
        <v>0</v>
      </c>
      <c r="S24" s="27">
        <v>0</v>
      </c>
      <c r="T24" s="27">
        <v>0</v>
      </c>
      <c r="U24" s="27">
        <v>0</v>
      </c>
      <c r="V24" s="27">
        <v>0</v>
      </c>
      <c r="W24" s="27">
        <v>0</v>
      </c>
      <c r="X24" s="27">
        <v>0</v>
      </c>
      <c r="Y24" s="27">
        <v>0</v>
      </c>
      <c r="Z24" s="16"/>
    </row>
    <row r="25" spans="1:26" s="16" customFormat="1" ht="15.75" customHeight="1" thickBot="1" x14ac:dyDescent="0.25">
      <c r="A25" s="19" t="s">
        <v>638</v>
      </c>
      <c r="B25" s="20"/>
      <c r="C25" s="20"/>
      <c r="D25" s="20"/>
      <c r="E25" s="23"/>
      <c r="F25" s="20"/>
      <c r="G25" s="30"/>
      <c r="H25" s="30"/>
      <c r="I25" s="1">
        <f>SUM(I3:I24)</f>
        <v>7383538</v>
      </c>
      <c r="J25" s="1">
        <f t="shared" ref="J25:Y25" si="0">SUM(J3:J24)</f>
        <v>0</v>
      </c>
      <c r="K25" s="1">
        <f t="shared" si="0"/>
        <v>0</v>
      </c>
      <c r="L25" s="1">
        <f t="shared" si="0"/>
        <v>0</v>
      </c>
      <c r="M25" s="1">
        <f t="shared" si="0"/>
        <v>0</v>
      </c>
      <c r="N25" s="1">
        <f t="shared" si="0"/>
        <v>0</v>
      </c>
      <c r="O25" s="1">
        <f t="shared" si="0"/>
        <v>0</v>
      </c>
      <c r="P25" s="1">
        <f t="shared" si="0"/>
        <v>0</v>
      </c>
      <c r="Q25" s="1">
        <f t="shared" si="0"/>
        <v>0</v>
      </c>
      <c r="R25" s="1">
        <f t="shared" si="0"/>
        <v>0.02</v>
      </c>
      <c r="S25" s="1">
        <f t="shared" si="0"/>
        <v>0</v>
      </c>
      <c r="T25" s="1">
        <f t="shared" si="0"/>
        <v>0</v>
      </c>
      <c r="U25" s="1">
        <f t="shared" si="0"/>
        <v>0.02</v>
      </c>
      <c r="V25" s="1">
        <f t="shared" si="0"/>
        <v>-0.02</v>
      </c>
      <c r="W25" s="1">
        <f t="shared" si="0"/>
        <v>0</v>
      </c>
      <c r="X25" s="1">
        <f t="shared" si="0"/>
        <v>0</v>
      </c>
      <c r="Y25" s="1">
        <f t="shared" si="0"/>
        <v>0</v>
      </c>
    </row>
    <row r="26" spans="1:26" x14ac:dyDescent="0.15">
      <c r="Z26" s="16"/>
    </row>
    <row r="27" spans="1:26" x14ac:dyDescent="0.15">
      <c r="Z27" s="16"/>
    </row>
    <row r="28" spans="1:26" x14ac:dyDescent="0.15">
      <c r="Z28" s="16"/>
    </row>
    <row r="29" spans="1:26" x14ac:dyDescent="0.15">
      <c r="Z29" s="16"/>
    </row>
    <row r="30" spans="1:26" x14ac:dyDescent="0.15">
      <c r="Z30" s="16"/>
    </row>
    <row r="31" spans="1:26" x14ac:dyDescent="0.15">
      <c r="Z31" s="16"/>
    </row>
    <row r="32" spans="1:26" x14ac:dyDescent="0.15">
      <c r="Z32" s="16"/>
    </row>
    <row r="33" spans="26:26" x14ac:dyDescent="0.15">
      <c r="Z33" s="16"/>
    </row>
    <row r="34" spans="26:26" x14ac:dyDescent="0.15">
      <c r="Z34" s="16"/>
    </row>
    <row r="35" spans="26:26" x14ac:dyDescent="0.15">
      <c r="Z35" s="16"/>
    </row>
    <row r="36" spans="26:26" x14ac:dyDescent="0.15">
      <c r="Z36" s="16"/>
    </row>
    <row r="37" spans="26:26" x14ac:dyDescent="0.15">
      <c r="Z37" s="16"/>
    </row>
    <row r="38" spans="26:26" x14ac:dyDescent="0.15">
      <c r="Z38" s="16"/>
    </row>
    <row r="39" spans="26:26" x14ac:dyDescent="0.15">
      <c r="Z39" s="16"/>
    </row>
    <row r="40" spans="26:26" x14ac:dyDescent="0.15">
      <c r="Z40" s="16"/>
    </row>
    <row r="41" spans="26:26" x14ac:dyDescent="0.15">
      <c r="Z41" s="16"/>
    </row>
    <row r="42" spans="26:26" x14ac:dyDescent="0.15">
      <c r="Z42" s="16"/>
    </row>
    <row r="43" spans="26:26" x14ac:dyDescent="0.15">
      <c r="Z43" s="16"/>
    </row>
  </sheetData>
  <autoFilter ref="A2:Y27" xr:uid="{00000000-0009-0000-0000-000004000000}"/>
  <phoneticPr fontId="3" type="noConversion"/>
  <conditionalFormatting sqref="A24">
    <cfRule type="duplicateValues" dxfId="58" priority="1"/>
  </conditionalFormatting>
  <pageMargins left="0.7" right="0.7" top="0.75" bottom="0.75" header="0.3" footer="0.3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0B0F0"/>
  </sheetPr>
  <dimension ref="A1:Z55"/>
  <sheetViews>
    <sheetView zoomScaleNormal="100" workbookViewId="0">
      <pane xSplit="6" ySplit="4" topLeftCell="G41" activePane="bottomRight" state="frozen"/>
      <selection activeCell="F56" sqref="E56:F57"/>
      <selection pane="topRight" activeCell="F56" sqref="E56:F57"/>
      <selection pane="bottomLeft" activeCell="F56" sqref="E56:F57"/>
      <selection pane="bottomRight" activeCell="G62" sqref="G62"/>
    </sheetView>
  </sheetViews>
  <sheetFormatPr defaultRowHeight="12.75" outlineLevelCol="1" x14ac:dyDescent="0.2"/>
  <cols>
    <col min="1" max="1" width="10.140625" style="72" customWidth="1"/>
    <col min="2" max="2" width="8" style="72" bestFit="1" customWidth="1"/>
    <col min="3" max="3" width="9" style="72" bestFit="1" customWidth="1"/>
    <col min="4" max="4" width="12.5703125" style="72" customWidth="1"/>
    <col min="5" max="5" width="6" style="80" bestFit="1" customWidth="1"/>
    <col min="6" max="6" width="8.140625" style="72" customWidth="1"/>
    <col min="7" max="7" width="13" style="80" bestFit="1" customWidth="1"/>
    <col min="8" max="8" width="11.7109375" style="80" customWidth="1"/>
    <col min="9" max="9" width="12.85546875" style="72" customWidth="1"/>
    <col min="10" max="14" width="11.7109375" style="72" hidden="1" customWidth="1" outlineLevel="1"/>
    <col min="15" max="15" width="11.7109375" style="72" customWidth="1" collapsed="1"/>
    <col min="16" max="20" width="11.7109375" style="72" hidden="1" customWidth="1" outlineLevel="1"/>
    <col min="21" max="21" width="11.7109375" style="72" customWidth="1" collapsed="1"/>
    <col min="22" max="22" width="11.7109375" style="72" customWidth="1"/>
    <col min="23" max="24" width="11.7109375" style="72" hidden="1" customWidth="1" outlineLevel="1"/>
    <col min="25" max="25" width="11.7109375" style="72" customWidth="1" collapsed="1"/>
    <col min="26" max="26" width="12" style="72" customWidth="1"/>
    <col min="27" max="16384" width="9.140625" style="72"/>
  </cols>
  <sheetData>
    <row r="1" spans="1:26" ht="23.25" customHeight="1" x14ac:dyDescent="0.2">
      <c r="A1" s="79" t="s">
        <v>1413</v>
      </c>
    </row>
    <row r="2" spans="1:26" ht="15" customHeight="1" x14ac:dyDescent="0.2">
      <c r="A2" s="81" t="s">
        <v>1139</v>
      </c>
    </row>
    <row r="3" spans="1:26" s="88" customFormat="1" x14ac:dyDescent="0.2">
      <c r="A3" s="82" t="s">
        <v>651</v>
      </c>
      <c r="B3" s="82" t="s">
        <v>577</v>
      </c>
      <c r="C3" s="82" t="s">
        <v>599</v>
      </c>
      <c r="D3" s="82" t="s">
        <v>600</v>
      </c>
      <c r="E3" s="83" t="s">
        <v>578</v>
      </c>
      <c r="F3" s="82" t="s">
        <v>579</v>
      </c>
      <c r="G3" s="83" t="s">
        <v>580</v>
      </c>
      <c r="H3" s="83" t="s">
        <v>581</v>
      </c>
      <c r="I3" s="82" t="s">
        <v>582</v>
      </c>
      <c r="J3" s="84" t="s">
        <v>583</v>
      </c>
      <c r="K3" s="84" t="s">
        <v>584</v>
      </c>
      <c r="L3" s="84" t="s">
        <v>643</v>
      </c>
      <c r="M3" s="84" t="s">
        <v>602</v>
      </c>
      <c r="N3" s="84" t="s">
        <v>587</v>
      </c>
      <c r="O3" s="85" t="s">
        <v>588</v>
      </c>
      <c r="P3" s="84" t="s">
        <v>603</v>
      </c>
      <c r="Q3" s="84" t="s">
        <v>590</v>
      </c>
      <c r="R3" s="84" t="s">
        <v>644</v>
      </c>
      <c r="S3" s="84" t="s">
        <v>673</v>
      </c>
      <c r="T3" s="84" t="s">
        <v>645</v>
      </c>
      <c r="U3" s="85" t="s">
        <v>594</v>
      </c>
      <c r="V3" s="86" t="s">
        <v>595</v>
      </c>
      <c r="W3" s="84" t="s">
        <v>607</v>
      </c>
      <c r="X3" s="84" t="s">
        <v>608</v>
      </c>
      <c r="Y3" s="118" t="s">
        <v>598</v>
      </c>
      <c r="Z3" s="87" t="s">
        <v>1306</v>
      </c>
    </row>
    <row r="4" spans="1:26" x14ac:dyDescent="0.2">
      <c r="A4" s="89" t="s">
        <v>751</v>
      </c>
      <c r="B4" s="89" t="s">
        <v>752</v>
      </c>
      <c r="C4" s="89">
        <v>701</v>
      </c>
      <c r="D4" s="89" t="s">
        <v>646</v>
      </c>
      <c r="E4" s="67">
        <v>28</v>
      </c>
      <c r="F4" s="89" t="s">
        <v>753</v>
      </c>
      <c r="G4" s="121">
        <v>44817</v>
      </c>
      <c r="H4" s="121"/>
      <c r="I4" s="91">
        <v>7833000</v>
      </c>
      <c r="J4" s="91">
        <v>886099.17</v>
      </c>
      <c r="K4" s="91">
        <v>0</v>
      </c>
      <c r="L4" s="91">
        <v>6538.04</v>
      </c>
      <c r="M4" s="91">
        <v>0</v>
      </c>
      <c r="N4" s="91">
        <v>0</v>
      </c>
      <c r="O4" s="91">
        <v>892637.21000000008</v>
      </c>
      <c r="P4" s="91">
        <v>755601.88</v>
      </c>
      <c r="Q4" s="91">
        <v>0</v>
      </c>
      <c r="R4" s="91">
        <v>0</v>
      </c>
      <c r="S4" s="91">
        <v>9449.5400000000009</v>
      </c>
      <c r="T4" s="91">
        <v>24946.52</v>
      </c>
      <c r="U4" s="91">
        <v>789997.94000000006</v>
      </c>
      <c r="V4" s="91">
        <v>102639.27000000006</v>
      </c>
      <c r="W4" s="91">
        <v>0</v>
      </c>
      <c r="X4" s="91">
        <v>30523.4</v>
      </c>
      <c r="Y4" s="119">
        <v>30523.4</v>
      </c>
      <c r="Z4" s="92">
        <f>V4-Y4</f>
        <v>72115.870000000054</v>
      </c>
    </row>
    <row r="5" spans="1:26" x14ac:dyDescent="0.2">
      <c r="A5" s="89" t="s">
        <v>774</v>
      </c>
      <c r="B5" s="89" t="s">
        <v>775</v>
      </c>
      <c r="C5" s="89">
        <v>701</v>
      </c>
      <c r="D5" s="89" t="s">
        <v>646</v>
      </c>
      <c r="E5" s="67">
        <v>28</v>
      </c>
      <c r="F5" s="89" t="s">
        <v>753</v>
      </c>
      <c r="G5" s="121">
        <v>44859</v>
      </c>
      <c r="H5" s="121"/>
      <c r="I5" s="91">
        <v>5958000</v>
      </c>
      <c r="J5" s="91">
        <v>0</v>
      </c>
      <c r="K5" s="91">
        <v>0</v>
      </c>
      <c r="L5" s="91">
        <v>0</v>
      </c>
      <c r="M5" s="91">
        <v>0</v>
      </c>
      <c r="N5" s="91">
        <v>0</v>
      </c>
      <c r="O5" s="91">
        <v>0</v>
      </c>
      <c r="P5" s="91">
        <v>0</v>
      </c>
      <c r="Q5" s="91">
        <v>0</v>
      </c>
      <c r="R5" s="91">
        <v>16188.24</v>
      </c>
      <c r="S5" s="91">
        <v>7275.35</v>
      </c>
      <c r="T5" s="91">
        <v>28777.66</v>
      </c>
      <c r="U5" s="91">
        <v>52241.250000000007</v>
      </c>
      <c r="V5" s="91">
        <v>-52241.250000000007</v>
      </c>
      <c r="W5" s="91">
        <v>0</v>
      </c>
      <c r="X5" s="91">
        <v>0</v>
      </c>
      <c r="Y5" s="119">
        <v>0</v>
      </c>
      <c r="Z5" s="92">
        <f t="shared" ref="Z5:Z54" si="0">V5-Y5</f>
        <v>-52241.250000000007</v>
      </c>
    </row>
    <row r="6" spans="1:26" x14ac:dyDescent="0.2">
      <c r="A6" s="89" t="s">
        <v>491</v>
      </c>
      <c r="B6" s="89" t="s">
        <v>492</v>
      </c>
      <c r="C6" s="89">
        <v>701</v>
      </c>
      <c r="D6" s="89" t="s">
        <v>646</v>
      </c>
      <c r="E6" s="67">
        <v>330</v>
      </c>
      <c r="F6" s="89" t="s">
        <v>49</v>
      </c>
      <c r="G6" s="121">
        <v>44226</v>
      </c>
      <c r="H6" s="121">
        <v>42198</v>
      </c>
      <c r="I6" s="91">
        <v>5478000</v>
      </c>
      <c r="J6" s="91">
        <v>391861.44</v>
      </c>
      <c r="K6" s="91">
        <v>0</v>
      </c>
      <c r="L6" s="91">
        <v>14898</v>
      </c>
      <c r="M6" s="91">
        <v>0</v>
      </c>
      <c r="N6" s="91">
        <v>0</v>
      </c>
      <c r="O6" s="91">
        <v>406759.44</v>
      </c>
      <c r="P6" s="91">
        <v>298990.02</v>
      </c>
      <c r="Q6" s="91">
        <v>0</v>
      </c>
      <c r="R6" s="91">
        <v>13361.66</v>
      </c>
      <c r="S6" s="91">
        <v>0</v>
      </c>
      <c r="T6" s="91">
        <v>0</v>
      </c>
      <c r="U6" s="91">
        <v>312351.68</v>
      </c>
      <c r="V6" s="91">
        <v>94407.760000000009</v>
      </c>
      <c r="W6" s="91">
        <v>5727.88</v>
      </c>
      <c r="X6" s="91">
        <v>3450.2499999999995</v>
      </c>
      <c r="Y6" s="119">
        <v>9178.130000000001</v>
      </c>
      <c r="Z6" s="92">
        <f t="shared" si="0"/>
        <v>85229.63</v>
      </c>
    </row>
    <row r="7" spans="1:26" x14ac:dyDescent="0.2">
      <c r="A7" s="89" t="s">
        <v>501</v>
      </c>
      <c r="B7" s="89" t="s">
        <v>320</v>
      </c>
      <c r="C7" s="89">
        <v>701</v>
      </c>
      <c r="D7" s="89" t="s">
        <v>646</v>
      </c>
      <c r="E7" s="67">
        <v>330</v>
      </c>
      <c r="F7" s="89" t="s">
        <v>49</v>
      </c>
      <c r="G7" s="121">
        <v>44307</v>
      </c>
      <c r="H7" s="121">
        <v>42198</v>
      </c>
      <c r="I7" s="91">
        <v>5610000</v>
      </c>
      <c r="J7" s="91">
        <v>0</v>
      </c>
      <c r="K7" s="91">
        <v>0</v>
      </c>
      <c r="L7" s="91">
        <v>0</v>
      </c>
      <c r="M7" s="91">
        <v>0</v>
      </c>
      <c r="N7" s="91">
        <v>0</v>
      </c>
      <c r="O7" s="91">
        <v>0</v>
      </c>
      <c r="P7" s="91">
        <v>0</v>
      </c>
      <c r="Q7" s="91">
        <v>0</v>
      </c>
      <c r="R7" s="91">
        <v>0</v>
      </c>
      <c r="S7" s="91">
        <v>0</v>
      </c>
      <c r="T7" s="91">
        <v>0</v>
      </c>
      <c r="U7" s="91">
        <v>0</v>
      </c>
      <c r="V7" s="91">
        <v>0</v>
      </c>
      <c r="W7" s="91">
        <v>0</v>
      </c>
      <c r="X7" s="91">
        <v>3391.4100000000003</v>
      </c>
      <c r="Y7" s="119">
        <v>3391.4100000000003</v>
      </c>
      <c r="Z7" s="92">
        <f t="shared" si="0"/>
        <v>-3391.4100000000003</v>
      </c>
    </row>
    <row r="8" spans="1:26" x14ac:dyDescent="0.2">
      <c r="A8" s="89" t="s">
        <v>47</v>
      </c>
      <c r="B8" s="89" t="s">
        <v>48</v>
      </c>
      <c r="C8" s="89">
        <v>701</v>
      </c>
      <c r="D8" s="89" t="s">
        <v>646</v>
      </c>
      <c r="E8" s="67">
        <v>330</v>
      </c>
      <c r="F8" s="89" t="s">
        <v>49</v>
      </c>
      <c r="G8" s="121">
        <v>44482</v>
      </c>
      <c r="H8" s="121">
        <v>44945</v>
      </c>
      <c r="I8" s="91">
        <v>19323850.199999999</v>
      </c>
      <c r="J8" s="91">
        <v>178849</v>
      </c>
      <c r="K8" s="91">
        <v>0</v>
      </c>
      <c r="L8" s="91">
        <v>13557.210000000001</v>
      </c>
      <c r="M8" s="91">
        <v>0</v>
      </c>
      <c r="N8" s="91">
        <v>0</v>
      </c>
      <c r="O8" s="91">
        <v>192406.21000000002</v>
      </c>
      <c r="P8" s="91">
        <v>106233.68</v>
      </c>
      <c r="Q8" s="91">
        <v>0</v>
      </c>
      <c r="R8" s="91">
        <v>9788.82</v>
      </c>
      <c r="S8" s="91">
        <v>0</v>
      </c>
      <c r="T8" s="91">
        <v>10150.58</v>
      </c>
      <c r="U8" s="91">
        <v>126173.08</v>
      </c>
      <c r="V8" s="91">
        <v>66233.13</v>
      </c>
      <c r="W8" s="91">
        <v>2079.44</v>
      </c>
      <c r="X8" s="91">
        <v>425.67</v>
      </c>
      <c r="Y8" s="119">
        <v>2505.11</v>
      </c>
      <c r="Z8" s="92">
        <f t="shared" si="0"/>
        <v>63728.020000000004</v>
      </c>
    </row>
    <row r="9" spans="1:26" x14ac:dyDescent="0.2">
      <c r="A9" s="89" t="s">
        <v>118</v>
      </c>
      <c r="B9" s="89" t="s">
        <v>119</v>
      </c>
      <c r="C9" s="89">
        <v>701</v>
      </c>
      <c r="D9" s="89" t="s">
        <v>646</v>
      </c>
      <c r="E9" s="67">
        <v>330</v>
      </c>
      <c r="F9" s="89" t="s">
        <v>49</v>
      </c>
      <c r="G9" s="121">
        <v>44496</v>
      </c>
      <c r="H9" s="121">
        <v>44867</v>
      </c>
      <c r="I9" s="91">
        <v>7104600</v>
      </c>
      <c r="J9" s="91">
        <v>0</v>
      </c>
      <c r="K9" s="91">
        <v>0</v>
      </c>
      <c r="L9" s="91">
        <v>0</v>
      </c>
      <c r="M9" s="91">
        <v>0</v>
      </c>
      <c r="N9" s="91">
        <v>0</v>
      </c>
      <c r="O9" s="91">
        <v>0</v>
      </c>
      <c r="P9" s="91">
        <v>0</v>
      </c>
      <c r="Q9" s="91">
        <v>0</v>
      </c>
      <c r="R9" s="91">
        <v>1845.53</v>
      </c>
      <c r="S9" s="91">
        <v>0</v>
      </c>
      <c r="T9" s="91">
        <v>0</v>
      </c>
      <c r="U9" s="91">
        <v>1845.53</v>
      </c>
      <c r="V9" s="91">
        <v>-1845.53</v>
      </c>
      <c r="W9" s="91">
        <v>0</v>
      </c>
      <c r="X9" s="91">
        <v>289.66000000000003</v>
      </c>
      <c r="Y9" s="119">
        <v>289.66000000000003</v>
      </c>
      <c r="Z9" s="92">
        <f t="shared" si="0"/>
        <v>-2135.19</v>
      </c>
    </row>
    <row r="10" spans="1:26" x14ac:dyDescent="0.2">
      <c r="A10" s="89" t="s">
        <v>504</v>
      </c>
      <c r="B10" s="89" t="s">
        <v>505</v>
      </c>
      <c r="C10" s="89">
        <v>701</v>
      </c>
      <c r="D10" s="89" t="s">
        <v>646</v>
      </c>
      <c r="E10" s="67">
        <v>360</v>
      </c>
      <c r="F10" s="89" t="s">
        <v>91</v>
      </c>
      <c r="G10" s="121">
        <v>44226</v>
      </c>
      <c r="H10" s="121">
        <v>42420</v>
      </c>
      <c r="I10" s="91">
        <v>0</v>
      </c>
      <c r="J10" s="91">
        <v>0</v>
      </c>
      <c r="K10" s="91">
        <v>0</v>
      </c>
      <c r="L10" s="91">
        <v>0</v>
      </c>
      <c r="M10" s="91">
        <v>0</v>
      </c>
      <c r="N10" s="91">
        <v>0</v>
      </c>
      <c r="O10" s="91">
        <v>0</v>
      </c>
      <c r="P10" s="91">
        <v>0</v>
      </c>
      <c r="Q10" s="91">
        <v>0</v>
      </c>
      <c r="R10" s="91">
        <v>0</v>
      </c>
      <c r="S10" s="91">
        <v>0</v>
      </c>
      <c r="T10" s="91">
        <v>0</v>
      </c>
      <c r="U10" s="91">
        <v>0</v>
      </c>
      <c r="V10" s="91">
        <v>0</v>
      </c>
      <c r="W10" s="91">
        <v>0</v>
      </c>
      <c r="X10" s="91">
        <v>0</v>
      </c>
      <c r="Y10" s="119">
        <v>0</v>
      </c>
      <c r="Z10" s="92">
        <f t="shared" si="0"/>
        <v>0</v>
      </c>
    </row>
    <row r="11" spans="1:26" x14ac:dyDescent="0.2">
      <c r="A11" s="89" t="s">
        <v>510</v>
      </c>
      <c r="B11" s="89" t="s">
        <v>511</v>
      </c>
      <c r="C11" s="89">
        <v>701</v>
      </c>
      <c r="D11" s="89" t="s">
        <v>646</v>
      </c>
      <c r="E11" s="67">
        <v>360</v>
      </c>
      <c r="F11" s="89" t="s">
        <v>91</v>
      </c>
      <c r="G11" s="121">
        <v>44357</v>
      </c>
      <c r="H11" s="121">
        <v>42198</v>
      </c>
      <c r="I11" s="91">
        <v>0</v>
      </c>
      <c r="J11" s="91">
        <v>0</v>
      </c>
      <c r="K11" s="91">
        <v>0</v>
      </c>
      <c r="L11" s="91">
        <v>0</v>
      </c>
      <c r="M11" s="91">
        <v>0</v>
      </c>
      <c r="N11" s="91">
        <v>0</v>
      </c>
      <c r="O11" s="91">
        <v>0</v>
      </c>
      <c r="P11" s="91">
        <v>0</v>
      </c>
      <c r="Q11" s="91">
        <v>0</v>
      </c>
      <c r="R11" s="91">
        <v>0</v>
      </c>
      <c r="S11" s="91">
        <v>0</v>
      </c>
      <c r="T11" s="91">
        <v>0</v>
      </c>
      <c r="U11" s="91">
        <v>0</v>
      </c>
      <c r="V11" s="91">
        <v>0</v>
      </c>
      <c r="W11" s="91">
        <v>0</v>
      </c>
      <c r="X11" s="91">
        <v>0</v>
      </c>
      <c r="Y11" s="119">
        <v>0</v>
      </c>
      <c r="Z11" s="92">
        <f t="shared" si="0"/>
        <v>0</v>
      </c>
    </row>
    <row r="12" spans="1:26" x14ac:dyDescent="0.2">
      <c r="A12" s="89" t="s">
        <v>89</v>
      </c>
      <c r="B12" s="89" t="s">
        <v>90</v>
      </c>
      <c r="C12" s="89">
        <v>701</v>
      </c>
      <c r="D12" s="89" t="s">
        <v>646</v>
      </c>
      <c r="E12" s="67">
        <v>360</v>
      </c>
      <c r="F12" s="89" t="s">
        <v>91</v>
      </c>
      <c r="G12" s="121">
        <v>44638</v>
      </c>
      <c r="H12" s="121"/>
      <c r="I12" s="91">
        <v>2420000</v>
      </c>
      <c r="J12" s="91">
        <v>0</v>
      </c>
      <c r="K12" s="91">
        <v>0</v>
      </c>
      <c r="L12" s="91">
        <v>0</v>
      </c>
      <c r="M12" s="91">
        <v>0</v>
      </c>
      <c r="N12" s="91">
        <v>0</v>
      </c>
      <c r="O12" s="91">
        <v>0</v>
      </c>
      <c r="P12" s="91">
        <v>0</v>
      </c>
      <c r="Q12" s="91">
        <v>0</v>
      </c>
      <c r="R12" s="91">
        <v>868.98</v>
      </c>
      <c r="S12" s="91">
        <v>0</v>
      </c>
      <c r="T12" s="91">
        <v>0</v>
      </c>
      <c r="U12" s="91">
        <v>868.98</v>
      </c>
      <c r="V12" s="91">
        <v>-868.98</v>
      </c>
      <c r="W12" s="91">
        <v>0</v>
      </c>
      <c r="X12" s="91">
        <v>0</v>
      </c>
      <c r="Y12" s="119">
        <v>0</v>
      </c>
      <c r="Z12" s="92">
        <f t="shared" si="0"/>
        <v>-868.98</v>
      </c>
    </row>
    <row r="13" spans="1:26" x14ac:dyDescent="0.2">
      <c r="A13" s="89" t="s">
        <v>315</v>
      </c>
      <c r="B13" s="89" t="s">
        <v>316</v>
      </c>
      <c r="C13" s="89">
        <v>701</v>
      </c>
      <c r="D13" s="89" t="s">
        <v>646</v>
      </c>
      <c r="E13" s="67">
        <v>404</v>
      </c>
      <c r="F13" s="89" t="s">
        <v>237</v>
      </c>
      <c r="G13" s="121">
        <v>44334</v>
      </c>
      <c r="H13" s="121">
        <v>43328</v>
      </c>
      <c r="I13" s="91">
        <v>67325484</v>
      </c>
      <c r="J13" s="91">
        <v>2879571.2</v>
      </c>
      <c r="K13" s="91">
        <v>0</v>
      </c>
      <c r="L13" s="91">
        <v>10754.37</v>
      </c>
      <c r="M13" s="91">
        <v>154822</v>
      </c>
      <c r="N13" s="91">
        <v>0</v>
      </c>
      <c r="O13" s="91">
        <v>3045147.5700000003</v>
      </c>
      <c r="P13" s="91">
        <v>2745315.44</v>
      </c>
      <c r="Q13" s="91">
        <v>0</v>
      </c>
      <c r="R13" s="91">
        <v>37730.879999999997</v>
      </c>
      <c r="S13" s="91">
        <v>48258.380000000005</v>
      </c>
      <c r="T13" s="91">
        <v>53782.039999999994</v>
      </c>
      <c r="U13" s="91">
        <v>2885086.7399999998</v>
      </c>
      <c r="V13" s="91">
        <v>160060.83000000042</v>
      </c>
      <c r="W13" s="91">
        <v>722.22</v>
      </c>
      <c r="X13" s="91">
        <v>18733.09</v>
      </c>
      <c r="Y13" s="119">
        <v>19455.310000000001</v>
      </c>
      <c r="Z13" s="92">
        <f t="shared" si="0"/>
        <v>140605.52000000043</v>
      </c>
    </row>
    <row r="14" spans="1:26" x14ac:dyDescent="0.2">
      <c r="A14" s="89" t="s">
        <v>240</v>
      </c>
      <c r="B14" s="89" t="s">
        <v>241</v>
      </c>
      <c r="C14" s="89">
        <v>701</v>
      </c>
      <c r="D14" s="89" t="s">
        <v>646</v>
      </c>
      <c r="E14" s="67">
        <v>330</v>
      </c>
      <c r="F14" s="89" t="s">
        <v>49</v>
      </c>
      <c r="G14" s="121">
        <v>44226</v>
      </c>
      <c r="H14" s="121">
        <v>42181</v>
      </c>
      <c r="I14" s="91">
        <v>0</v>
      </c>
      <c r="J14" s="91">
        <v>0</v>
      </c>
      <c r="K14" s="91">
        <v>0</v>
      </c>
      <c r="L14" s="91">
        <v>0</v>
      </c>
      <c r="M14" s="91">
        <v>0</v>
      </c>
      <c r="N14" s="91">
        <v>0</v>
      </c>
      <c r="O14" s="91">
        <v>0</v>
      </c>
      <c r="P14" s="91">
        <v>0</v>
      </c>
      <c r="Q14" s="91">
        <v>0</v>
      </c>
      <c r="R14" s="91">
        <v>0</v>
      </c>
      <c r="S14" s="91">
        <v>0</v>
      </c>
      <c r="T14" s="91">
        <v>0</v>
      </c>
      <c r="U14" s="91">
        <v>0</v>
      </c>
      <c r="V14" s="91">
        <v>0</v>
      </c>
      <c r="W14" s="91">
        <v>0</v>
      </c>
      <c r="X14" s="91">
        <v>0</v>
      </c>
      <c r="Y14" s="119">
        <v>0</v>
      </c>
      <c r="Z14" s="92">
        <f t="shared" si="0"/>
        <v>0</v>
      </c>
    </row>
    <row r="15" spans="1:26" x14ac:dyDescent="0.2">
      <c r="A15" s="89" t="s">
        <v>242</v>
      </c>
      <c r="B15" s="89" t="s">
        <v>243</v>
      </c>
      <c r="C15" s="89">
        <v>701</v>
      </c>
      <c r="D15" s="89" t="s">
        <v>646</v>
      </c>
      <c r="E15" s="67">
        <v>330</v>
      </c>
      <c r="F15" s="89" t="s">
        <v>49</v>
      </c>
      <c r="G15" s="121">
        <v>44226</v>
      </c>
      <c r="H15" s="121">
        <v>42181</v>
      </c>
      <c r="I15" s="91">
        <v>0</v>
      </c>
      <c r="J15" s="91">
        <v>0</v>
      </c>
      <c r="K15" s="91">
        <v>0</v>
      </c>
      <c r="L15" s="91">
        <v>0</v>
      </c>
      <c r="M15" s="91">
        <v>0</v>
      </c>
      <c r="N15" s="91">
        <v>0</v>
      </c>
      <c r="O15" s="91">
        <v>0</v>
      </c>
      <c r="P15" s="91">
        <v>0</v>
      </c>
      <c r="Q15" s="91">
        <v>0</v>
      </c>
      <c r="R15" s="91">
        <v>0</v>
      </c>
      <c r="S15" s="91">
        <v>0</v>
      </c>
      <c r="T15" s="91">
        <v>4489.4400000000005</v>
      </c>
      <c r="U15" s="91">
        <v>4489.4400000000005</v>
      </c>
      <c r="V15" s="91">
        <v>-4489.4400000000005</v>
      </c>
      <c r="W15" s="91">
        <v>0</v>
      </c>
      <c r="X15" s="91">
        <v>62.94</v>
      </c>
      <c r="Y15" s="119">
        <v>62.94</v>
      </c>
      <c r="Z15" s="92">
        <f t="shared" si="0"/>
        <v>-4552.38</v>
      </c>
    </row>
    <row r="16" spans="1:26" x14ac:dyDescent="0.2">
      <c r="A16" s="89" t="s">
        <v>400</v>
      </c>
      <c r="B16" s="89" t="s">
        <v>401</v>
      </c>
      <c r="C16" s="89">
        <v>701</v>
      </c>
      <c r="D16" s="89" t="s">
        <v>646</v>
      </c>
      <c r="E16" s="67">
        <v>330</v>
      </c>
      <c r="F16" s="89" t="s">
        <v>49</v>
      </c>
      <c r="G16" s="121">
        <v>44226</v>
      </c>
      <c r="H16" s="121">
        <v>43328</v>
      </c>
      <c r="I16" s="91">
        <v>1491440</v>
      </c>
      <c r="J16" s="91">
        <v>51892.6</v>
      </c>
      <c r="K16" s="91">
        <v>0</v>
      </c>
      <c r="L16" s="91">
        <v>0</v>
      </c>
      <c r="M16" s="91">
        <v>0</v>
      </c>
      <c r="N16" s="91">
        <v>0</v>
      </c>
      <c r="O16" s="91">
        <v>51892.6</v>
      </c>
      <c r="P16" s="91">
        <v>38122</v>
      </c>
      <c r="Q16" s="91">
        <v>0</v>
      </c>
      <c r="R16" s="91">
        <v>0</v>
      </c>
      <c r="S16" s="91">
        <v>0</v>
      </c>
      <c r="T16" s="91">
        <v>0</v>
      </c>
      <c r="U16" s="91">
        <v>38122</v>
      </c>
      <c r="V16" s="91">
        <v>13770.599999999999</v>
      </c>
      <c r="W16" s="91">
        <v>0</v>
      </c>
      <c r="X16" s="91">
        <v>0</v>
      </c>
      <c r="Y16" s="119">
        <v>0</v>
      </c>
      <c r="Z16" s="92">
        <f t="shared" si="0"/>
        <v>13770.599999999999</v>
      </c>
    </row>
    <row r="17" spans="1:26" x14ac:dyDescent="0.2">
      <c r="A17" s="89" t="s">
        <v>170</v>
      </c>
      <c r="B17" s="89" t="s">
        <v>171</v>
      </c>
      <c r="C17" s="89">
        <v>701</v>
      </c>
      <c r="D17" s="89" t="s">
        <v>646</v>
      </c>
      <c r="E17" s="67" t="s">
        <v>172</v>
      </c>
      <c r="F17" s="89" t="s">
        <v>173</v>
      </c>
      <c r="G17" s="121">
        <v>44757</v>
      </c>
      <c r="H17" s="121"/>
      <c r="I17" s="91">
        <v>21578100</v>
      </c>
      <c r="J17" s="91">
        <v>23064.6</v>
      </c>
      <c r="K17" s="91">
        <v>0</v>
      </c>
      <c r="L17" s="91">
        <v>1762.11</v>
      </c>
      <c r="M17" s="91">
        <v>0</v>
      </c>
      <c r="N17" s="91">
        <v>0</v>
      </c>
      <c r="O17" s="91">
        <v>24826.71</v>
      </c>
      <c r="P17" s="91">
        <v>18546.060000000001</v>
      </c>
      <c r="Q17" s="91">
        <v>0</v>
      </c>
      <c r="R17" s="91">
        <v>36388.43</v>
      </c>
      <c r="S17" s="91">
        <v>41718.65</v>
      </c>
      <c r="T17" s="91">
        <v>15796.859999999999</v>
      </c>
      <c r="U17" s="91">
        <v>112450</v>
      </c>
      <c r="V17" s="91">
        <v>-87623.29</v>
      </c>
      <c r="W17" s="91">
        <v>3174.29</v>
      </c>
      <c r="X17" s="91">
        <v>356.02000000000004</v>
      </c>
      <c r="Y17" s="119">
        <v>3530.31</v>
      </c>
      <c r="Z17" s="92">
        <f t="shared" si="0"/>
        <v>-91153.599999999991</v>
      </c>
    </row>
    <row r="18" spans="1:26" x14ac:dyDescent="0.2">
      <c r="A18" s="89" t="s">
        <v>427</v>
      </c>
      <c r="B18" s="89" t="s">
        <v>428</v>
      </c>
      <c r="C18" s="89">
        <v>701</v>
      </c>
      <c r="D18" s="89" t="s">
        <v>646</v>
      </c>
      <c r="E18" s="67">
        <v>330</v>
      </c>
      <c r="F18" s="89" t="s">
        <v>49</v>
      </c>
      <c r="G18" s="121">
        <v>44226</v>
      </c>
      <c r="H18" s="121">
        <v>43266</v>
      </c>
      <c r="I18" s="91">
        <v>0</v>
      </c>
      <c r="J18" s="91">
        <v>0</v>
      </c>
      <c r="K18" s="91">
        <v>0</v>
      </c>
      <c r="L18" s="91">
        <v>0</v>
      </c>
      <c r="M18" s="91">
        <v>0</v>
      </c>
      <c r="N18" s="91">
        <v>0</v>
      </c>
      <c r="O18" s="91">
        <v>0</v>
      </c>
      <c r="P18" s="91">
        <v>0</v>
      </c>
      <c r="Q18" s="91">
        <v>0</v>
      </c>
      <c r="R18" s="91">
        <v>0</v>
      </c>
      <c r="S18" s="91">
        <v>0</v>
      </c>
      <c r="T18" s="91">
        <v>0</v>
      </c>
      <c r="U18" s="91">
        <v>0</v>
      </c>
      <c r="V18" s="91">
        <v>0</v>
      </c>
      <c r="W18" s="91">
        <v>0</v>
      </c>
      <c r="X18" s="91">
        <v>0</v>
      </c>
      <c r="Y18" s="119">
        <v>0</v>
      </c>
      <c r="Z18" s="92">
        <f t="shared" si="0"/>
        <v>0</v>
      </c>
    </row>
    <row r="19" spans="1:26" x14ac:dyDescent="0.2">
      <c r="A19" s="89" t="s">
        <v>514</v>
      </c>
      <c r="B19" s="89" t="s">
        <v>515</v>
      </c>
      <c r="C19" s="89">
        <v>701</v>
      </c>
      <c r="D19" s="89" t="s">
        <v>646</v>
      </c>
      <c r="E19" s="67">
        <v>330</v>
      </c>
      <c r="F19" s="89" t="s">
        <v>49</v>
      </c>
      <c r="G19" s="121">
        <v>44226</v>
      </c>
      <c r="H19" s="121">
        <v>42551</v>
      </c>
      <c r="I19" s="91">
        <v>6333973.7999999998</v>
      </c>
      <c r="J19" s="91">
        <v>22367.5</v>
      </c>
      <c r="K19" s="91">
        <v>0</v>
      </c>
      <c r="L19" s="91">
        <v>0</v>
      </c>
      <c r="M19" s="91">
        <v>0</v>
      </c>
      <c r="N19" s="91">
        <v>0</v>
      </c>
      <c r="O19" s="91">
        <v>22367.5</v>
      </c>
      <c r="P19" s="91">
        <v>16338</v>
      </c>
      <c r="Q19" s="91">
        <v>0</v>
      </c>
      <c r="R19" s="91">
        <v>0</v>
      </c>
      <c r="S19" s="91">
        <v>0</v>
      </c>
      <c r="T19" s="91">
        <v>0</v>
      </c>
      <c r="U19" s="91">
        <v>16338</v>
      </c>
      <c r="V19" s="91">
        <v>6029.5</v>
      </c>
      <c r="W19" s="91">
        <v>4385.79</v>
      </c>
      <c r="X19" s="91">
        <v>0</v>
      </c>
      <c r="Y19" s="119">
        <v>4385.79</v>
      </c>
      <c r="Z19" s="92">
        <f t="shared" si="0"/>
        <v>1643.71</v>
      </c>
    </row>
    <row r="20" spans="1:26" x14ac:dyDescent="0.2">
      <c r="A20" s="89" t="s">
        <v>942</v>
      </c>
      <c r="B20" s="89" t="s">
        <v>952</v>
      </c>
      <c r="C20" s="89">
        <v>701</v>
      </c>
      <c r="D20" s="89" t="s">
        <v>646</v>
      </c>
      <c r="E20" s="67">
        <v>330</v>
      </c>
      <c r="F20" s="89" t="s">
        <v>49</v>
      </c>
      <c r="G20" s="121">
        <v>44226</v>
      </c>
      <c r="H20" s="121">
        <v>42207</v>
      </c>
      <c r="I20" s="91">
        <v>0</v>
      </c>
      <c r="J20" s="91">
        <v>0</v>
      </c>
      <c r="K20" s="91">
        <v>0</v>
      </c>
      <c r="L20" s="91">
        <v>0</v>
      </c>
      <c r="M20" s="91">
        <v>0</v>
      </c>
      <c r="N20" s="91">
        <v>0</v>
      </c>
      <c r="O20" s="91">
        <v>0</v>
      </c>
      <c r="P20" s="91">
        <v>0</v>
      </c>
      <c r="Q20" s="91">
        <v>0</v>
      </c>
      <c r="R20" s="91">
        <v>0</v>
      </c>
      <c r="S20" s="91">
        <v>0</v>
      </c>
      <c r="T20" s="91">
        <v>0</v>
      </c>
      <c r="U20" s="91">
        <v>0</v>
      </c>
      <c r="V20" s="91">
        <v>0</v>
      </c>
      <c r="W20" s="91">
        <v>0</v>
      </c>
      <c r="X20" s="91">
        <v>0</v>
      </c>
      <c r="Y20" s="119">
        <v>0</v>
      </c>
      <c r="Z20" s="92">
        <f t="shared" si="0"/>
        <v>0</v>
      </c>
    </row>
    <row r="21" spans="1:26" x14ac:dyDescent="0.2">
      <c r="A21" s="89" t="s">
        <v>986</v>
      </c>
      <c r="B21" s="89" t="s">
        <v>987</v>
      </c>
      <c r="C21" s="89">
        <v>701</v>
      </c>
      <c r="D21" s="89" t="s">
        <v>646</v>
      </c>
      <c r="E21" s="67">
        <v>360</v>
      </c>
      <c r="F21" s="89" t="s">
        <v>91</v>
      </c>
      <c r="G21" s="121">
        <v>44226</v>
      </c>
      <c r="H21" s="121">
        <v>43761</v>
      </c>
      <c r="I21" s="91">
        <v>0</v>
      </c>
      <c r="J21" s="91">
        <v>0</v>
      </c>
      <c r="K21" s="91">
        <v>0</v>
      </c>
      <c r="L21" s="91">
        <v>0</v>
      </c>
      <c r="M21" s="91">
        <v>0</v>
      </c>
      <c r="N21" s="91">
        <v>0</v>
      </c>
      <c r="O21" s="91">
        <v>0</v>
      </c>
      <c r="P21" s="91">
        <v>0</v>
      </c>
      <c r="Q21" s="91">
        <v>0</v>
      </c>
      <c r="R21" s="91">
        <v>0</v>
      </c>
      <c r="S21" s="91">
        <v>0</v>
      </c>
      <c r="T21" s="91">
        <v>0</v>
      </c>
      <c r="U21" s="91">
        <v>0</v>
      </c>
      <c r="V21" s="91">
        <v>0</v>
      </c>
      <c r="W21" s="91">
        <v>0</v>
      </c>
      <c r="X21" s="91">
        <v>0</v>
      </c>
      <c r="Y21" s="119">
        <v>0</v>
      </c>
      <c r="Z21" s="92">
        <f t="shared" si="0"/>
        <v>0</v>
      </c>
    </row>
    <row r="22" spans="1:26" x14ac:dyDescent="0.2">
      <c r="A22" s="89" t="s">
        <v>425</v>
      </c>
      <c r="B22" s="89" t="s">
        <v>426</v>
      </c>
      <c r="C22" s="89">
        <v>701</v>
      </c>
      <c r="D22" s="89" t="s">
        <v>646</v>
      </c>
      <c r="E22" s="67">
        <v>330</v>
      </c>
      <c r="F22" s="89" t="s">
        <v>49</v>
      </c>
      <c r="G22" s="121">
        <v>44226</v>
      </c>
      <c r="H22" s="121">
        <v>43577</v>
      </c>
      <c r="I22" s="91">
        <v>0</v>
      </c>
      <c r="J22" s="91">
        <v>0</v>
      </c>
      <c r="K22" s="91">
        <v>0</v>
      </c>
      <c r="L22" s="91">
        <v>0</v>
      </c>
      <c r="M22" s="91">
        <v>0</v>
      </c>
      <c r="N22" s="91">
        <v>0</v>
      </c>
      <c r="O22" s="91">
        <v>0</v>
      </c>
      <c r="P22" s="91">
        <v>0</v>
      </c>
      <c r="Q22" s="91">
        <v>0</v>
      </c>
      <c r="R22" s="91">
        <v>8788.130000000001</v>
      </c>
      <c r="S22" s="91">
        <v>0</v>
      </c>
      <c r="T22" s="91">
        <v>0</v>
      </c>
      <c r="U22" s="91">
        <v>8788.130000000001</v>
      </c>
      <c r="V22" s="91">
        <v>-8788.130000000001</v>
      </c>
      <c r="W22" s="91">
        <v>0</v>
      </c>
      <c r="X22" s="91">
        <v>0</v>
      </c>
      <c r="Y22" s="119">
        <v>0</v>
      </c>
      <c r="Z22" s="92">
        <f t="shared" si="0"/>
        <v>-8788.130000000001</v>
      </c>
    </row>
    <row r="23" spans="1:26" x14ac:dyDescent="0.2">
      <c r="A23" s="89" t="s">
        <v>429</v>
      </c>
      <c r="B23" s="89" t="s">
        <v>430</v>
      </c>
      <c r="C23" s="89">
        <v>701</v>
      </c>
      <c r="D23" s="89" t="s">
        <v>646</v>
      </c>
      <c r="E23" s="67">
        <v>330</v>
      </c>
      <c r="F23" s="89" t="s">
        <v>49</v>
      </c>
      <c r="G23" s="121">
        <v>44226</v>
      </c>
      <c r="H23" s="121">
        <v>43329</v>
      </c>
      <c r="I23" s="91">
        <v>338772.5</v>
      </c>
      <c r="J23" s="91">
        <v>142202.84</v>
      </c>
      <c r="K23" s="91">
        <v>0</v>
      </c>
      <c r="L23" s="91">
        <v>0</v>
      </c>
      <c r="M23" s="91">
        <v>0</v>
      </c>
      <c r="N23" s="91">
        <v>0</v>
      </c>
      <c r="O23" s="91">
        <v>142202.84</v>
      </c>
      <c r="P23" s="91">
        <v>115144</v>
      </c>
      <c r="Q23" s="91">
        <v>0</v>
      </c>
      <c r="R23" s="91">
        <v>0</v>
      </c>
      <c r="S23" s="91">
        <v>0</v>
      </c>
      <c r="T23" s="91">
        <v>0</v>
      </c>
      <c r="U23" s="91">
        <v>115144</v>
      </c>
      <c r="V23" s="91">
        <v>27058.839999999997</v>
      </c>
      <c r="W23" s="91">
        <v>0</v>
      </c>
      <c r="X23" s="91">
        <v>2763.2000000000003</v>
      </c>
      <c r="Y23" s="119">
        <v>2763.2000000000003</v>
      </c>
      <c r="Z23" s="92">
        <f t="shared" si="0"/>
        <v>24295.639999999996</v>
      </c>
    </row>
    <row r="24" spans="1:26" x14ac:dyDescent="0.2">
      <c r="A24" s="89" t="s">
        <v>433</v>
      </c>
      <c r="B24" s="89" t="s">
        <v>434</v>
      </c>
      <c r="C24" s="89">
        <v>701</v>
      </c>
      <c r="D24" s="89" t="s">
        <v>646</v>
      </c>
      <c r="E24" s="67">
        <v>293</v>
      </c>
      <c r="F24" s="89" t="s">
        <v>435</v>
      </c>
      <c r="G24" s="121">
        <v>44226</v>
      </c>
      <c r="H24" s="121">
        <v>43717</v>
      </c>
      <c r="I24" s="91">
        <v>0</v>
      </c>
      <c r="J24" s="91">
        <v>0</v>
      </c>
      <c r="K24" s="91">
        <v>0</v>
      </c>
      <c r="L24" s="91">
        <v>0</v>
      </c>
      <c r="M24" s="91">
        <v>0</v>
      </c>
      <c r="N24" s="91">
        <v>0</v>
      </c>
      <c r="O24" s="91">
        <v>0</v>
      </c>
      <c r="P24" s="91">
        <v>0</v>
      </c>
      <c r="Q24" s="91">
        <v>0</v>
      </c>
      <c r="R24" s="91">
        <v>0</v>
      </c>
      <c r="S24" s="91">
        <v>0</v>
      </c>
      <c r="T24" s="91">
        <v>0</v>
      </c>
      <c r="U24" s="91">
        <v>0</v>
      </c>
      <c r="V24" s="91">
        <v>0</v>
      </c>
      <c r="W24" s="91">
        <v>0</v>
      </c>
      <c r="X24" s="91">
        <v>0</v>
      </c>
      <c r="Y24" s="119">
        <v>0</v>
      </c>
      <c r="Z24" s="92">
        <f t="shared" si="0"/>
        <v>0</v>
      </c>
    </row>
    <row r="25" spans="1:26" x14ac:dyDescent="0.2">
      <c r="A25" s="89" t="s">
        <v>483</v>
      </c>
      <c r="B25" s="89" t="s">
        <v>484</v>
      </c>
      <c r="C25" s="89">
        <v>701</v>
      </c>
      <c r="D25" s="89" t="s">
        <v>646</v>
      </c>
      <c r="E25" s="67">
        <v>330</v>
      </c>
      <c r="F25" s="89" t="s">
        <v>49</v>
      </c>
      <c r="G25" s="121">
        <v>0</v>
      </c>
      <c r="H25" s="121">
        <v>0</v>
      </c>
      <c r="I25" s="91">
        <v>0</v>
      </c>
      <c r="J25" s="91">
        <v>0</v>
      </c>
      <c r="K25" s="91">
        <v>0</v>
      </c>
      <c r="L25" s="91">
        <v>0</v>
      </c>
      <c r="M25" s="91">
        <v>0</v>
      </c>
      <c r="N25" s="91">
        <v>0</v>
      </c>
      <c r="O25" s="91">
        <v>0</v>
      </c>
      <c r="P25" s="91">
        <v>0</v>
      </c>
      <c r="Q25" s="91">
        <v>0</v>
      </c>
      <c r="R25" s="91">
        <v>0</v>
      </c>
      <c r="S25" s="91">
        <v>0</v>
      </c>
      <c r="T25" s="91">
        <v>0</v>
      </c>
      <c r="U25" s="91">
        <v>0</v>
      </c>
      <c r="V25" s="91">
        <v>0</v>
      </c>
      <c r="W25" s="91">
        <v>0</v>
      </c>
      <c r="X25" s="91">
        <v>0</v>
      </c>
      <c r="Y25" s="119">
        <v>0</v>
      </c>
      <c r="Z25" s="92">
        <f t="shared" si="0"/>
        <v>0</v>
      </c>
    </row>
    <row r="26" spans="1:26" x14ac:dyDescent="0.2">
      <c r="A26" s="89" t="s">
        <v>564</v>
      </c>
      <c r="B26" s="89" t="s">
        <v>565</v>
      </c>
      <c r="C26" s="89">
        <v>701</v>
      </c>
      <c r="D26" s="89" t="s">
        <v>646</v>
      </c>
      <c r="E26" s="67" t="s">
        <v>136</v>
      </c>
      <c r="F26" s="89" t="s">
        <v>137</v>
      </c>
      <c r="G26" s="121">
        <v>44226</v>
      </c>
      <c r="H26" s="121">
        <v>44133</v>
      </c>
      <c r="I26" s="91">
        <v>0</v>
      </c>
      <c r="J26" s="91">
        <v>0</v>
      </c>
      <c r="K26" s="91">
        <v>0</v>
      </c>
      <c r="L26" s="91">
        <v>0</v>
      </c>
      <c r="M26" s="91">
        <v>0</v>
      </c>
      <c r="N26" s="91">
        <v>0</v>
      </c>
      <c r="O26" s="91">
        <v>0</v>
      </c>
      <c r="P26" s="91">
        <v>0</v>
      </c>
      <c r="Q26" s="91">
        <v>0</v>
      </c>
      <c r="R26" s="91">
        <v>17857.79</v>
      </c>
      <c r="S26" s="91">
        <v>0</v>
      </c>
      <c r="T26" s="91">
        <v>0</v>
      </c>
      <c r="U26" s="91">
        <v>17857.79</v>
      </c>
      <c r="V26" s="91">
        <v>-17857.79</v>
      </c>
      <c r="W26" s="91">
        <v>1002.37</v>
      </c>
      <c r="X26" s="91">
        <v>117.61</v>
      </c>
      <c r="Y26" s="119">
        <v>1119.98</v>
      </c>
      <c r="Z26" s="92">
        <f t="shared" si="0"/>
        <v>-18977.77</v>
      </c>
    </row>
    <row r="27" spans="1:26" x14ac:dyDescent="0.2">
      <c r="A27" s="89" t="s">
        <v>134</v>
      </c>
      <c r="B27" s="89" t="s">
        <v>135</v>
      </c>
      <c r="C27" s="89">
        <v>701</v>
      </c>
      <c r="D27" s="89" t="s">
        <v>646</v>
      </c>
      <c r="E27" s="67" t="s">
        <v>136</v>
      </c>
      <c r="F27" s="89" t="s">
        <v>137</v>
      </c>
      <c r="G27" s="121">
        <v>44480</v>
      </c>
      <c r="H27" s="121"/>
      <c r="I27" s="91">
        <v>2180000</v>
      </c>
      <c r="J27" s="91">
        <v>0</v>
      </c>
      <c r="K27" s="91">
        <v>0</v>
      </c>
      <c r="L27" s="91">
        <v>0</v>
      </c>
      <c r="M27" s="91">
        <v>0</v>
      </c>
      <c r="N27" s="91">
        <v>0</v>
      </c>
      <c r="O27" s="91">
        <v>0</v>
      </c>
      <c r="P27" s="91">
        <v>0</v>
      </c>
      <c r="Q27" s="91">
        <v>0</v>
      </c>
      <c r="R27" s="91">
        <v>9094.98</v>
      </c>
      <c r="S27" s="91">
        <v>0</v>
      </c>
      <c r="T27" s="91">
        <v>0</v>
      </c>
      <c r="U27" s="91">
        <v>9094.98</v>
      </c>
      <c r="V27" s="91">
        <v>-9094.98</v>
      </c>
      <c r="W27" s="91">
        <v>0</v>
      </c>
      <c r="X27" s="91">
        <v>0</v>
      </c>
      <c r="Y27" s="119">
        <v>0</v>
      </c>
      <c r="Z27" s="92">
        <f t="shared" si="0"/>
        <v>-9094.98</v>
      </c>
    </row>
    <row r="28" spans="1:26" x14ac:dyDescent="0.2">
      <c r="A28" s="89" t="s">
        <v>816</v>
      </c>
      <c r="B28" s="89" t="s">
        <v>817</v>
      </c>
      <c r="C28" s="89">
        <v>701</v>
      </c>
      <c r="D28" s="89" t="s">
        <v>646</v>
      </c>
      <c r="E28" s="67" t="s">
        <v>136</v>
      </c>
      <c r="F28" s="89" t="s">
        <v>137</v>
      </c>
      <c r="G28" s="121">
        <v>44894</v>
      </c>
      <c r="H28" s="121"/>
      <c r="I28" s="91">
        <v>2622471.5</v>
      </c>
      <c r="J28" s="91">
        <v>0</v>
      </c>
      <c r="K28" s="91">
        <v>0</v>
      </c>
      <c r="L28" s="91">
        <v>0</v>
      </c>
      <c r="M28" s="91">
        <v>0</v>
      </c>
      <c r="N28" s="91">
        <v>0</v>
      </c>
      <c r="O28" s="91">
        <v>0</v>
      </c>
      <c r="P28" s="91">
        <v>0</v>
      </c>
      <c r="Q28" s="91">
        <v>0</v>
      </c>
      <c r="R28" s="91">
        <v>72331.91</v>
      </c>
      <c r="S28" s="91">
        <v>369.37</v>
      </c>
      <c r="T28" s="91">
        <v>21418.57</v>
      </c>
      <c r="U28" s="91">
        <v>94119.85</v>
      </c>
      <c r="V28" s="91">
        <v>-94119.85</v>
      </c>
      <c r="W28" s="91">
        <v>0</v>
      </c>
      <c r="X28" s="91">
        <v>0</v>
      </c>
      <c r="Y28" s="119">
        <v>0</v>
      </c>
      <c r="Z28" s="92">
        <f t="shared" si="0"/>
        <v>-94119.85</v>
      </c>
    </row>
    <row r="29" spans="1:26" x14ac:dyDescent="0.2">
      <c r="A29" s="89" t="s">
        <v>883</v>
      </c>
      <c r="B29" s="89" t="s">
        <v>884</v>
      </c>
      <c r="C29" s="89">
        <v>701</v>
      </c>
      <c r="D29" s="89" t="s">
        <v>646</v>
      </c>
      <c r="E29" s="67" t="s">
        <v>62</v>
      </c>
      <c r="F29" s="89" t="s">
        <v>63</v>
      </c>
      <c r="G29" s="121">
        <v>44935</v>
      </c>
      <c r="H29" s="121"/>
      <c r="I29" s="91">
        <v>69500</v>
      </c>
      <c r="J29" s="91">
        <v>0</v>
      </c>
      <c r="K29" s="91">
        <v>0</v>
      </c>
      <c r="L29" s="91">
        <v>0</v>
      </c>
      <c r="M29" s="91">
        <v>0</v>
      </c>
      <c r="N29" s="91">
        <v>0</v>
      </c>
      <c r="O29" s="91">
        <v>0</v>
      </c>
      <c r="P29" s="91">
        <v>0</v>
      </c>
      <c r="Q29" s="91">
        <v>0</v>
      </c>
      <c r="R29" s="91">
        <v>0</v>
      </c>
      <c r="S29" s="91">
        <v>0</v>
      </c>
      <c r="T29" s="91">
        <v>0</v>
      </c>
      <c r="U29" s="91">
        <v>0</v>
      </c>
      <c r="V29" s="91">
        <v>0</v>
      </c>
      <c r="W29" s="91">
        <v>0</v>
      </c>
      <c r="X29" s="91">
        <v>0</v>
      </c>
      <c r="Y29" s="119">
        <v>0</v>
      </c>
      <c r="Z29" s="92">
        <f t="shared" si="0"/>
        <v>0</v>
      </c>
    </row>
    <row r="30" spans="1:26" x14ac:dyDescent="0.2">
      <c r="A30" s="89" t="s">
        <v>297</v>
      </c>
      <c r="B30" s="89" t="s">
        <v>298</v>
      </c>
      <c r="C30" s="89">
        <v>701</v>
      </c>
      <c r="D30" s="89" t="s">
        <v>646</v>
      </c>
      <c r="E30" s="67" t="s">
        <v>5</v>
      </c>
      <c r="F30" s="89" t="s">
        <v>6</v>
      </c>
      <c r="G30" s="121">
        <v>44264</v>
      </c>
      <c r="H30" s="121">
        <v>44288</v>
      </c>
      <c r="I30" s="91">
        <v>1922753.8</v>
      </c>
      <c r="J30" s="91">
        <v>0</v>
      </c>
      <c r="K30" s="91">
        <v>0</v>
      </c>
      <c r="L30" s="91">
        <v>0</v>
      </c>
      <c r="M30" s="91">
        <v>0</v>
      </c>
      <c r="N30" s="91">
        <v>0</v>
      </c>
      <c r="O30" s="91">
        <v>0</v>
      </c>
      <c r="P30" s="91">
        <v>0</v>
      </c>
      <c r="Q30" s="91">
        <v>0</v>
      </c>
      <c r="R30" s="91">
        <v>0</v>
      </c>
      <c r="S30" s="91">
        <v>0</v>
      </c>
      <c r="T30" s="91">
        <v>0</v>
      </c>
      <c r="U30" s="91">
        <v>0</v>
      </c>
      <c r="V30" s="91">
        <v>0</v>
      </c>
      <c r="W30" s="91">
        <v>0</v>
      </c>
      <c r="X30" s="91">
        <v>0</v>
      </c>
      <c r="Y30" s="119">
        <v>0</v>
      </c>
      <c r="Z30" s="92">
        <f t="shared" si="0"/>
        <v>0</v>
      </c>
    </row>
    <row r="31" spans="1:26" x14ac:dyDescent="0.2">
      <c r="A31" s="89" t="s">
        <v>162</v>
      </c>
      <c r="B31" s="89" t="s">
        <v>163</v>
      </c>
      <c r="C31" s="89">
        <v>701</v>
      </c>
      <c r="D31" s="89" t="s">
        <v>646</v>
      </c>
      <c r="E31" s="67" t="s">
        <v>5</v>
      </c>
      <c r="F31" s="89" t="s">
        <v>6</v>
      </c>
      <c r="G31" s="121">
        <v>44411</v>
      </c>
      <c r="H31" s="121"/>
      <c r="I31" s="91">
        <v>1611280</v>
      </c>
      <c r="J31" s="91">
        <v>0</v>
      </c>
      <c r="K31" s="91">
        <v>0</v>
      </c>
      <c r="L31" s="91">
        <v>0</v>
      </c>
      <c r="M31" s="91">
        <v>0</v>
      </c>
      <c r="N31" s="91">
        <v>0</v>
      </c>
      <c r="O31" s="91">
        <v>0</v>
      </c>
      <c r="P31" s="91">
        <v>0</v>
      </c>
      <c r="Q31" s="91">
        <v>0</v>
      </c>
      <c r="R31" s="91">
        <v>0</v>
      </c>
      <c r="S31" s="91">
        <v>0</v>
      </c>
      <c r="T31" s="91">
        <v>0</v>
      </c>
      <c r="U31" s="91">
        <v>0</v>
      </c>
      <c r="V31" s="91">
        <v>0</v>
      </c>
      <c r="W31" s="91">
        <v>0</v>
      </c>
      <c r="X31" s="91">
        <v>0</v>
      </c>
      <c r="Y31" s="119">
        <v>0</v>
      </c>
      <c r="Z31" s="92">
        <f t="shared" si="0"/>
        <v>0</v>
      </c>
    </row>
    <row r="32" spans="1:26" x14ac:dyDescent="0.2">
      <c r="A32" s="89" t="s">
        <v>717</v>
      </c>
      <c r="B32" s="89" t="s">
        <v>300</v>
      </c>
      <c r="C32" s="89">
        <v>701</v>
      </c>
      <c r="D32" s="89" t="s">
        <v>646</v>
      </c>
      <c r="E32" s="67" t="s">
        <v>5</v>
      </c>
      <c r="F32" s="89" t="s">
        <v>6</v>
      </c>
      <c r="G32" s="121">
        <v>44770</v>
      </c>
      <c r="H32" s="121">
        <v>45093</v>
      </c>
      <c r="I32" s="91">
        <v>1509200</v>
      </c>
      <c r="J32" s="91">
        <v>0</v>
      </c>
      <c r="K32" s="91">
        <v>0</v>
      </c>
      <c r="L32" s="91">
        <v>0</v>
      </c>
      <c r="M32" s="91">
        <v>0</v>
      </c>
      <c r="N32" s="91">
        <v>0</v>
      </c>
      <c r="O32" s="91">
        <v>0</v>
      </c>
      <c r="P32" s="91">
        <v>0</v>
      </c>
      <c r="Q32" s="91">
        <v>0</v>
      </c>
      <c r="R32" s="91">
        <v>1122.05</v>
      </c>
      <c r="S32" s="91">
        <v>0</v>
      </c>
      <c r="T32" s="91">
        <v>0</v>
      </c>
      <c r="U32" s="91">
        <v>1122.05</v>
      </c>
      <c r="V32" s="91">
        <v>-1122.05</v>
      </c>
      <c r="W32" s="91">
        <v>0</v>
      </c>
      <c r="X32" s="91">
        <v>0</v>
      </c>
      <c r="Y32" s="119">
        <v>0</v>
      </c>
      <c r="Z32" s="92">
        <f t="shared" si="0"/>
        <v>-1122.05</v>
      </c>
    </row>
    <row r="33" spans="1:26" x14ac:dyDescent="0.2">
      <c r="A33" s="89" t="s">
        <v>715</v>
      </c>
      <c r="B33" s="89" t="s">
        <v>716</v>
      </c>
      <c r="C33" s="89">
        <v>701</v>
      </c>
      <c r="D33" s="89" t="s">
        <v>646</v>
      </c>
      <c r="E33" s="67" t="s">
        <v>96</v>
      </c>
      <c r="F33" s="89" t="s">
        <v>97</v>
      </c>
      <c r="G33" s="121">
        <v>44784</v>
      </c>
      <c r="H33" s="121"/>
      <c r="I33" s="91">
        <v>370000</v>
      </c>
      <c r="J33" s="91">
        <v>0</v>
      </c>
      <c r="K33" s="91">
        <v>0</v>
      </c>
      <c r="L33" s="91">
        <v>0</v>
      </c>
      <c r="M33" s="91">
        <v>0</v>
      </c>
      <c r="N33" s="91">
        <v>0</v>
      </c>
      <c r="O33" s="91">
        <v>0</v>
      </c>
      <c r="P33" s="91">
        <v>0</v>
      </c>
      <c r="Q33" s="91">
        <v>0</v>
      </c>
      <c r="R33" s="91">
        <v>2938.59</v>
      </c>
      <c r="S33" s="91">
        <v>0</v>
      </c>
      <c r="T33" s="91">
        <v>0</v>
      </c>
      <c r="U33" s="91">
        <v>2938.59</v>
      </c>
      <c r="V33" s="91">
        <v>-2938.59</v>
      </c>
      <c r="W33" s="91">
        <v>0</v>
      </c>
      <c r="X33" s="91">
        <v>0</v>
      </c>
      <c r="Y33" s="119">
        <v>0</v>
      </c>
      <c r="Z33" s="92">
        <f t="shared" si="0"/>
        <v>-2938.59</v>
      </c>
    </row>
    <row r="34" spans="1:26" x14ac:dyDescent="0.2">
      <c r="A34" s="89" t="s">
        <v>756</v>
      </c>
      <c r="B34" s="89" t="s">
        <v>757</v>
      </c>
      <c r="C34" s="89">
        <v>701</v>
      </c>
      <c r="D34" s="89" t="s">
        <v>646</v>
      </c>
      <c r="E34" s="67" t="s">
        <v>96</v>
      </c>
      <c r="F34" s="89" t="s">
        <v>97</v>
      </c>
      <c r="G34" s="121">
        <v>44818</v>
      </c>
      <c r="H34" s="121">
        <v>45183</v>
      </c>
      <c r="I34" s="91">
        <v>870100</v>
      </c>
      <c r="J34" s="91">
        <v>0</v>
      </c>
      <c r="K34" s="91">
        <v>0</v>
      </c>
      <c r="L34" s="91">
        <v>0</v>
      </c>
      <c r="M34" s="91">
        <v>0</v>
      </c>
      <c r="N34" s="91">
        <v>0</v>
      </c>
      <c r="O34" s="91">
        <v>0</v>
      </c>
      <c r="P34" s="91">
        <v>0</v>
      </c>
      <c r="Q34" s="91">
        <v>0</v>
      </c>
      <c r="R34" s="91">
        <v>0</v>
      </c>
      <c r="S34" s="91">
        <v>0</v>
      </c>
      <c r="T34" s="91">
        <v>0</v>
      </c>
      <c r="U34" s="91">
        <v>0</v>
      </c>
      <c r="V34" s="91">
        <v>0</v>
      </c>
      <c r="W34" s="91">
        <v>0</v>
      </c>
      <c r="X34" s="91">
        <v>0</v>
      </c>
      <c r="Y34" s="119">
        <v>0</v>
      </c>
      <c r="Z34" s="92">
        <f t="shared" si="0"/>
        <v>0</v>
      </c>
    </row>
    <row r="35" spans="1:26" x14ac:dyDescent="0.2">
      <c r="A35" s="89" t="s">
        <v>943</v>
      </c>
      <c r="B35" s="89" t="s">
        <v>953</v>
      </c>
      <c r="C35" s="89">
        <v>701</v>
      </c>
      <c r="D35" s="89" t="s">
        <v>646</v>
      </c>
      <c r="E35" s="67" t="s">
        <v>96</v>
      </c>
      <c r="F35" s="89" t="s">
        <v>97</v>
      </c>
      <c r="G35" s="121">
        <v>45049</v>
      </c>
      <c r="H35" s="121"/>
      <c r="I35" s="91">
        <v>3687000</v>
      </c>
      <c r="J35" s="91">
        <v>0</v>
      </c>
      <c r="K35" s="91">
        <v>0</v>
      </c>
      <c r="L35" s="91">
        <v>0</v>
      </c>
      <c r="M35" s="91">
        <v>0</v>
      </c>
      <c r="N35" s="91">
        <v>0</v>
      </c>
      <c r="O35" s="91">
        <v>0</v>
      </c>
      <c r="P35" s="91">
        <v>0</v>
      </c>
      <c r="Q35" s="91">
        <v>0</v>
      </c>
      <c r="R35" s="91">
        <v>0</v>
      </c>
      <c r="S35" s="91">
        <v>0</v>
      </c>
      <c r="T35" s="91">
        <v>0</v>
      </c>
      <c r="U35" s="91">
        <v>0</v>
      </c>
      <c r="V35" s="91">
        <v>0</v>
      </c>
      <c r="W35" s="91">
        <v>0</v>
      </c>
      <c r="X35" s="91">
        <v>0</v>
      </c>
      <c r="Y35" s="119">
        <v>0</v>
      </c>
      <c r="Z35" s="92">
        <f t="shared" si="0"/>
        <v>0</v>
      </c>
    </row>
    <row r="36" spans="1:26" x14ac:dyDescent="0.2">
      <c r="A36" s="89" t="s">
        <v>112</v>
      </c>
      <c r="B36" s="89" t="s">
        <v>113</v>
      </c>
      <c r="C36" s="89">
        <v>701</v>
      </c>
      <c r="D36" s="89" t="s">
        <v>646</v>
      </c>
      <c r="E36" s="67" t="s">
        <v>114</v>
      </c>
      <c r="F36" s="89" t="s">
        <v>115</v>
      </c>
      <c r="G36" s="121">
        <v>44606</v>
      </c>
      <c r="H36" s="121">
        <v>45177</v>
      </c>
      <c r="I36" s="91">
        <v>1710294</v>
      </c>
      <c r="J36" s="91">
        <v>0</v>
      </c>
      <c r="K36" s="91">
        <v>0</v>
      </c>
      <c r="L36" s="91">
        <v>0</v>
      </c>
      <c r="M36" s="91">
        <v>0</v>
      </c>
      <c r="N36" s="91">
        <v>0</v>
      </c>
      <c r="O36" s="91">
        <v>0</v>
      </c>
      <c r="P36" s="91">
        <v>0</v>
      </c>
      <c r="Q36" s="91">
        <v>0</v>
      </c>
      <c r="R36" s="91">
        <v>0</v>
      </c>
      <c r="S36" s="91">
        <v>0</v>
      </c>
      <c r="T36" s="91">
        <v>0</v>
      </c>
      <c r="U36" s="91">
        <v>0</v>
      </c>
      <c r="V36" s="91">
        <v>0</v>
      </c>
      <c r="W36" s="91">
        <v>0</v>
      </c>
      <c r="X36" s="91">
        <v>0</v>
      </c>
      <c r="Y36" s="119">
        <v>0</v>
      </c>
      <c r="Z36" s="92">
        <f t="shared" si="0"/>
        <v>0</v>
      </c>
    </row>
    <row r="37" spans="1:26" x14ac:dyDescent="0.2">
      <c r="A37" s="89" t="s">
        <v>66</v>
      </c>
      <c r="B37" s="89" t="s">
        <v>67</v>
      </c>
      <c r="C37" s="89">
        <v>701</v>
      </c>
      <c r="D37" s="89" t="s">
        <v>646</v>
      </c>
      <c r="E37" s="67" t="s">
        <v>68</v>
      </c>
      <c r="F37" s="89" t="s">
        <v>69</v>
      </c>
      <c r="G37" s="121">
        <v>44628</v>
      </c>
      <c r="H37" s="121">
        <v>45051</v>
      </c>
      <c r="I37" s="91">
        <v>2560910</v>
      </c>
      <c r="J37" s="91">
        <v>0</v>
      </c>
      <c r="K37" s="91">
        <v>0</v>
      </c>
      <c r="L37" s="91">
        <v>4657.88</v>
      </c>
      <c r="M37" s="91">
        <v>4686</v>
      </c>
      <c r="N37" s="91">
        <v>0</v>
      </c>
      <c r="O37" s="91">
        <v>9343.880000000001</v>
      </c>
      <c r="P37" s="91">
        <v>0</v>
      </c>
      <c r="Q37" s="91">
        <v>0</v>
      </c>
      <c r="R37" s="91">
        <v>185333.27</v>
      </c>
      <c r="S37" s="91">
        <v>0</v>
      </c>
      <c r="T37" s="91">
        <v>2749.9</v>
      </c>
      <c r="U37" s="91">
        <v>188083.16999999998</v>
      </c>
      <c r="V37" s="91">
        <v>-178739.28999999998</v>
      </c>
      <c r="W37" s="91">
        <v>369.77</v>
      </c>
      <c r="X37" s="91">
        <v>10195.970000000001</v>
      </c>
      <c r="Y37" s="119">
        <v>10565.740000000002</v>
      </c>
      <c r="Z37" s="92">
        <f t="shared" si="0"/>
        <v>-189305.02999999997</v>
      </c>
    </row>
    <row r="38" spans="1:26" x14ac:dyDescent="0.2">
      <c r="A38" s="89" t="s">
        <v>1006</v>
      </c>
      <c r="B38" s="89" t="s">
        <v>1007</v>
      </c>
      <c r="C38" s="89">
        <v>701</v>
      </c>
      <c r="D38" s="89" t="s">
        <v>646</v>
      </c>
      <c r="E38" s="67" t="s">
        <v>5</v>
      </c>
      <c r="F38" s="89" t="s">
        <v>6</v>
      </c>
      <c r="G38" s="121">
        <v>45107</v>
      </c>
      <c r="H38" s="121"/>
      <c r="I38" s="91">
        <v>78155</v>
      </c>
      <c r="J38" s="91">
        <v>0</v>
      </c>
      <c r="K38" s="91">
        <v>0</v>
      </c>
      <c r="L38" s="91">
        <v>0</v>
      </c>
      <c r="M38" s="91">
        <v>0</v>
      </c>
      <c r="N38" s="91">
        <v>0</v>
      </c>
      <c r="O38" s="91">
        <v>0</v>
      </c>
      <c r="P38" s="91">
        <v>0</v>
      </c>
      <c r="Q38" s="91">
        <v>0</v>
      </c>
      <c r="R38" s="91">
        <v>0</v>
      </c>
      <c r="S38" s="91">
        <v>-3083.7</v>
      </c>
      <c r="T38" s="91">
        <v>0</v>
      </c>
      <c r="U38" s="91">
        <v>-3083.7</v>
      </c>
      <c r="V38" s="91">
        <v>3083.7</v>
      </c>
      <c r="W38" s="91">
        <v>0</v>
      </c>
      <c r="X38" s="91">
        <v>0</v>
      </c>
      <c r="Y38" s="119">
        <v>0</v>
      </c>
      <c r="Z38" s="92">
        <f t="shared" si="0"/>
        <v>3083.7</v>
      </c>
    </row>
    <row r="39" spans="1:26" x14ac:dyDescent="0.2">
      <c r="A39" s="89" t="s">
        <v>911</v>
      </c>
      <c r="B39" s="89" t="s">
        <v>912</v>
      </c>
      <c r="C39" s="89">
        <v>701</v>
      </c>
      <c r="D39" s="89" t="s">
        <v>646</v>
      </c>
      <c r="E39" s="67" t="s">
        <v>790</v>
      </c>
      <c r="F39" s="89" t="s">
        <v>791</v>
      </c>
      <c r="G39" s="121">
        <v>45069</v>
      </c>
      <c r="H39" s="121"/>
      <c r="I39" s="91">
        <v>2573429.6</v>
      </c>
      <c r="J39" s="91">
        <v>0</v>
      </c>
      <c r="K39" s="91">
        <v>0</v>
      </c>
      <c r="L39" s="91">
        <v>460.79</v>
      </c>
      <c r="M39" s="91">
        <v>0</v>
      </c>
      <c r="N39" s="91">
        <v>0</v>
      </c>
      <c r="O39" s="91">
        <v>460.79</v>
      </c>
      <c r="P39" s="91">
        <v>0</v>
      </c>
      <c r="Q39" s="91">
        <v>0</v>
      </c>
      <c r="R39" s="91">
        <v>0</v>
      </c>
      <c r="S39" s="91">
        <v>8237.02</v>
      </c>
      <c r="T39" s="91">
        <v>39559.65</v>
      </c>
      <c r="U39" s="91">
        <v>47796.67</v>
      </c>
      <c r="V39" s="91">
        <v>-47335.88</v>
      </c>
      <c r="W39" s="91">
        <v>0</v>
      </c>
      <c r="X39" s="91">
        <v>3045.68</v>
      </c>
      <c r="Y39" s="119">
        <v>3045.68</v>
      </c>
      <c r="Z39" s="92">
        <f t="shared" si="0"/>
        <v>-50381.56</v>
      </c>
    </row>
    <row r="40" spans="1:26" x14ac:dyDescent="0.2">
      <c r="A40" s="89" t="s">
        <v>1067</v>
      </c>
      <c r="B40" s="89" t="s">
        <v>1068</v>
      </c>
      <c r="C40" s="89">
        <v>701</v>
      </c>
      <c r="D40" s="89" t="s">
        <v>646</v>
      </c>
      <c r="E40" s="67">
        <v>330</v>
      </c>
      <c r="F40" s="89" t="s">
        <v>49</v>
      </c>
      <c r="G40" s="121">
        <v>44226</v>
      </c>
      <c r="H40" s="121">
        <v>43277</v>
      </c>
      <c r="I40" s="91">
        <v>2201000</v>
      </c>
      <c r="J40" s="91">
        <v>105107.8</v>
      </c>
      <c r="K40" s="91">
        <v>0</v>
      </c>
      <c r="L40" s="91">
        <v>0</v>
      </c>
      <c r="M40" s="91">
        <v>0</v>
      </c>
      <c r="N40" s="91">
        <v>0</v>
      </c>
      <c r="O40" s="91">
        <v>105107.8</v>
      </c>
      <c r="P40" s="91">
        <v>85424.4</v>
      </c>
      <c r="Q40" s="91">
        <v>0</v>
      </c>
      <c r="R40" s="91">
        <v>0</v>
      </c>
      <c r="S40" s="91">
        <v>0</v>
      </c>
      <c r="T40" s="91">
        <v>0</v>
      </c>
      <c r="U40" s="91">
        <v>85424.4</v>
      </c>
      <c r="V40" s="91">
        <v>19683.400000000009</v>
      </c>
      <c r="W40" s="91">
        <v>0</v>
      </c>
      <c r="X40" s="91">
        <v>0</v>
      </c>
      <c r="Y40" s="119">
        <v>0</v>
      </c>
      <c r="Z40" s="92">
        <f t="shared" si="0"/>
        <v>19683.400000000009</v>
      </c>
    </row>
    <row r="41" spans="1:26" x14ac:dyDescent="0.2">
      <c r="A41" s="89" t="s">
        <v>1060</v>
      </c>
      <c r="B41" s="89" t="s">
        <v>1061</v>
      </c>
      <c r="C41" s="89">
        <v>701</v>
      </c>
      <c r="D41" s="89" t="s">
        <v>646</v>
      </c>
      <c r="E41" s="67" t="s">
        <v>1062</v>
      </c>
      <c r="F41" s="89" t="s">
        <v>1063</v>
      </c>
      <c r="G41" s="121">
        <v>45251</v>
      </c>
      <c r="H41" s="121"/>
      <c r="I41" s="91">
        <v>547967.19999999995</v>
      </c>
      <c r="J41" s="91">
        <v>190944</v>
      </c>
      <c r="K41" s="91">
        <v>0</v>
      </c>
      <c r="L41" s="91">
        <v>107856.65</v>
      </c>
      <c r="M41" s="91">
        <v>0</v>
      </c>
      <c r="N41" s="91">
        <v>0</v>
      </c>
      <c r="O41" s="91">
        <v>298800.65000000002</v>
      </c>
      <c r="P41" s="91">
        <v>184080</v>
      </c>
      <c r="Q41" s="91">
        <v>4725.49</v>
      </c>
      <c r="R41" s="91">
        <v>0</v>
      </c>
      <c r="S41" s="91">
        <v>18991.23</v>
      </c>
      <c r="T41" s="91">
        <v>10560.1</v>
      </c>
      <c r="U41" s="91">
        <v>218356.82</v>
      </c>
      <c r="V41" s="91">
        <v>80443.830000000031</v>
      </c>
      <c r="W41" s="91">
        <v>0</v>
      </c>
      <c r="X41" s="91">
        <v>0</v>
      </c>
      <c r="Y41" s="119">
        <v>0</v>
      </c>
      <c r="Z41" s="92">
        <f t="shared" si="0"/>
        <v>80443.830000000031</v>
      </c>
    </row>
    <row r="42" spans="1:26" x14ac:dyDescent="0.2">
      <c r="A42" s="89" t="s">
        <v>711</v>
      </c>
      <c r="B42" s="89" t="s">
        <v>712</v>
      </c>
      <c r="C42" s="89">
        <v>701</v>
      </c>
      <c r="D42" s="89" t="s">
        <v>646</v>
      </c>
      <c r="E42" s="67" t="s">
        <v>713</v>
      </c>
      <c r="F42" s="89" t="s">
        <v>714</v>
      </c>
      <c r="G42" s="121">
        <v>44767</v>
      </c>
      <c r="H42" s="121"/>
      <c r="I42" s="91">
        <v>3052770</v>
      </c>
      <c r="J42" s="91">
        <v>352319.3</v>
      </c>
      <c r="K42" s="91">
        <v>0</v>
      </c>
      <c r="L42" s="91">
        <v>6442.55</v>
      </c>
      <c r="M42" s="91">
        <v>94172.98</v>
      </c>
      <c r="N42" s="91">
        <v>0</v>
      </c>
      <c r="O42" s="91">
        <v>452934.82999999996</v>
      </c>
      <c r="P42" s="91">
        <v>0</v>
      </c>
      <c r="Q42" s="91">
        <v>0</v>
      </c>
      <c r="R42" s="91">
        <v>23228.670000000002</v>
      </c>
      <c r="S42" s="91">
        <v>0</v>
      </c>
      <c r="T42" s="91">
        <v>10190.939999999999</v>
      </c>
      <c r="U42" s="91">
        <v>33419.61</v>
      </c>
      <c r="V42" s="91">
        <v>419515.21999999991</v>
      </c>
      <c r="W42" s="91">
        <v>0</v>
      </c>
      <c r="X42" s="91">
        <v>0</v>
      </c>
      <c r="Y42" s="119">
        <v>0</v>
      </c>
      <c r="Z42" s="92">
        <f t="shared" si="0"/>
        <v>419515.21999999991</v>
      </c>
    </row>
    <row r="43" spans="1:26" x14ac:dyDescent="0.2">
      <c r="A43" s="89" t="s">
        <v>1079</v>
      </c>
      <c r="B43" s="89" t="s">
        <v>1080</v>
      </c>
      <c r="C43" s="89">
        <v>701</v>
      </c>
      <c r="D43" s="89" t="s">
        <v>646</v>
      </c>
      <c r="E43" s="67">
        <v>330</v>
      </c>
      <c r="F43" s="89" t="s">
        <v>49</v>
      </c>
      <c r="G43" s="121">
        <v>45133</v>
      </c>
      <c r="H43" s="121"/>
      <c r="I43" s="91">
        <v>1815592.9</v>
      </c>
      <c r="J43" s="91">
        <v>0</v>
      </c>
      <c r="K43" s="91">
        <v>0</v>
      </c>
      <c r="L43" s="91">
        <v>49904.95</v>
      </c>
      <c r="M43" s="91">
        <v>0</v>
      </c>
      <c r="N43" s="91">
        <v>0</v>
      </c>
      <c r="O43" s="91">
        <v>49904.95</v>
      </c>
      <c r="P43" s="91">
        <v>0</v>
      </c>
      <c r="Q43" s="91">
        <v>0</v>
      </c>
      <c r="R43" s="91">
        <v>0</v>
      </c>
      <c r="S43" s="91">
        <v>17047.400000000001</v>
      </c>
      <c r="T43" s="91">
        <v>30361.620000000003</v>
      </c>
      <c r="U43" s="91">
        <v>47409.020000000004</v>
      </c>
      <c r="V43" s="91">
        <v>2495.9299999999944</v>
      </c>
      <c r="W43" s="91">
        <v>6582.59</v>
      </c>
      <c r="X43" s="91">
        <v>4477.72</v>
      </c>
      <c r="Y43" s="119">
        <v>11060.310000000001</v>
      </c>
      <c r="Z43" s="92">
        <f t="shared" si="0"/>
        <v>-8564.3800000000065</v>
      </c>
    </row>
    <row r="44" spans="1:26" x14ac:dyDescent="0.2">
      <c r="A44" s="89" t="s">
        <v>1122</v>
      </c>
      <c r="B44" s="89" t="s">
        <v>1123</v>
      </c>
      <c r="C44" s="89">
        <v>701</v>
      </c>
      <c r="D44" s="89" t="s">
        <v>646</v>
      </c>
      <c r="E44" s="67" t="s">
        <v>136</v>
      </c>
      <c r="F44" s="89" t="s">
        <v>137</v>
      </c>
      <c r="G44" s="121">
        <v>45273</v>
      </c>
      <c r="H44" s="121"/>
      <c r="I44" s="91">
        <v>803000</v>
      </c>
      <c r="J44" s="91">
        <v>0</v>
      </c>
      <c r="K44" s="91">
        <v>0</v>
      </c>
      <c r="L44" s="91">
        <v>0</v>
      </c>
      <c r="M44" s="91">
        <v>0</v>
      </c>
      <c r="N44" s="91">
        <v>0</v>
      </c>
      <c r="O44" s="91">
        <v>0</v>
      </c>
      <c r="P44" s="91">
        <v>0</v>
      </c>
      <c r="Q44" s="91">
        <v>0</v>
      </c>
      <c r="R44" s="91">
        <v>0</v>
      </c>
      <c r="S44" s="91">
        <v>2040.42</v>
      </c>
      <c r="T44" s="91">
        <v>23113.85</v>
      </c>
      <c r="U44" s="91">
        <v>25154.27</v>
      </c>
      <c r="V44" s="91">
        <v>-25154.27</v>
      </c>
      <c r="W44" s="91">
        <v>0</v>
      </c>
      <c r="X44" s="91">
        <v>970.84</v>
      </c>
      <c r="Y44" s="119">
        <v>970.84</v>
      </c>
      <c r="Z44" s="92">
        <f t="shared" si="0"/>
        <v>-26125.11</v>
      </c>
    </row>
    <row r="45" spans="1:26" x14ac:dyDescent="0.2">
      <c r="A45" s="89" t="s">
        <v>1066</v>
      </c>
      <c r="B45" s="89" t="s">
        <v>300</v>
      </c>
      <c r="C45" s="89">
        <v>701</v>
      </c>
      <c r="D45" s="89" t="s">
        <v>646</v>
      </c>
      <c r="E45" s="67">
        <v>330</v>
      </c>
      <c r="F45" s="89" t="s">
        <v>49</v>
      </c>
      <c r="G45" s="121">
        <v>44226</v>
      </c>
      <c r="H45" s="121">
        <v>43941</v>
      </c>
      <c r="I45" s="91">
        <v>0</v>
      </c>
      <c r="J45" s="91">
        <v>0</v>
      </c>
      <c r="K45" s="91">
        <v>0</v>
      </c>
      <c r="L45" s="91">
        <v>0</v>
      </c>
      <c r="M45" s="91">
        <v>0</v>
      </c>
      <c r="N45" s="91">
        <v>0</v>
      </c>
      <c r="O45" s="91">
        <v>0</v>
      </c>
      <c r="P45" s="91">
        <v>0</v>
      </c>
      <c r="Q45" s="91">
        <v>0</v>
      </c>
      <c r="R45" s="91">
        <v>3601.67</v>
      </c>
      <c r="S45" s="91">
        <v>0</v>
      </c>
      <c r="T45" s="91">
        <v>0</v>
      </c>
      <c r="U45" s="91">
        <v>3601.67</v>
      </c>
      <c r="V45" s="91">
        <v>-3601.67</v>
      </c>
      <c r="W45" s="91">
        <v>0</v>
      </c>
      <c r="X45" s="91">
        <v>0</v>
      </c>
      <c r="Y45" s="119">
        <v>0</v>
      </c>
      <c r="Z45" s="92">
        <f t="shared" si="0"/>
        <v>-3601.67</v>
      </c>
    </row>
    <row r="46" spans="1:26" x14ac:dyDescent="0.2">
      <c r="A46" s="89" t="s">
        <v>1276</v>
      </c>
      <c r="B46" s="89" t="s">
        <v>1277</v>
      </c>
      <c r="C46" s="89">
        <v>701</v>
      </c>
      <c r="D46" s="89" t="s">
        <v>646</v>
      </c>
      <c r="E46" s="67">
        <v>330</v>
      </c>
      <c r="F46" s="89" t="s">
        <v>49</v>
      </c>
      <c r="G46" s="121">
        <v>44226</v>
      </c>
      <c r="H46" s="121">
        <v>42207</v>
      </c>
      <c r="I46" s="91">
        <v>0</v>
      </c>
      <c r="J46" s="91">
        <v>0</v>
      </c>
      <c r="K46" s="91">
        <v>0</v>
      </c>
      <c r="L46" s="91">
        <v>0</v>
      </c>
      <c r="M46" s="91">
        <v>0</v>
      </c>
      <c r="N46" s="91">
        <v>0</v>
      </c>
      <c r="O46" s="91">
        <v>0</v>
      </c>
      <c r="P46" s="91">
        <v>0</v>
      </c>
      <c r="Q46" s="91">
        <v>0</v>
      </c>
      <c r="R46" s="91">
        <v>2341.13</v>
      </c>
      <c r="S46" s="91">
        <v>0</v>
      </c>
      <c r="T46" s="91">
        <v>0</v>
      </c>
      <c r="U46" s="91">
        <v>2341.13</v>
      </c>
      <c r="V46" s="91">
        <v>-2341.13</v>
      </c>
      <c r="W46" s="91">
        <v>0</v>
      </c>
      <c r="X46" s="91">
        <v>0</v>
      </c>
      <c r="Y46" s="119">
        <v>0</v>
      </c>
      <c r="Z46" s="92">
        <f t="shared" si="0"/>
        <v>-2341.13</v>
      </c>
    </row>
    <row r="47" spans="1:26" x14ac:dyDescent="0.2">
      <c r="A47" s="89" t="s">
        <v>419</v>
      </c>
      <c r="B47" s="89" t="s">
        <v>420</v>
      </c>
      <c r="C47" s="89">
        <v>701</v>
      </c>
      <c r="D47" s="89" t="s">
        <v>646</v>
      </c>
      <c r="E47" s="67">
        <v>330</v>
      </c>
      <c r="F47" s="89" t="s">
        <v>49</v>
      </c>
      <c r="G47" s="121">
        <v>44226</v>
      </c>
      <c r="H47" s="121">
        <v>44371</v>
      </c>
      <c r="I47" s="91">
        <v>0</v>
      </c>
      <c r="J47" s="91">
        <v>0</v>
      </c>
      <c r="K47" s="91">
        <v>0</v>
      </c>
      <c r="L47" s="91">
        <v>0</v>
      </c>
      <c r="M47" s="91">
        <v>0</v>
      </c>
      <c r="N47" s="91">
        <v>0</v>
      </c>
      <c r="O47" s="91">
        <v>0</v>
      </c>
      <c r="P47" s="91">
        <v>0</v>
      </c>
      <c r="Q47" s="91">
        <v>0</v>
      </c>
      <c r="R47" s="91">
        <v>0</v>
      </c>
      <c r="S47" s="91">
        <v>0</v>
      </c>
      <c r="T47" s="91">
        <v>3644.66</v>
      </c>
      <c r="U47" s="91">
        <v>3644.66</v>
      </c>
      <c r="V47" s="91">
        <v>-3644.66</v>
      </c>
      <c r="W47" s="91">
        <v>704.11</v>
      </c>
      <c r="X47" s="91">
        <v>595.9</v>
      </c>
      <c r="Y47" s="119">
        <v>1300.01</v>
      </c>
      <c r="Z47" s="92">
        <f t="shared" si="0"/>
        <v>-4944.67</v>
      </c>
    </row>
    <row r="48" spans="1:26" x14ac:dyDescent="0.2">
      <c r="A48" s="89" t="s">
        <v>1327</v>
      </c>
      <c r="B48" s="89" t="s">
        <v>1328</v>
      </c>
      <c r="C48" s="89">
        <v>701</v>
      </c>
      <c r="D48" s="89" t="s">
        <v>646</v>
      </c>
      <c r="E48" s="67" t="s">
        <v>281</v>
      </c>
      <c r="F48" s="89" t="s">
        <v>282</v>
      </c>
      <c r="G48" s="121">
        <v>45273</v>
      </c>
      <c r="H48" s="121"/>
      <c r="I48" s="91">
        <v>2428000</v>
      </c>
      <c r="J48" s="91">
        <v>0</v>
      </c>
      <c r="K48" s="91">
        <v>0</v>
      </c>
      <c r="L48" s="91">
        <v>0</v>
      </c>
      <c r="M48" s="91">
        <v>0</v>
      </c>
      <c r="N48" s="91">
        <v>0</v>
      </c>
      <c r="O48" s="91">
        <v>0</v>
      </c>
      <c r="P48" s="91">
        <v>0</v>
      </c>
      <c r="Q48" s="91">
        <v>0</v>
      </c>
      <c r="R48" s="91">
        <v>0</v>
      </c>
      <c r="S48" s="91">
        <v>4167.79</v>
      </c>
      <c r="T48" s="91">
        <v>42937</v>
      </c>
      <c r="U48" s="91">
        <v>47104.789999999994</v>
      </c>
      <c r="V48" s="91">
        <v>-47104.789999999994</v>
      </c>
      <c r="W48" s="91">
        <v>0</v>
      </c>
      <c r="X48" s="91">
        <v>0</v>
      </c>
      <c r="Y48" s="119">
        <v>0</v>
      </c>
      <c r="Z48" s="92">
        <f t="shared" si="0"/>
        <v>-47104.789999999994</v>
      </c>
    </row>
    <row r="49" spans="1:26" x14ac:dyDescent="0.2">
      <c r="A49" s="89" t="s">
        <v>1384</v>
      </c>
      <c r="B49" s="89" t="s">
        <v>1385</v>
      </c>
      <c r="C49" s="89">
        <v>701</v>
      </c>
      <c r="D49" s="89" t="s">
        <v>646</v>
      </c>
      <c r="E49" s="67" t="s">
        <v>790</v>
      </c>
      <c r="F49" s="89" t="s">
        <v>791</v>
      </c>
      <c r="G49" s="121">
        <v>45321</v>
      </c>
      <c r="H49" s="121"/>
      <c r="I49" s="91">
        <v>1554696</v>
      </c>
      <c r="J49" s="91">
        <v>0</v>
      </c>
      <c r="K49" s="91">
        <v>0</v>
      </c>
      <c r="L49" s="91">
        <v>0</v>
      </c>
      <c r="M49" s="91">
        <v>106080</v>
      </c>
      <c r="N49" s="91">
        <v>0</v>
      </c>
      <c r="O49" s="91">
        <v>106080</v>
      </c>
      <c r="P49" s="91">
        <v>0</v>
      </c>
      <c r="Q49" s="91">
        <v>0</v>
      </c>
      <c r="R49" s="91">
        <v>0</v>
      </c>
      <c r="S49" s="91">
        <v>0</v>
      </c>
      <c r="T49" s="91">
        <v>17338.599999999999</v>
      </c>
      <c r="U49" s="91">
        <v>17338.599999999999</v>
      </c>
      <c r="V49" s="91">
        <v>88741.4</v>
      </c>
      <c r="W49" s="91">
        <v>0</v>
      </c>
      <c r="X49" s="91">
        <v>0</v>
      </c>
      <c r="Y49" s="119">
        <v>0</v>
      </c>
      <c r="Z49" s="92">
        <f t="shared" si="0"/>
        <v>88741.4</v>
      </c>
    </row>
    <row r="50" spans="1:26" x14ac:dyDescent="0.2">
      <c r="A50" s="89" t="s">
        <v>1415</v>
      </c>
      <c r="B50" s="89" t="s">
        <v>1416</v>
      </c>
      <c r="C50" s="89">
        <v>701</v>
      </c>
      <c r="D50" s="89" t="s">
        <v>646</v>
      </c>
      <c r="E50" s="67" t="s">
        <v>1456</v>
      </c>
      <c r="F50" s="89" t="s">
        <v>753</v>
      </c>
      <c r="G50" s="121">
        <v>45406</v>
      </c>
      <c r="H50" s="121"/>
      <c r="I50" s="91">
        <v>902000</v>
      </c>
      <c r="J50" s="91">
        <v>0</v>
      </c>
      <c r="K50" s="91">
        <v>0</v>
      </c>
      <c r="L50" s="91">
        <v>0</v>
      </c>
      <c r="M50" s="91">
        <v>0</v>
      </c>
      <c r="N50" s="91">
        <v>0</v>
      </c>
      <c r="O50" s="91">
        <v>0</v>
      </c>
      <c r="P50" s="91">
        <v>0</v>
      </c>
      <c r="Q50" s="91">
        <v>0</v>
      </c>
      <c r="R50" s="91">
        <v>0</v>
      </c>
      <c r="S50" s="91">
        <v>0</v>
      </c>
      <c r="T50" s="91">
        <v>8987.76</v>
      </c>
      <c r="U50" s="91">
        <v>8987.76</v>
      </c>
      <c r="V50" s="91">
        <v>-8987.76</v>
      </c>
      <c r="W50" s="91">
        <v>0</v>
      </c>
      <c r="X50" s="91">
        <v>0</v>
      </c>
      <c r="Y50" s="119">
        <v>0</v>
      </c>
      <c r="Z50" s="92">
        <f t="shared" si="0"/>
        <v>-8987.76</v>
      </c>
    </row>
    <row r="51" spans="1:26" x14ac:dyDescent="0.2">
      <c r="A51" s="89" t="s">
        <v>1421</v>
      </c>
      <c r="B51" s="89" t="s">
        <v>1422</v>
      </c>
      <c r="C51" s="89">
        <v>701</v>
      </c>
      <c r="D51" s="89" t="s">
        <v>646</v>
      </c>
      <c r="E51" s="67" t="s">
        <v>684</v>
      </c>
      <c r="F51" s="89" t="s">
        <v>49</v>
      </c>
      <c r="G51" s="121">
        <v>45404</v>
      </c>
      <c r="H51" s="121"/>
      <c r="I51" s="91">
        <v>1452000</v>
      </c>
      <c r="J51" s="91">
        <v>0</v>
      </c>
      <c r="K51" s="91">
        <v>0</v>
      </c>
      <c r="L51" s="91">
        <v>0</v>
      </c>
      <c r="M51" s="91">
        <v>0</v>
      </c>
      <c r="N51" s="91">
        <v>0</v>
      </c>
      <c r="O51" s="91">
        <v>0</v>
      </c>
      <c r="P51" s="91">
        <v>0</v>
      </c>
      <c r="Q51" s="91">
        <v>0</v>
      </c>
      <c r="R51" s="91">
        <v>0</v>
      </c>
      <c r="S51" s="91">
        <v>2622.45</v>
      </c>
      <c r="T51" s="91">
        <v>4499.5200000000004</v>
      </c>
      <c r="U51" s="91">
        <v>7121.97</v>
      </c>
      <c r="V51" s="91">
        <v>-7121.97</v>
      </c>
      <c r="W51" s="91">
        <v>2622.45</v>
      </c>
      <c r="X51" s="91">
        <v>0</v>
      </c>
      <c r="Y51" s="119">
        <v>2622.45</v>
      </c>
      <c r="Z51" s="92">
        <f t="shared" si="0"/>
        <v>-9744.42</v>
      </c>
    </row>
    <row r="52" spans="1:26" x14ac:dyDescent="0.2">
      <c r="A52" s="89" t="s">
        <v>1433</v>
      </c>
      <c r="B52" s="89" t="s">
        <v>1434</v>
      </c>
      <c r="C52" s="89">
        <v>701</v>
      </c>
      <c r="D52" s="89" t="s">
        <v>646</v>
      </c>
      <c r="E52" s="67" t="s">
        <v>744</v>
      </c>
      <c r="F52" s="89" t="s">
        <v>745</v>
      </c>
      <c r="G52" s="121">
        <v>45432</v>
      </c>
      <c r="H52" s="121"/>
      <c r="I52" s="91">
        <v>2530000</v>
      </c>
      <c r="J52" s="91">
        <v>0</v>
      </c>
      <c r="K52" s="91">
        <v>0</v>
      </c>
      <c r="L52" s="91">
        <v>0</v>
      </c>
      <c r="M52" s="91">
        <v>0</v>
      </c>
      <c r="N52" s="91">
        <v>0</v>
      </c>
      <c r="O52" s="91">
        <v>0</v>
      </c>
      <c r="P52" s="91">
        <v>0</v>
      </c>
      <c r="Q52" s="91">
        <v>0</v>
      </c>
      <c r="R52" s="91">
        <v>0</v>
      </c>
      <c r="S52" s="91">
        <v>0</v>
      </c>
      <c r="T52" s="91">
        <v>2614.16</v>
      </c>
      <c r="U52" s="91">
        <v>2614.16</v>
      </c>
      <c r="V52" s="91">
        <v>-2614.16</v>
      </c>
      <c r="W52" s="91">
        <v>0</v>
      </c>
      <c r="X52" s="91">
        <v>0</v>
      </c>
      <c r="Y52" s="119">
        <v>0</v>
      </c>
      <c r="Z52" s="92">
        <f t="shared" si="0"/>
        <v>-2614.16</v>
      </c>
    </row>
    <row r="53" spans="1:26" x14ac:dyDescent="0.2">
      <c r="A53" s="89" t="s">
        <v>1439</v>
      </c>
      <c r="B53" s="89" t="s">
        <v>1440</v>
      </c>
      <c r="C53" s="89">
        <v>701</v>
      </c>
      <c r="D53" s="89" t="s">
        <v>646</v>
      </c>
      <c r="E53" s="67" t="s">
        <v>1441</v>
      </c>
      <c r="F53" s="89" t="s">
        <v>1442</v>
      </c>
      <c r="G53" s="121">
        <v>45373</v>
      </c>
      <c r="H53" s="121"/>
      <c r="I53" s="91">
        <v>551600</v>
      </c>
      <c r="J53" s="91">
        <v>0</v>
      </c>
      <c r="K53" s="91">
        <v>0</v>
      </c>
      <c r="L53" s="91">
        <v>0</v>
      </c>
      <c r="M53" s="91">
        <v>0</v>
      </c>
      <c r="N53" s="91">
        <v>0</v>
      </c>
      <c r="O53" s="91">
        <v>0</v>
      </c>
      <c r="P53" s="91">
        <v>0</v>
      </c>
      <c r="Q53" s="91">
        <v>0</v>
      </c>
      <c r="R53" s="91">
        <v>0</v>
      </c>
      <c r="S53" s="91">
        <v>0</v>
      </c>
      <c r="T53" s="91">
        <v>3855.82</v>
      </c>
      <c r="U53" s="91">
        <v>3855.82</v>
      </c>
      <c r="V53" s="91">
        <v>-3855.82</v>
      </c>
      <c r="W53" s="91">
        <v>0</v>
      </c>
      <c r="X53" s="91">
        <v>0</v>
      </c>
      <c r="Y53" s="119">
        <v>0</v>
      </c>
      <c r="Z53" s="92">
        <f t="shared" si="0"/>
        <v>-3855.82</v>
      </c>
    </row>
    <row r="54" spans="1:26" x14ac:dyDescent="0.2">
      <c r="A54" s="89" t="s">
        <v>853</v>
      </c>
      <c r="B54" s="89"/>
      <c r="C54" s="89">
        <v>701</v>
      </c>
      <c r="D54" s="89" t="s">
        <v>646</v>
      </c>
      <c r="E54" s="67"/>
      <c r="F54" s="89" t="s">
        <v>853</v>
      </c>
      <c r="G54" s="121"/>
      <c r="H54" s="121"/>
      <c r="I54" s="91">
        <v>0</v>
      </c>
      <c r="J54" s="91">
        <v>0</v>
      </c>
      <c r="K54" s="91">
        <v>0</v>
      </c>
      <c r="L54" s="91">
        <v>0</v>
      </c>
      <c r="M54" s="91">
        <v>0</v>
      </c>
      <c r="N54" s="91">
        <v>0</v>
      </c>
      <c r="O54" s="91">
        <v>0</v>
      </c>
      <c r="P54" s="91">
        <v>0</v>
      </c>
      <c r="Q54" s="91">
        <v>0</v>
      </c>
      <c r="R54" s="91">
        <v>0</v>
      </c>
      <c r="S54" s="91">
        <v>0</v>
      </c>
      <c r="T54" s="91">
        <v>0</v>
      </c>
      <c r="U54" s="91">
        <v>0</v>
      </c>
      <c r="V54" s="91">
        <v>0</v>
      </c>
      <c r="W54" s="91">
        <v>0</v>
      </c>
      <c r="X54" s="91">
        <v>0</v>
      </c>
      <c r="Y54" s="119">
        <v>0</v>
      </c>
      <c r="Z54" s="92">
        <f t="shared" si="0"/>
        <v>0</v>
      </c>
    </row>
    <row r="55" spans="1:26" s="100" customFormat="1" x14ac:dyDescent="0.2">
      <c r="A55" s="93" t="s">
        <v>613</v>
      </c>
      <c r="B55" s="93"/>
      <c r="C55" s="93"/>
      <c r="D55" s="93"/>
      <c r="E55" s="94"/>
      <c r="F55" s="93"/>
      <c r="G55" s="94"/>
      <c r="H55" s="94"/>
      <c r="I55" s="93">
        <f t="shared" ref="I55:Z55" si="1">SUM(I4:I54)</f>
        <v>190398940.5</v>
      </c>
      <c r="J55" s="95">
        <f t="shared" si="1"/>
        <v>5224279.4499999993</v>
      </c>
      <c r="K55" s="95">
        <f t="shared" si="1"/>
        <v>0</v>
      </c>
      <c r="L55" s="95">
        <f t="shared" si="1"/>
        <v>216832.55</v>
      </c>
      <c r="M55" s="95">
        <f t="shared" si="1"/>
        <v>359760.98</v>
      </c>
      <c r="N55" s="95">
        <f t="shared" si="1"/>
        <v>0</v>
      </c>
      <c r="O55" s="96">
        <f t="shared" si="1"/>
        <v>5800872.9800000004</v>
      </c>
      <c r="P55" s="95">
        <f t="shared" si="1"/>
        <v>4363795.4799999995</v>
      </c>
      <c r="Q55" s="95">
        <f t="shared" si="1"/>
        <v>4725.49</v>
      </c>
      <c r="R55" s="95">
        <f t="shared" si="1"/>
        <v>442810.73</v>
      </c>
      <c r="S55" s="97">
        <f t="shared" si="1"/>
        <v>157093.90000000005</v>
      </c>
      <c r="T55" s="97">
        <f t="shared" si="1"/>
        <v>359775.24999999994</v>
      </c>
      <c r="U55" s="98">
        <f t="shared" si="1"/>
        <v>5328200.8499999996</v>
      </c>
      <c r="V55" s="99">
        <f t="shared" si="1"/>
        <v>472672.13000000047</v>
      </c>
      <c r="W55" s="95">
        <f t="shared" si="1"/>
        <v>27370.91</v>
      </c>
      <c r="X55" s="95">
        <f t="shared" si="1"/>
        <v>79399.359999999986</v>
      </c>
      <c r="Y55" s="120">
        <f t="shared" si="1"/>
        <v>106770.26999999997</v>
      </c>
      <c r="Z55" s="122">
        <f t="shared" si="1"/>
        <v>365901.86000000039</v>
      </c>
    </row>
  </sheetData>
  <autoFilter ref="A3:Y57" xr:uid="{00000000-0009-0000-0000-000005000000}"/>
  <phoneticPr fontId="3" type="noConversion"/>
  <conditionalFormatting sqref="A1">
    <cfRule type="duplicateValues" dxfId="57" priority="5"/>
  </conditionalFormatting>
  <conditionalFormatting sqref="A3">
    <cfRule type="duplicateValues" dxfId="56" priority="4"/>
  </conditionalFormatting>
  <conditionalFormatting sqref="A8:A54">
    <cfRule type="duplicateValues" dxfId="55" priority="3"/>
  </conditionalFormatting>
  <conditionalFormatting sqref="A55">
    <cfRule type="duplicateValues" dxfId="54" priority="1"/>
  </conditionalFormatting>
  <conditionalFormatting sqref="A172">
    <cfRule type="duplicateValues" dxfId="53" priority="7"/>
  </conditionalFormatting>
  <conditionalFormatting sqref="A173:A1048576 A2 A56:A171 A4:A7">
    <cfRule type="duplicateValues" dxfId="52" priority="8"/>
  </conditionalFormatting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00B0F0"/>
  </sheetPr>
  <dimension ref="A1:Z55"/>
  <sheetViews>
    <sheetView workbookViewId="0">
      <pane xSplit="6" ySplit="4" topLeftCell="G41" activePane="bottomRight" state="frozen"/>
      <selection activeCell="F56" sqref="E56:F57"/>
      <selection pane="topRight" activeCell="F56" sqref="E56:F57"/>
      <selection pane="bottomLeft" activeCell="F56" sqref="E56:F57"/>
      <selection pane="bottomRight" activeCell="O64" sqref="O64"/>
    </sheetView>
  </sheetViews>
  <sheetFormatPr defaultRowHeight="12.75" outlineLevelCol="1" x14ac:dyDescent="0.2"/>
  <cols>
    <col min="1" max="1" width="10.140625" style="72" customWidth="1"/>
    <col min="2" max="2" width="8" style="72" bestFit="1" customWidth="1"/>
    <col min="3" max="3" width="9" style="72" bestFit="1" customWidth="1"/>
    <col min="4" max="4" width="12.5703125" style="72" customWidth="1"/>
    <col min="5" max="5" width="6" style="80" bestFit="1" customWidth="1"/>
    <col min="6" max="6" width="8.140625" style="72" customWidth="1"/>
    <col min="7" max="7" width="13" style="80" bestFit="1" customWidth="1"/>
    <col min="8" max="8" width="11.7109375" style="80" customWidth="1"/>
    <col min="9" max="9" width="12.85546875" style="72" customWidth="1"/>
    <col min="10" max="14" width="11.7109375" style="72" hidden="1" customWidth="1" outlineLevel="1"/>
    <col min="15" max="15" width="11.7109375" style="72" customWidth="1" collapsed="1"/>
    <col min="16" max="20" width="11.7109375" style="72" hidden="1" customWidth="1" outlineLevel="1"/>
    <col min="21" max="21" width="11.7109375" style="72" customWidth="1" collapsed="1"/>
    <col min="22" max="22" width="11.7109375" style="72" customWidth="1"/>
    <col min="23" max="24" width="11.7109375" style="72" hidden="1" customWidth="1" outlineLevel="1"/>
    <col min="25" max="25" width="11.7109375" style="72" customWidth="1" collapsed="1"/>
    <col min="26" max="26" width="12" style="72" customWidth="1"/>
    <col min="27" max="16384" width="9.140625" style="72"/>
  </cols>
  <sheetData>
    <row r="1" spans="1:26" ht="23.25" customHeight="1" x14ac:dyDescent="0.2">
      <c r="A1" s="79" t="s">
        <v>1412</v>
      </c>
    </row>
    <row r="2" spans="1:26" ht="15" customHeight="1" x14ac:dyDescent="0.2">
      <c r="A2" s="81" t="s">
        <v>1304</v>
      </c>
    </row>
    <row r="3" spans="1:26" s="88" customFormat="1" x14ac:dyDescent="0.2">
      <c r="A3" s="82" t="s">
        <v>1298</v>
      </c>
      <c r="B3" s="82" t="s">
        <v>577</v>
      </c>
      <c r="C3" s="82" t="s">
        <v>599</v>
      </c>
      <c r="D3" s="82" t="s">
        <v>600</v>
      </c>
      <c r="E3" s="83" t="s">
        <v>578</v>
      </c>
      <c r="F3" s="82" t="s">
        <v>579</v>
      </c>
      <c r="G3" s="83" t="s">
        <v>580</v>
      </c>
      <c r="H3" s="83" t="s">
        <v>581</v>
      </c>
      <c r="I3" s="82" t="s">
        <v>582</v>
      </c>
      <c r="J3" s="84" t="s">
        <v>614</v>
      </c>
      <c r="K3" s="84" t="s">
        <v>584</v>
      </c>
      <c r="L3" s="84" t="s">
        <v>615</v>
      </c>
      <c r="M3" s="84" t="s">
        <v>616</v>
      </c>
      <c r="N3" s="84" t="s">
        <v>587</v>
      </c>
      <c r="O3" s="85" t="s">
        <v>588</v>
      </c>
      <c r="P3" s="84" t="s">
        <v>589</v>
      </c>
      <c r="Q3" s="84" t="s">
        <v>590</v>
      </c>
      <c r="R3" s="84" t="s">
        <v>617</v>
      </c>
      <c r="S3" s="84" t="s">
        <v>1297</v>
      </c>
      <c r="T3" s="84" t="s">
        <v>618</v>
      </c>
      <c r="U3" s="85" t="s">
        <v>594</v>
      </c>
      <c r="V3" s="86" t="s">
        <v>595</v>
      </c>
      <c r="W3" s="84" t="s">
        <v>619</v>
      </c>
      <c r="X3" s="84" t="s">
        <v>620</v>
      </c>
      <c r="Y3" s="118" t="s">
        <v>598</v>
      </c>
      <c r="Z3" s="87" t="s">
        <v>1145</v>
      </c>
    </row>
    <row r="4" spans="1:26" x14ac:dyDescent="0.2">
      <c r="A4" s="89" t="s">
        <v>349</v>
      </c>
      <c r="B4" s="89" t="s">
        <v>298</v>
      </c>
      <c r="C4" s="89">
        <v>901</v>
      </c>
      <c r="D4" s="89" t="s">
        <v>621</v>
      </c>
      <c r="E4" s="67" t="s">
        <v>56</v>
      </c>
      <c r="F4" s="89" t="s">
        <v>57</v>
      </c>
      <c r="G4" s="121">
        <v>44226</v>
      </c>
      <c r="H4" s="121">
        <v>44006</v>
      </c>
      <c r="I4" s="91">
        <v>0</v>
      </c>
      <c r="J4" s="91">
        <v>0</v>
      </c>
      <c r="K4" s="91">
        <v>0</v>
      </c>
      <c r="L4" s="91">
        <v>0</v>
      </c>
      <c r="M4" s="91">
        <v>0</v>
      </c>
      <c r="N4" s="91">
        <v>0</v>
      </c>
      <c r="O4" s="91">
        <v>0</v>
      </c>
      <c r="P4" s="91">
        <v>0</v>
      </c>
      <c r="Q4" s="91">
        <v>0</v>
      </c>
      <c r="R4" s="91">
        <v>5798.75</v>
      </c>
      <c r="S4" s="91">
        <v>0</v>
      </c>
      <c r="T4" s="91">
        <v>0</v>
      </c>
      <c r="U4" s="91">
        <v>5798.75</v>
      </c>
      <c r="V4" s="91">
        <v>-5798.75</v>
      </c>
      <c r="W4" s="91">
        <v>0</v>
      </c>
      <c r="X4" s="91">
        <v>0</v>
      </c>
      <c r="Y4" s="119">
        <v>0</v>
      </c>
      <c r="Z4" s="92">
        <f>V4-Y4</f>
        <v>-5798.75</v>
      </c>
    </row>
    <row r="5" spans="1:26" x14ac:dyDescent="0.2">
      <c r="A5" s="89" t="s">
        <v>345</v>
      </c>
      <c r="B5" s="89" t="s">
        <v>346</v>
      </c>
      <c r="C5" s="89">
        <v>901</v>
      </c>
      <c r="D5" s="89" t="s">
        <v>621</v>
      </c>
      <c r="E5" s="67" t="s">
        <v>56</v>
      </c>
      <c r="F5" s="89" t="s">
        <v>57</v>
      </c>
      <c r="G5" s="121">
        <v>44226</v>
      </c>
      <c r="H5" s="121">
        <v>44208</v>
      </c>
      <c r="I5" s="91">
        <v>0</v>
      </c>
      <c r="J5" s="91">
        <v>0</v>
      </c>
      <c r="K5" s="91">
        <v>0</v>
      </c>
      <c r="L5" s="91">
        <v>0</v>
      </c>
      <c r="M5" s="91">
        <v>0</v>
      </c>
      <c r="N5" s="91">
        <v>0</v>
      </c>
      <c r="O5" s="91">
        <v>0</v>
      </c>
      <c r="P5" s="91">
        <v>90423.05</v>
      </c>
      <c r="Q5" s="91">
        <v>0</v>
      </c>
      <c r="R5" s="91">
        <v>55725.33</v>
      </c>
      <c r="S5" s="91">
        <v>0</v>
      </c>
      <c r="T5" s="91">
        <v>0</v>
      </c>
      <c r="U5" s="91">
        <v>146148.38</v>
      </c>
      <c r="V5" s="91">
        <v>-146148.38</v>
      </c>
      <c r="W5" s="91">
        <v>0</v>
      </c>
      <c r="X5" s="91">
        <v>0</v>
      </c>
      <c r="Y5" s="119">
        <v>0</v>
      </c>
      <c r="Z5" s="92">
        <f t="shared" ref="Z5:Z54" si="0">V5-Y5</f>
        <v>-146148.38</v>
      </c>
    </row>
    <row r="6" spans="1:26" x14ac:dyDescent="0.2">
      <c r="A6" s="89" t="s">
        <v>530</v>
      </c>
      <c r="B6" s="89" t="s">
        <v>531</v>
      </c>
      <c r="C6" s="89">
        <v>901</v>
      </c>
      <c r="D6" s="89" t="s">
        <v>621</v>
      </c>
      <c r="E6" s="67" t="s">
        <v>56</v>
      </c>
      <c r="F6" s="89" t="s">
        <v>57</v>
      </c>
      <c r="G6" s="121">
        <v>44226</v>
      </c>
      <c r="H6" s="121">
        <v>44165</v>
      </c>
      <c r="I6" s="91">
        <v>0</v>
      </c>
      <c r="J6" s="91">
        <v>300951.75</v>
      </c>
      <c r="K6" s="91">
        <v>0</v>
      </c>
      <c r="L6" s="91">
        <v>0</v>
      </c>
      <c r="M6" s="91">
        <v>0</v>
      </c>
      <c r="N6" s="91">
        <v>0</v>
      </c>
      <c r="O6" s="91">
        <v>300951.75</v>
      </c>
      <c r="P6" s="91">
        <v>0</v>
      </c>
      <c r="Q6" s="91">
        <v>0</v>
      </c>
      <c r="R6" s="91">
        <v>23951.32</v>
      </c>
      <c r="S6" s="91">
        <v>0</v>
      </c>
      <c r="T6" s="91">
        <v>0</v>
      </c>
      <c r="U6" s="91">
        <v>23951.32</v>
      </c>
      <c r="V6" s="91">
        <v>277000.43</v>
      </c>
      <c r="W6" s="91">
        <v>0</v>
      </c>
      <c r="X6" s="91">
        <v>0</v>
      </c>
      <c r="Y6" s="119">
        <v>0</v>
      </c>
      <c r="Z6" s="92">
        <f t="shared" si="0"/>
        <v>277000.43</v>
      </c>
    </row>
    <row r="7" spans="1:26" x14ac:dyDescent="0.2">
      <c r="A7" s="89" t="s">
        <v>124</v>
      </c>
      <c r="B7" s="89" t="s">
        <v>125</v>
      </c>
      <c r="C7" s="89">
        <v>901</v>
      </c>
      <c r="D7" s="89" t="s">
        <v>621</v>
      </c>
      <c r="E7" s="67" t="s">
        <v>56</v>
      </c>
      <c r="F7" s="89" t="s">
        <v>57</v>
      </c>
      <c r="G7" s="121">
        <v>44456</v>
      </c>
      <c r="H7" s="121"/>
      <c r="I7" s="91">
        <v>874800</v>
      </c>
      <c r="J7" s="91">
        <v>10119.23</v>
      </c>
      <c r="K7" s="91">
        <v>0</v>
      </c>
      <c r="L7" s="91">
        <v>0</v>
      </c>
      <c r="M7" s="91">
        <v>0</v>
      </c>
      <c r="N7" s="91">
        <v>0</v>
      </c>
      <c r="O7" s="91">
        <v>10119.23</v>
      </c>
      <c r="P7" s="91">
        <v>0</v>
      </c>
      <c r="Q7" s="91">
        <v>0</v>
      </c>
      <c r="R7" s="91">
        <v>0</v>
      </c>
      <c r="S7" s="91">
        <v>0</v>
      </c>
      <c r="T7" s="91">
        <v>0</v>
      </c>
      <c r="U7" s="91">
        <v>0</v>
      </c>
      <c r="V7" s="91">
        <v>10119.23</v>
      </c>
      <c r="W7" s="91">
        <v>0</v>
      </c>
      <c r="X7" s="91">
        <v>0</v>
      </c>
      <c r="Y7" s="119">
        <v>0</v>
      </c>
      <c r="Z7" s="92">
        <f t="shared" si="0"/>
        <v>10119.23</v>
      </c>
    </row>
    <row r="8" spans="1:26" x14ac:dyDescent="0.2">
      <c r="A8" s="89" t="s">
        <v>54</v>
      </c>
      <c r="B8" s="89" t="s">
        <v>55</v>
      </c>
      <c r="C8" s="89">
        <v>901</v>
      </c>
      <c r="D8" s="89" t="s">
        <v>621</v>
      </c>
      <c r="E8" s="67" t="s">
        <v>56</v>
      </c>
      <c r="F8" s="89" t="s">
        <v>57</v>
      </c>
      <c r="G8" s="121">
        <v>44461</v>
      </c>
      <c r="H8" s="121"/>
      <c r="I8" s="91">
        <v>136000</v>
      </c>
      <c r="J8" s="91">
        <v>0</v>
      </c>
      <c r="K8" s="91">
        <v>0</v>
      </c>
      <c r="L8" s="91">
        <v>0</v>
      </c>
      <c r="M8" s="91">
        <v>0</v>
      </c>
      <c r="N8" s="91">
        <v>0</v>
      </c>
      <c r="O8" s="91">
        <v>0</v>
      </c>
      <c r="P8" s="91">
        <v>0</v>
      </c>
      <c r="Q8" s="91">
        <v>0</v>
      </c>
      <c r="R8" s="91">
        <v>308.58</v>
      </c>
      <c r="S8" s="91">
        <v>0</v>
      </c>
      <c r="T8" s="91">
        <v>0</v>
      </c>
      <c r="U8" s="91">
        <v>308.58</v>
      </c>
      <c r="V8" s="91">
        <v>-308.58</v>
      </c>
      <c r="W8" s="91">
        <v>0</v>
      </c>
      <c r="X8" s="91">
        <v>0</v>
      </c>
      <c r="Y8" s="119">
        <v>0</v>
      </c>
      <c r="Z8" s="92">
        <f t="shared" si="0"/>
        <v>-308.58</v>
      </c>
    </row>
    <row r="9" spans="1:26" x14ac:dyDescent="0.2">
      <c r="A9" s="89" t="s">
        <v>70</v>
      </c>
      <c r="B9" s="89" t="s">
        <v>71</v>
      </c>
      <c r="C9" s="89">
        <v>901</v>
      </c>
      <c r="D9" s="89" t="s">
        <v>621</v>
      </c>
      <c r="E9" s="67" t="s">
        <v>56</v>
      </c>
      <c r="F9" s="89" t="s">
        <v>57</v>
      </c>
      <c r="G9" s="121">
        <v>44558</v>
      </c>
      <c r="H9" s="121"/>
      <c r="I9" s="91">
        <v>0</v>
      </c>
      <c r="J9" s="91">
        <v>0</v>
      </c>
      <c r="K9" s="91">
        <v>0</v>
      </c>
      <c r="L9" s="91">
        <v>0</v>
      </c>
      <c r="M9" s="91">
        <v>0</v>
      </c>
      <c r="N9" s="91">
        <v>0</v>
      </c>
      <c r="O9" s="91">
        <v>0</v>
      </c>
      <c r="P9" s="91">
        <v>0</v>
      </c>
      <c r="Q9" s="91">
        <v>0</v>
      </c>
      <c r="R9" s="91">
        <v>0</v>
      </c>
      <c r="S9" s="91">
        <v>0</v>
      </c>
      <c r="T9" s="91">
        <v>0</v>
      </c>
      <c r="U9" s="91">
        <v>0</v>
      </c>
      <c r="V9" s="91">
        <v>0</v>
      </c>
      <c r="W9" s="91">
        <v>0</v>
      </c>
      <c r="X9" s="91">
        <v>0</v>
      </c>
      <c r="Y9" s="119">
        <v>0</v>
      </c>
      <c r="Z9" s="92">
        <f t="shared" si="0"/>
        <v>0</v>
      </c>
    </row>
    <row r="10" spans="1:26" x14ac:dyDescent="0.2">
      <c r="A10" s="89" t="s">
        <v>154</v>
      </c>
      <c r="B10" s="89" t="s">
        <v>155</v>
      </c>
      <c r="C10" s="89">
        <v>901</v>
      </c>
      <c r="D10" s="89" t="s">
        <v>621</v>
      </c>
      <c r="E10" s="67" t="s">
        <v>56</v>
      </c>
      <c r="F10" s="89" t="s">
        <v>57</v>
      </c>
      <c r="G10" s="121">
        <v>44652</v>
      </c>
      <c r="H10" s="121">
        <v>45027</v>
      </c>
      <c r="I10" s="91">
        <v>55264500</v>
      </c>
      <c r="J10" s="91">
        <v>1262215.6000000001</v>
      </c>
      <c r="K10" s="91">
        <v>0</v>
      </c>
      <c r="L10" s="91">
        <v>0</v>
      </c>
      <c r="M10" s="91">
        <v>0</v>
      </c>
      <c r="N10" s="91">
        <v>0</v>
      </c>
      <c r="O10" s="91">
        <v>1262215.6000000001</v>
      </c>
      <c r="P10" s="91">
        <v>3050194.37</v>
      </c>
      <c r="Q10" s="91">
        <v>0</v>
      </c>
      <c r="R10" s="91">
        <v>492296.86</v>
      </c>
      <c r="S10" s="91">
        <v>0</v>
      </c>
      <c r="T10" s="91">
        <v>3052.5</v>
      </c>
      <c r="U10" s="91">
        <v>3545543.73</v>
      </c>
      <c r="V10" s="91">
        <v>-2283328.13</v>
      </c>
      <c r="W10" s="91">
        <v>0</v>
      </c>
      <c r="X10" s="91">
        <v>395.32000000000005</v>
      </c>
      <c r="Y10" s="119">
        <v>395.32000000000005</v>
      </c>
      <c r="Z10" s="92">
        <f t="shared" si="0"/>
        <v>-2283723.4499999997</v>
      </c>
    </row>
    <row r="11" spans="1:26" x14ac:dyDescent="0.2">
      <c r="A11" s="89" t="s">
        <v>104</v>
      </c>
      <c r="B11" s="89" t="s">
        <v>105</v>
      </c>
      <c r="C11" s="89">
        <v>901</v>
      </c>
      <c r="D11" s="89" t="s">
        <v>621</v>
      </c>
      <c r="E11" s="67" t="s">
        <v>56</v>
      </c>
      <c r="F11" s="89" t="s">
        <v>57</v>
      </c>
      <c r="G11" s="121">
        <v>44677</v>
      </c>
      <c r="H11" s="121">
        <v>44905</v>
      </c>
      <c r="I11" s="91">
        <v>20095000</v>
      </c>
      <c r="J11" s="91">
        <v>205248.64000000001</v>
      </c>
      <c r="K11" s="91">
        <v>0</v>
      </c>
      <c r="L11" s="91">
        <v>0</v>
      </c>
      <c r="M11" s="91">
        <v>0</v>
      </c>
      <c r="N11" s="91">
        <v>0</v>
      </c>
      <c r="O11" s="91">
        <v>205248.64000000001</v>
      </c>
      <c r="P11" s="91">
        <v>25122.159999999996</v>
      </c>
      <c r="Q11" s="91">
        <v>0</v>
      </c>
      <c r="R11" s="91">
        <v>37023.949999999997</v>
      </c>
      <c r="S11" s="91">
        <v>0</v>
      </c>
      <c r="T11" s="91">
        <v>0</v>
      </c>
      <c r="U11" s="91">
        <v>62146.11</v>
      </c>
      <c r="V11" s="91">
        <v>143102.53000000003</v>
      </c>
      <c r="W11" s="91">
        <v>0</v>
      </c>
      <c r="X11" s="91">
        <v>40.42</v>
      </c>
      <c r="Y11" s="119">
        <v>40.42</v>
      </c>
      <c r="Z11" s="92">
        <f t="shared" si="0"/>
        <v>143062.11000000002</v>
      </c>
    </row>
    <row r="12" spans="1:26" x14ac:dyDescent="0.2">
      <c r="A12" s="89" t="s">
        <v>720</v>
      </c>
      <c r="B12" s="89" t="s">
        <v>266</v>
      </c>
      <c r="C12" s="89">
        <v>901</v>
      </c>
      <c r="D12" s="89" t="s">
        <v>621</v>
      </c>
      <c r="E12" s="67" t="s">
        <v>56</v>
      </c>
      <c r="F12" s="89" t="s">
        <v>57</v>
      </c>
      <c r="G12" s="121">
        <v>44788</v>
      </c>
      <c r="H12" s="121"/>
      <c r="I12" s="91">
        <v>54455280</v>
      </c>
      <c r="J12" s="91">
        <v>1296147.5699999998</v>
      </c>
      <c r="K12" s="91">
        <v>0</v>
      </c>
      <c r="L12" s="91">
        <v>0</v>
      </c>
      <c r="M12" s="91">
        <v>0</v>
      </c>
      <c r="N12" s="91">
        <v>0</v>
      </c>
      <c r="O12" s="91">
        <v>1296147.5699999998</v>
      </c>
      <c r="P12" s="91">
        <v>1116695.96</v>
      </c>
      <c r="Q12" s="91">
        <v>85766.64</v>
      </c>
      <c r="R12" s="91">
        <v>356969.75</v>
      </c>
      <c r="S12" s="91">
        <v>0</v>
      </c>
      <c r="T12" s="91">
        <v>0</v>
      </c>
      <c r="U12" s="91">
        <v>1559432.35</v>
      </c>
      <c r="V12" s="91">
        <v>-263284.78000000026</v>
      </c>
      <c r="W12" s="91">
        <v>0</v>
      </c>
      <c r="X12" s="91">
        <v>0</v>
      </c>
      <c r="Y12" s="119">
        <v>0</v>
      </c>
      <c r="Z12" s="92">
        <f t="shared" si="0"/>
        <v>-263284.78000000026</v>
      </c>
    </row>
    <row r="13" spans="1:26" x14ac:dyDescent="0.2">
      <c r="A13" s="89" t="s">
        <v>814</v>
      </c>
      <c r="B13" s="89" t="s">
        <v>815</v>
      </c>
      <c r="C13" s="89">
        <v>901</v>
      </c>
      <c r="D13" s="89" t="s">
        <v>621</v>
      </c>
      <c r="E13" s="67" t="s">
        <v>56</v>
      </c>
      <c r="F13" s="89" t="s">
        <v>57</v>
      </c>
      <c r="G13" s="121">
        <v>44859</v>
      </c>
      <c r="H13" s="121"/>
      <c r="I13" s="91">
        <v>495000</v>
      </c>
      <c r="J13" s="91">
        <v>11001.32</v>
      </c>
      <c r="K13" s="91">
        <v>0</v>
      </c>
      <c r="L13" s="91">
        <v>0</v>
      </c>
      <c r="M13" s="91">
        <v>0</v>
      </c>
      <c r="N13" s="91">
        <v>0</v>
      </c>
      <c r="O13" s="91">
        <v>11001.32</v>
      </c>
      <c r="P13" s="91">
        <v>0</v>
      </c>
      <c r="Q13" s="91">
        <v>0</v>
      </c>
      <c r="R13" s="91">
        <v>0</v>
      </c>
      <c r="S13" s="91">
        <v>0</v>
      </c>
      <c r="T13" s="91">
        <v>0</v>
      </c>
      <c r="U13" s="91">
        <v>0</v>
      </c>
      <c r="V13" s="91">
        <v>11001.32</v>
      </c>
      <c r="W13" s="91">
        <v>0</v>
      </c>
      <c r="X13" s="91">
        <v>0</v>
      </c>
      <c r="Y13" s="119">
        <v>0</v>
      </c>
      <c r="Z13" s="92">
        <f t="shared" si="0"/>
        <v>11001.32</v>
      </c>
    </row>
    <row r="14" spans="1:26" x14ac:dyDescent="0.2">
      <c r="A14" s="89" t="s">
        <v>835</v>
      </c>
      <c r="B14" s="89" t="s">
        <v>836</v>
      </c>
      <c r="C14" s="89">
        <v>901</v>
      </c>
      <c r="D14" s="89" t="s">
        <v>621</v>
      </c>
      <c r="E14" s="67" t="s">
        <v>56</v>
      </c>
      <c r="F14" s="89" t="s">
        <v>57</v>
      </c>
      <c r="G14" s="121">
        <v>44875</v>
      </c>
      <c r="H14" s="121"/>
      <c r="I14" s="91">
        <v>0</v>
      </c>
      <c r="J14" s="91">
        <v>0</v>
      </c>
      <c r="K14" s="91">
        <v>0</v>
      </c>
      <c r="L14" s="91">
        <v>0</v>
      </c>
      <c r="M14" s="91">
        <v>0</v>
      </c>
      <c r="N14" s="91">
        <v>0</v>
      </c>
      <c r="O14" s="91">
        <v>0</v>
      </c>
      <c r="P14" s="91">
        <v>0</v>
      </c>
      <c r="Q14" s="91">
        <v>0</v>
      </c>
      <c r="R14" s="91">
        <v>0</v>
      </c>
      <c r="S14" s="91">
        <v>0</v>
      </c>
      <c r="T14" s="91">
        <v>0</v>
      </c>
      <c r="U14" s="91">
        <v>0</v>
      </c>
      <c r="V14" s="91">
        <v>0</v>
      </c>
      <c r="W14" s="91">
        <v>0</v>
      </c>
      <c r="X14" s="91">
        <v>0</v>
      </c>
      <c r="Y14" s="119">
        <v>0</v>
      </c>
      <c r="Z14" s="92">
        <f t="shared" si="0"/>
        <v>0</v>
      </c>
    </row>
    <row r="15" spans="1:26" x14ac:dyDescent="0.2">
      <c r="A15" s="89" t="s">
        <v>837</v>
      </c>
      <c r="B15" s="89" t="s">
        <v>838</v>
      </c>
      <c r="C15" s="89">
        <v>901</v>
      </c>
      <c r="D15" s="89" t="s">
        <v>621</v>
      </c>
      <c r="E15" s="67" t="s">
        <v>56</v>
      </c>
      <c r="F15" s="89" t="s">
        <v>57</v>
      </c>
      <c r="G15" s="121">
        <v>44882</v>
      </c>
      <c r="H15" s="121"/>
      <c r="I15" s="91">
        <v>14962200</v>
      </c>
      <c r="J15" s="91">
        <v>0</v>
      </c>
      <c r="K15" s="91">
        <v>0</v>
      </c>
      <c r="L15" s="91">
        <v>4677.47</v>
      </c>
      <c r="M15" s="91">
        <v>0</v>
      </c>
      <c r="N15" s="91">
        <v>0</v>
      </c>
      <c r="O15" s="91">
        <v>4677.47</v>
      </c>
      <c r="P15" s="91">
        <v>747934.53</v>
      </c>
      <c r="Q15" s="91">
        <v>0</v>
      </c>
      <c r="R15" s="91">
        <v>0</v>
      </c>
      <c r="S15" s="91">
        <v>0</v>
      </c>
      <c r="T15" s="91">
        <v>0</v>
      </c>
      <c r="U15" s="91">
        <v>747934.53</v>
      </c>
      <c r="V15" s="91">
        <v>-743257.06</v>
      </c>
      <c r="W15" s="91">
        <v>3158.51</v>
      </c>
      <c r="X15" s="91">
        <v>12672.96</v>
      </c>
      <c r="Y15" s="119">
        <v>15831.47</v>
      </c>
      <c r="Z15" s="92">
        <f t="shared" si="0"/>
        <v>-759088.53</v>
      </c>
    </row>
    <row r="16" spans="1:26" x14ac:dyDescent="0.2">
      <c r="A16" s="89" t="s">
        <v>319</v>
      </c>
      <c r="B16" s="89" t="s">
        <v>320</v>
      </c>
      <c r="C16" s="89">
        <v>901</v>
      </c>
      <c r="D16" s="89" t="s">
        <v>621</v>
      </c>
      <c r="E16" s="67" t="s">
        <v>321</v>
      </c>
      <c r="F16" s="89" t="s">
        <v>322</v>
      </c>
      <c r="G16" s="121">
        <v>44226</v>
      </c>
      <c r="H16" s="121">
        <v>43969</v>
      </c>
      <c r="I16" s="91">
        <v>7800000</v>
      </c>
      <c r="J16" s="91">
        <v>0</v>
      </c>
      <c r="K16" s="91">
        <v>0</v>
      </c>
      <c r="L16" s="91">
        <v>0</v>
      </c>
      <c r="M16" s="91">
        <v>0</v>
      </c>
      <c r="N16" s="91">
        <v>0</v>
      </c>
      <c r="O16" s="91">
        <v>0</v>
      </c>
      <c r="P16" s="91">
        <v>0</v>
      </c>
      <c r="Q16" s="91">
        <v>0</v>
      </c>
      <c r="R16" s="91">
        <v>3169.4900000000002</v>
      </c>
      <c r="S16" s="91">
        <v>0</v>
      </c>
      <c r="T16" s="91">
        <v>0</v>
      </c>
      <c r="U16" s="91">
        <v>3169.4900000000002</v>
      </c>
      <c r="V16" s="91">
        <v>-3169.4900000000002</v>
      </c>
      <c r="W16" s="91">
        <v>0</v>
      </c>
      <c r="X16" s="91">
        <v>0</v>
      </c>
      <c r="Y16" s="119">
        <v>0</v>
      </c>
      <c r="Z16" s="92">
        <f t="shared" si="0"/>
        <v>-3169.4900000000002</v>
      </c>
    </row>
    <row r="17" spans="1:26" x14ac:dyDescent="0.2">
      <c r="A17" s="89" t="s">
        <v>562</v>
      </c>
      <c r="B17" s="89" t="s">
        <v>563</v>
      </c>
      <c r="C17" s="89">
        <v>901</v>
      </c>
      <c r="D17" s="89" t="s">
        <v>621</v>
      </c>
      <c r="E17" s="67" t="s">
        <v>52</v>
      </c>
      <c r="F17" s="89" t="s">
        <v>53</v>
      </c>
      <c r="G17" s="121">
        <v>44226</v>
      </c>
      <c r="H17" s="121">
        <v>44424</v>
      </c>
      <c r="I17" s="91">
        <v>0</v>
      </c>
      <c r="J17" s="91">
        <v>0</v>
      </c>
      <c r="K17" s="91">
        <v>0</v>
      </c>
      <c r="L17" s="91">
        <v>0</v>
      </c>
      <c r="M17" s="91">
        <v>0</v>
      </c>
      <c r="N17" s="91">
        <v>0</v>
      </c>
      <c r="O17" s="91">
        <v>0</v>
      </c>
      <c r="P17" s="91">
        <v>0</v>
      </c>
      <c r="Q17" s="91">
        <v>0</v>
      </c>
      <c r="R17" s="91">
        <v>0</v>
      </c>
      <c r="S17" s="91">
        <v>0</v>
      </c>
      <c r="T17" s="91">
        <v>0</v>
      </c>
      <c r="U17" s="91">
        <v>0</v>
      </c>
      <c r="V17" s="91">
        <v>0</v>
      </c>
      <c r="W17" s="91">
        <v>0</v>
      </c>
      <c r="X17" s="91">
        <v>1373.71</v>
      </c>
      <c r="Y17" s="119">
        <v>1373.71</v>
      </c>
      <c r="Z17" s="92">
        <f t="shared" si="0"/>
        <v>-1373.71</v>
      </c>
    </row>
    <row r="18" spans="1:26" x14ac:dyDescent="0.2">
      <c r="A18" s="89" t="s">
        <v>570</v>
      </c>
      <c r="B18" s="89" t="s">
        <v>571</v>
      </c>
      <c r="C18" s="89">
        <v>901</v>
      </c>
      <c r="D18" s="89" t="s">
        <v>621</v>
      </c>
      <c r="E18" s="67" t="s">
        <v>62</v>
      </c>
      <c r="F18" s="89" t="s">
        <v>63</v>
      </c>
      <c r="G18" s="121">
        <v>44226</v>
      </c>
      <c r="H18" s="121">
        <v>44446</v>
      </c>
      <c r="I18" s="91">
        <v>0</v>
      </c>
      <c r="J18" s="91">
        <v>0</v>
      </c>
      <c r="K18" s="91">
        <v>0</v>
      </c>
      <c r="L18" s="91">
        <v>2354.73</v>
      </c>
      <c r="M18" s="91">
        <v>0</v>
      </c>
      <c r="N18" s="91">
        <v>0</v>
      </c>
      <c r="O18" s="91">
        <v>2354.73</v>
      </c>
      <c r="P18" s="91">
        <v>288674.43</v>
      </c>
      <c r="Q18" s="91">
        <v>0</v>
      </c>
      <c r="R18" s="91">
        <v>15306.18</v>
      </c>
      <c r="S18" s="91">
        <v>0</v>
      </c>
      <c r="T18" s="91">
        <v>0</v>
      </c>
      <c r="U18" s="91">
        <v>303980.61</v>
      </c>
      <c r="V18" s="91">
        <v>-301625.88</v>
      </c>
      <c r="W18" s="91">
        <v>0</v>
      </c>
      <c r="X18" s="91">
        <v>0</v>
      </c>
      <c r="Y18" s="119">
        <v>0</v>
      </c>
      <c r="Z18" s="92">
        <f t="shared" si="0"/>
        <v>-301625.88</v>
      </c>
    </row>
    <row r="19" spans="1:26" x14ac:dyDescent="0.2">
      <c r="A19" s="89" t="s">
        <v>323</v>
      </c>
      <c r="B19" s="89" t="s">
        <v>324</v>
      </c>
      <c r="C19" s="89">
        <v>901</v>
      </c>
      <c r="D19" s="89" t="s">
        <v>621</v>
      </c>
      <c r="E19" s="67" t="s">
        <v>62</v>
      </c>
      <c r="F19" s="89" t="s">
        <v>63</v>
      </c>
      <c r="G19" s="121">
        <v>44226</v>
      </c>
      <c r="H19" s="121">
        <v>44344</v>
      </c>
      <c r="I19" s="91">
        <v>4125000</v>
      </c>
      <c r="J19" s="91">
        <v>0</v>
      </c>
      <c r="K19" s="91">
        <v>0</v>
      </c>
      <c r="L19" s="91">
        <v>0</v>
      </c>
      <c r="M19" s="91">
        <v>0</v>
      </c>
      <c r="N19" s="91">
        <v>0</v>
      </c>
      <c r="O19" s="91">
        <v>0</v>
      </c>
      <c r="P19" s="91">
        <v>180377.83</v>
      </c>
      <c r="Q19" s="91">
        <v>0</v>
      </c>
      <c r="R19" s="91">
        <v>3246.8399999999997</v>
      </c>
      <c r="S19" s="91">
        <v>0</v>
      </c>
      <c r="T19" s="91">
        <v>0</v>
      </c>
      <c r="U19" s="91">
        <v>183624.67</v>
      </c>
      <c r="V19" s="91">
        <v>-183624.67</v>
      </c>
      <c r="W19" s="91">
        <v>0</v>
      </c>
      <c r="X19" s="91">
        <v>4121.1499999999996</v>
      </c>
      <c r="Y19" s="119">
        <v>4121.1499999999996</v>
      </c>
      <c r="Z19" s="92">
        <f t="shared" si="0"/>
        <v>-187745.82</v>
      </c>
    </row>
    <row r="20" spans="1:26" x14ac:dyDescent="0.2">
      <c r="A20" s="89" t="s">
        <v>160</v>
      </c>
      <c r="B20" s="89" t="s">
        <v>161</v>
      </c>
      <c r="C20" s="89">
        <v>901</v>
      </c>
      <c r="D20" s="89" t="s">
        <v>621</v>
      </c>
      <c r="E20" s="67" t="s">
        <v>62</v>
      </c>
      <c r="F20" s="89" t="s">
        <v>63</v>
      </c>
      <c r="G20" s="121">
        <v>44543</v>
      </c>
      <c r="H20" s="121"/>
      <c r="I20" s="91">
        <v>52956600</v>
      </c>
      <c r="J20" s="91">
        <v>130045.95999999999</v>
      </c>
      <c r="K20" s="91">
        <v>0</v>
      </c>
      <c r="L20" s="91">
        <v>224867.6073289761</v>
      </c>
      <c r="M20" s="91">
        <v>0</v>
      </c>
      <c r="N20" s="91">
        <v>0</v>
      </c>
      <c r="O20" s="91">
        <v>354913.56732897606</v>
      </c>
      <c r="P20" s="91">
        <v>5469595.1199999992</v>
      </c>
      <c r="Q20" s="91">
        <v>0</v>
      </c>
      <c r="R20" s="91">
        <v>184235.24</v>
      </c>
      <c r="S20" s="91">
        <v>0</v>
      </c>
      <c r="T20" s="91">
        <v>-2361.5100000000002</v>
      </c>
      <c r="U20" s="91">
        <v>5651468.8499999996</v>
      </c>
      <c r="V20" s="91">
        <v>-5296555.2826710232</v>
      </c>
      <c r="W20" s="91">
        <v>35385.360000000001</v>
      </c>
      <c r="X20" s="91">
        <v>33086.97</v>
      </c>
      <c r="Y20" s="119">
        <v>68472.33</v>
      </c>
      <c r="Z20" s="92">
        <f t="shared" si="0"/>
        <v>-5365027.6126710232</v>
      </c>
    </row>
    <row r="21" spans="1:26" x14ac:dyDescent="0.2">
      <c r="A21" s="89" t="s">
        <v>718</v>
      </c>
      <c r="B21" s="89" t="s">
        <v>719</v>
      </c>
      <c r="C21" s="89">
        <v>901</v>
      </c>
      <c r="D21" s="89" t="s">
        <v>621</v>
      </c>
      <c r="E21" s="67" t="s">
        <v>62</v>
      </c>
      <c r="F21" s="89" t="s">
        <v>63</v>
      </c>
      <c r="G21" s="121">
        <v>44788</v>
      </c>
      <c r="H21" s="121"/>
      <c r="I21" s="91">
        <v>19153200</v>
      </c>
      <c r="J21" s="91">
        <v>150997.31</v>
      </c>
      <c r="K21" s="91">
        <v>0</v>
      </c>
      <c r="L21" s="91">
        <v>0</v>
      </c>
      <c r="M21" s="91">
        <v>0</v>
      </c>
      <c r="N21" s="91">
        <v>0</v>
      </c>
      <c r="O21" s="91">
        <v>150997.31</v>
      </c>
      <c r="P21" s="91">
        <v>13201582.51</v>
      </c>
      <c r="Q21" s="91">
        <v>0</v>
      </c>
      <c r="R21" s="91">
        <v>857544.48</v>
      </c>
      <c r="S21" s="91">
        <v>0</v>
      </c>
      <c r="T21" s="91">
        <v>0</v>
      </c>
      <c r="U21" s="91">
        <v>14059126.989999998</v>
      </c>
      <c r="V21" s="91">
        <v>-13908129.68</v>
      </c>
      <c r="W21" s="91">
        <v>0</v>
      </c>
      <c r="X21" s="91">
        <v>12025.06</v>
      </c>
      <c r="Y21" s="119">
        <v>12025.06</v>
      </c>
      <c r="Z21" s="92">
        <f t="shared" si="0"/>
        <v>-13920154.74</v>
      </c>
    </row>
    <row r="22" spans="1:26" x14ac:dyDescent="0.2">
      <c r="A22" s="89" t="s">
        <v>150</v>
      </c>
      <c r="B22" s="89" t="s">
        <v>151</v>
      </c>
      <c r="C22" s="89">
        <v>901</v>
      </c>
      <c r="D22" s="89" t="s">
        <v>621</v>
      </c>
      <c r="E22" s="67" t="s">
        <v>80</v>
      </c>
      <c r="F22" s="89" t="s">
        <v>81</v>
      </c>
      <c r="G22" s="121">
        <v>44623</v>
      </c>
      <c r="H22" s="121">
        <v>44964</v>
      </c>
      <c r="I22" s="91">
        <v>13134000</v>
      </c>
      <c r="J22" s="91">
        <v>295939.90000000002</v>
      </c>
      <c r="K22" s="91">
        <v>0</v>
      </c>
      <c r="L22" s="91">
        <v>0</v>
      </c>
      <c r="M22" s="91">
        <v>0</v>
      </c>
      <c r="N22" s="91">
        <v>0</v>
      </c>
      <c r="O22" s="91">
        <v>295939.90000000002</v>
      </c>
      <c r="P22" s="91">
        <v>149728.26</v>
      </c>
      <c r="Q22" s="91">
        <v>0</v>
      </c>
      <c r="R22" s="91">
        <v>3148.49</v>
      </c>
      <c r="S22" s="91">
        <v>0</v>
      </c>
      <c r="T22" s="91">
        <v>0</v>
      </c>
      <c r="U22" s="91">
        <v>152876.75</v>
      </c>
      <c r="V22" s="91">
        <v>143063.15000000002</v>
      </c>
      <c r="W22" s="91">
        <v>2711.1990000000001</v>
      </c>
      <c r="X22" s="91">
        <v>4644.01</v>
      </c>
      <c r="Y22" s="119">
        <v>7355.2090000000007</v>
      </c>
      <c r="Z22" s="92">
        <f t="shared" si="0"/>
        <v>135707.94100000002</v>
      </c>
    </row>
    <row r="23" spans="1:26" x14ac:dyDescent="0.2">
      <c r="A23" s="89" t="s">
        <v>754</v>
      </c>
      <c r="B23" s="89" t="s">
        <v>755</v>
      </c>
      <c r="C23" s="89">
        <v>901</v>
      </c>
      <c r="D23" s="89" t="s">
        <v>621</v>
      </c>
      <c r="E23" s="67" t="s">
        <v>80</v>
      </c>
      <c r="F23" s="89" t="s">
        <v>81</v>
      </c>
      <c r="G23" s="121">
        <v>44811</v>
      </c>
      <c r="H23" s="121"/>
      <c r="I23" s="91">
        <v>1792500</v>
      </c>
      <c r="J23" s="91">
        <v>224153.76</v>
      </c>
      <c r="K23" s="91">
        <v>0</v>
      </c>
      <c r="L23" s="91">
        <v>0</v>
      </c>
      <c r="M23" s="91">
        <v>0</v>
      </c>
      <c r="N23" s="91">
        <v>0</v>
      </c>
      <c r="O23" s="91">
        <v>224153.76</v>
      </c>
      <c r="P23" s="91">
        <v>288183.65999999997</v>
      </c>
      <c r="Q23" s="91">
        <v>0</v>
      </c>
      <c r="R23" s="91">
        <v>17181.050000000003</v>
      </c>
      <c r="S23" s="91">
        <v>0</v>
      </c>
      <c r="T23" s="91">
        <v>0</v>
      </c>
      <c r="U23" s="91">
        <v>305364.71000000002</v>
      </c>
      <c r="V23" s="91">
        <v>-81210.949999999983</v>
      </c>
      <c r="W23" s="91">
        <v>0</v>
      </c>
      <c r="X23" s="91">
        <v>1800.29</v>
      </c>
      <c r="Y23" s="119">
        <v>1800.29</v>
      </c>
      <c r="Z23" s="92">
        <f t="shared" si="0"/>
        <v>-83011.239999999976</v>
      </c>
    </row>
    <row r="24" spans="1:26" x14ac:dyDescent="0.2">
      <c r="A24" s="89" t="s">
        <v>50</v>
      </c>
      <c r="B24" s="89" t="s">
        <v>51</v>
      </c>
      <c r="C24" s="89">
        <v>901</v>
      </c>
      <c r="D24" s="89" t="s">
        <v>621</v>
      </c>
      <c r="E24" s="67" t="s">
        <v>52</v>
      </c>
      <c r="F24" s="89" t="s">
        <v>53</v>
      </c>
      <c r="G24" s="121">
        <v>44487</v>
      </c>
      <c r="H24" s="121"/>
      <c r="I24" s="91">
        <v>284500</v>
      </c>
      <c r="J24" s="91">
        <v>0</v>
      </c>
      <c r="K24" s="91">
        <v>0</v>
      </c>
      <c r="L24" s="91">
        <v>0</v>
      </c>
      <c r="M24" s="91">
        <v>0</v>
      </c>
      <c r="N24" s="91">
        <v>0</v>
      </c>
      <c r="O24" s="91">
        <v>0</v>
      </c>
      <c r="P24" s="91">
        <v>0</v>
      </c>
      <c r="Q24" s="91">
        <v>0</v>
      </c>
      <c r="R24" s="91">
        <v>0</v>
      </c>
      <c r="S24" s="91">
        <v>0</v>
      </c>
      <c r="T24" s="91">
        <v>0</v>
      </c>
      <c r="U24" s="91">
        <v>0</v>
      </c>
      <c r="V24" s="91">
        <v>0</v>
      </c>
      <c r="W24" s="91">
        <v>0</v>
      </c>
      <c r="X24" s="91">
        <v>0</v>
      </c>
      <c r="Y24" s="119">
        <v>0</v>
      </c>
      <c r="Z24" s="92">
        <f t="shared" si="0"/>
        <v>0</v>
      </c>
    </row>
    <row r="25" spans="1:26" x14ac:dyDescent="0.2">
      <c r="A25" s="89" t="s">
        <v>879</v>
      </c>
      <c r="B25" s="89" t="s">
        <v>880</v>
      </c>
      <c r="C25" s="89">
        <v>901</v>
      </c>
      <c r="D25" s="89" t="s">
        <v>621</v>
      </c>
      <c r="E25" s="67" t="s">
        <v>62</v>
      </c>
      <c r="F25" s="89" t="s">
        <v>63</v>
      </c>
      <c r="G25" s="121">
        <v>44925</v>
      </c>
      <c r="H25" s="121"/>
      <c r="I25" s="91">
        <v>200000</v>
      </c>
      <c r="J25" s="91">
        <v>0</v>
      </c>
      <c r="K25" s="91">
        <v>0</v>
      </c>
      <c r="L25" s="91">
        <v>0</v>
      </c>
      <c r="M25" s="91">
        <v>0</v>
      </c>
      <c r="N25" s="91">
        <v>0</v>
      </c>
      <c r="O25" s="91">
        <v>0</v>
      </c>
      <c r="P25" s="91">
        <v>0</v>
      </c>
      <c r="Q25" s="91">
        <v>0</v>
      </c>
      <c r="R25" s="91">
        <v>0</v>
      </c>
      <c r="S25" s="91">
        <v>0</v>
      </c>
      <c r="T25" s="91">
        <v>0</v>
      </c>
      <c r="U25" s="91">
        <v>0</v>
      </c>
      <c r="V25" s="91">
        <v>0</v>
      </c>
      <c r="W25" s="91">
        <v>0</v>
      </c>
      <c r="X25" s="91">
        <v>0</v>
      </c>
      <c r="Y25" s="119">
        <v>0</v>
      </c>
      <c r="Z25" s="92">
        <f t="shared" si="0"/>
        <v>0</v>
      </c>
    </row>
    <row r="26" spans="1:26" x14ac:dyDescent="0.2">
      <c r="A26" s="89" t="s">
        <v>883</v>
      </c>
      <c r="B26" s="89" t="s">
        <v>884</v>
      </c>
      <c r="C26" s="89">
        <v>901</v>
      </c>
      <c r="D26" s="89" t="s">
        <v>621</v>
      </c>
      <c r="E26" s="67" t="s">
        <v>62</v>
      </c>
      <c r="F26" s="89" t="s">
        <v>63</v>
      </c>
      <c r="G26" s="121">
        <v>44935</v>
      </c>
      <c r="H26" s="121"/>
      <c r="I26" s="91">
        <v>69500</v>
      </c>
      <c r="J26" s="91">
        <v>42912.73</v>
      </c>
      <c r="K26" s="91">
        <v>0</v>
      </c>
      <c r="L26" s="91">
        <v>8433.39</v>
      </c>
      <c r="M26" s="91">
        <v>0</v>
      </c>
      <c r="N26" s="91">
        <v>0</v>
      </c>
      <c r="O26" s="91">
        <v>51346.12</v>
      </c>
      <c r="P26" s="91">
        <v>0</v>
      </c>
      <c r="Q26" s="91">
        <v>0</v>
      </c>
      <c r="R26" s="91">
        <v>2183.9699999999998</v>
      </c>
      <c r="S26" s="91">
        <v>840.09</v>
      </c>
      <c r="T26" s="91">
        <v>1221.74</v>
      </c>
      <c r="U26" s="91">
        <v>4245.7999999999993</v>
      </c>
      <c r="V26" s="91">
        <v>47100.320000000007</v>
      </c>
      <c r="W26" s="91">
        <v>0</v>
      </c>
      <c r="X26" s="91">
        <v>0</v>
      </c>
      <c r="Y26" s="119">
        <v>0</v>
      </c>
      <c r="Z26" s="92">
        <f t="shared" si="0"/>
        <v>47100.320000000007</v>
      </c>
    </row>
    <row r="27" spans="1:26" x14ac:dyDescent="0.2">
      <c r="A27" s="89" t="s">
        <v>343</v>
      </c>
      <c r="B27" s="89" t="s">
        <v>344</v>
      </c>
      <c r="C27" s="89">
        <v>901</v>
      </c>
      <c r="D27" s="89" t="s">
        <v>621</v>
      </c>
      <c r="E27" s="67" t="s">
        <v>56</v>
      </c>
      <c r="F27" s="89" t="s">
        <v>57</v>
      </c>
      <c r="G27" s="121">
        <v>44226</v>
      </c>
      <c r="H27" s="121">
        <v>44406</v>
      </c>
      <c r="I27" s="91">
        <v>0</v>
      </c>
      <c r="J27" s="91">
        <v>0</v>
      </c>
      <c r="K27" s="91">
        <v>0</v>
      </c>
      <c r="L27" s="91">
        <v>0</v>
      </c>
      <c r="M27" s="91">
        <v>0</v>
      </c>
      <c r="N27" s="91">
        <v>0</v>
      </c>
      <c r="O27" s="91">
        <v>0</v>
      </c>
      <c r="P27" s="91">
        <v>0</v>
      </c>
      <c r="Q27" s="91">
        <v>0</v>
      </c>
      <c r="R27" s="91">
        <v>0</v>
      </c>
      <c r="S27" s="91">
        <v>0</v>
      </c>
      <c r="T27" s="91">
        <v>0</v>
      </c>
      <c r="U27" s="91">
        <v>0</v>
      </c>
      <c r="V27" s="91">
        <v>0</v>
      </c>
      <c r="W27" s="91">
        <v>0</v>
      </c>
      <c r="X27" s="91">
        <v>0</v>
      </c>
      <c r="Y27" s="119">
        <v>0</v>
      </c>
      <c r="Z27" s="92">
        <f t="shared" si="0"/>
        <v>0</v>
      </c>
    </row>
    <row r="28" spans="1:26" x14ac:dyDescent="0.2">
      <c r="A28" s="89" t="s">
        <v>921</v>
      </c>
      <c r="B28" s="89" t="s">
        <v>922</v>
      </c>
      <c r="C28" s="89">
        <v>901</v>
      </c>
      <c r="D28" s="89" t="s">
        <v>621</v>
      </c>
      <c r="E28" s="67" t="s">
        <v>923</v>
      </c>
      <c r="F28" s="89" t="s">
        <v>924</v>
      </c>
      <c r="G28" s="121">
        <v>45015</v>
      </c>
      <c r="H28" s="121"/>
      <c r="I28" s="91">
        <v>208350</v>
      </c>
      <c r="J28" s="91">
        <v>213421.45</v>
      </c>
      <c r="K28" s="91">
        <v>0</v>
      </c>
      <c r="L28" s="91">
        <v>4311.58</v>
      </c>
      <c r="M28" s="91">
        <v>0</v>
      </c>
      <c r="N28" s="91">
        <v>0</v>
      </c>
      <c r="O28" s="91">
        <v>217733.03</v>
      </c>
      <c r="P28" s="91">
        <v>101605.66</v>
      </c>
      <c r="Q28" s="91">
        <v>0</v>
      </c>
      <c r="R28" s="91">
        <v>0</v>
      </c>
      <c r="S28" s="91">
        <v>0</v>
      </c>
      <c r="T28" s="91">
        <v>411.89000000000004</v>
      </c>
      <c r="U28" s="91">
        <v>102017.55000000002</v>
      </c>
      <c r="V28" s="91">
        <v>115715.48</v>
      </c>
      <c r="W28" s="91">
        <v>0</v>
      </c>
      <c r="X28" s="91">
        <v>0</v>
      </c>
      <c r="Y28" s="119">
        <v>0</v>
      </c>
      <c r="Z28" s="92">
        <f t="shared" si="0"/>
        <v>115715.48</v>
      </c>
    </row>
    <row r="29" spans="1:26" x14ac:dyDescent="0.2">
      <c r="A29" s="89" t="s">
        <v>957</v>
      </c>
      <c r="B29" s="89" t="s">
        <v>958</v>
      </c>
      <c r="C29" s="89">
        <v>901</v>
      </c>
      <c r="D29" s="89" t="s">
        <v>621</v>
      </c>
      <c r="E29" s="67" t="s">
        <v>56</v>
      </c>
      <c r="F29" s="89" t="s">
        <v>57</v>
      </c>
      <c r="G29" s="121">
        <v>45091</v>
      </c>
      <c r="H29" s="121"/>
      <c r="I29" s="91">
        <v>485600</v>
      </c>
      <c r="J29" s="91">
        <v>161161.64000000001</v>
      </c>
      <c r="K29" s="91">
        <v>0</v>
      </c>
      <c r="L29" s="91">
        <v>0</v>
      </c>
      <c r="M29" s="91">
        <v>0</v>
      </c>
      <c r="N29" s="91">
        <v>0</v>
      </c>
      <c r="O29" s="91">
        <v>161161.64000000001</v>
      </c>
      <c r="P29" s="91">
        <v>234913.8</v>
      </c>
      <c r="Q29" s="91">
        <v>0</v>
      </c>
      <c r="R29" s="91">
        <v>5037.72</v>
      </c>
      <c r="S29" s="91">
        <v>5798.99</v>
      </c>
      <c r="T29" s="91">
        <v>34428.78</v>
      </c>
      <c r="U29" s="91">
        <v>280179.28999999998</v>
      </c>
      <c r="V29" s="91">
        <v>-119017.64999999997</v>
      </c>
      <c r="W29" s="91">
        <v>0</v>
      </c>
      <c r="X29" s="91">
        <v>0</v>
      </c>
      <c r="Y29" s="119">
        <v>0</v>
      </c>
      <c r="Z29" s="92">
        <f t="shared" si="0"/>
        <v>-119017.64999999997</v>
      </c>
    </row>
    <row r="30" spans="1:26" x14ac:dyDescent="0.2">
      <c r="A30" s="89" t="s">
        <v>965</v>
      </c>
      <c r="B30" s="89" t="s">
        <v>966</v>
      </c>
      <c r="C30" s="89">
        <v>901</v>
      </c>
      <c r="D30" s="89" t="s">
        <v>621</v>
      </c>
      <c r="E30" s="67" t="s">
        <v>56</v>
      </c>
      <c r="F30" s="89" t="s">
        <v>57</v>
      </c>
      <c r="G30" s="121">
        <v>44226</v>
      </c>
      <c r="H30" s="121">
        <v>44195</v>
      </c>
      <c r="I30" s="91">
        <v>0</v>
      </c>
      <c r="J30" s="91">
        <v>0</v>
      </c>
      <c r="K30" s="91">
        <v>0</v>
      </c>
      <c r="L30" s="91">
        <v>0</v>
      </c>
      <c r="M30" s="91">
        <v>0</v>
      </c>
      <c r="N30" s="91">
        <v>0</v>
      </c>
      <c r="O30" s="91">
        <v>0</v>
      </c>
      <c r="P30" s="91">
        <v>0</v>
      </c>
      <c r="Q30" s="91">
        <v>0</v>
      </c>
      <c r="R30" s="91">
        <v>0</v>
      </c>
      <c r="S30" s="91">
        <v>0</v>
      </c>
      <c r="T30" s="91">
        <v>0</v>
      </c>
      <c r="U30" s="91">
        <v>0</v>
      </c>
      <c r="V30" s="91">
        <v>0</v>
      </c>
      <c r="W30" s="91">
        <v>0</v>
      </c>
      <c r="X30" s="91">
        <v>0</v>
      </c>
      <c r="Y30" s="119">
        <v>0</v>
      </c>
      <c r="Z30" s="92">
        <f t="shared" si="0"/>
        <v>0</v>
      </c>
    </row>
    <row r="31" spans="1:26" x14ac:dyDescent="0.2">
      <c r="A31" s="89" t="s">
        <v>801</v>
      </c>
      <c r="B31" s="89" t="s">
        <v>802</v>
      </c>
      <c r="C31" s="89">
        <v>901</v>
      </c>
      <c r="D31" s="89" t="s">
        <v>621</v>
      </c>
      <c r="E31" s="67" t="s">
        <v>80</v>
      </c>
      <c r="F31" s="89" t="s">
        <v>81</v>
      </c>
      <c r="G31" s="121">
        <v>44887</v>
      </c>
      <c r="H31" s="121"/>
      <c r="I31" s="91">
        <v>200000</v>
      </c>
      <c r="J31" s="91">
        <v>0</v>
      </c>
      <c r="K31" s="91">
        <v>0</v>
      </c>
      <c r="L31" s="91">
        <v>0</v>
      </c>
      <c r="M31" s="91">
        <v>0</v>
      </c>
      <c r="N31" s="91">
        <v>0</v>
      </c>
      <c r="O31" s="91">
        <v>0</v>
      </c>
      <c r="P31" s="91">
        <v>0</v>
      </c>
      <c r="Q31" s="91">
        <v>0</v>
      </c>
      <c r="R31" s="91">
        <v>0</v>
      </c>
      <c r="S31" s="91">
        <v>0</v>
      </c>
      <c r="T31" s="91">
        <v>0</v>
      </c>
      <c r="U31" s="91">
        <v>0</v>
      </c>
      <c r="V31" s="91">
        <v>0</v>
      </c>
      <c r="W31" s="91">
        <v>0</v>
      </c>
      <c r="X31" s="91">
        <v>2176.3199999999997</v>
      </c>
      <c r="Y31" s="119">
        <v>2176.3199999999997</v>
      </c>
      <c r="Z31" s="92">
        <f t="shared" si="0"/>
        <v>-2176.3199999999997</v>
      </c>
    </row>
    <row r="32" spans="1:26" x14ac:dyDescent="0.2">
      <c r="A32" s="89" t="s">
        <v>1115</v>
      </c>
      <c r="B32" s="89" t="s">
        <v>1116</v>
      </c>
      <c r="C32" s="89">
        <v>901</v>
      </c>
      <c r="D32" s="89" t="s">
        <v>621</v>
      </c>
      <c r="E32" s="67" t="s">
        <v>56</v>
      </c>
      <c r="F32" s="89" t="s">
        <v>57</v>
      </c>
      <c r="G32" s="121">
        <v>45240</v>
      </c>
      <c r="H32" s="121"/>
      <c r="I32" s="91">
        <v>1542670</v>
      </c>
      <c r="J32" s="91">
        <v>0</v>
      </c>
      <c r="K32" s="91">
        <v>0</v>
      </c>
      <c r="L32" s="91">
        <v>267082.46999999997</v>
      </c>
      <c r="M32" s="91">
        <v>0</v>
      </c>
      <c r="N32" s="91">
        <v>0</v>
      </c>
      <c r="O32" s="91">
        <v>267082.46999999997</v>
      </c>
      <c r="P32" s="91">
        <v>470554.89</v>
      </c>
      <c r="Q32" s="91">
        <v>0</v>
      </c>
      <c r="R32" s="91">
        <v>0</v>
      </c>
      <c r="S32" s="91">
        <v>4045.05</v>
      </c>
      <c r="T32" s="91">
        <v>111828.52</v>
      </c>
      <c r="U32" s="91">
        <v>586428.46</v>
      </c>
      <c r="V32" s="91">
        <v>-319345.99000000005</v>
      </c>
      <c r="W32" s="91">
        <v>0</v>
      </c>
      <c r="X32" s="91">
        <v>0</v>
      </c>
      <c r="Y32" s="119">
        <v>0</v>
      </c>
      <c r="Z32" s="92">
        <f t="shared" si="0"/>
        <v>-319345.99000000005</v>
      </c>
    </row>
    <row r="33" spans="1:26" x14ac:dyDescent="0.2">
      <c r="A33" s="89" t="s">
        <v>1075</v>
      </c>
      <c r="B33" s="89" t="s">
        <v>1076</v>
      </c>
      <c r="C33" s="89">
        <v>901</v>
      </c>
      <c r="D33" s="89" t="s">
        <v>621</v>
      </c>
      <c r="E33" s="67" t="s">
        <v>56</v>
      </c>
      <c r="F33" s="89" t="s">
        <v>57</v>
      </c>
      <c r="G33" s="121">
        <v>45167</v>
      </c>
      <c r="H33" s="121">
        <v>45343</v>
      </c>
      <c r="I33" s="91">
        <v>3258000</v>
      </c>
      <c r="J33" s="91">
        <v>2596633.92</v>
      </c>
      <c r="K33" s="91">
        <v>0</v>
      </c>
      <c r="L33" s="91">
        <v>0</v>
      </c>
      <c r="M33" s="91">
        <v>0</v>
      </c>
      <c r="N33" s="91">
        <v>0</v>
      </c>
      <c r="O33" s="91">
        <v>2596633.92</v>
      </c>
      <c r="P33" s="91">
        <v>3340512.63</v>
      </c>
      <c r="Q33" s="91">
        <v>0</v>
      </c>
      <c r="R33" s="91">
        <v>0</v>
      </c>
      <c r="S33" s="91">
        <v>33731.64</v>
      </c>
      <c r="T33" s="91">
        <v>2432.2600000000002</v>
      </c>
      <c r="U33" s="91">
        <v>3376676.5300000003</v>
      </c>
      <c r="V33" s="91">
        <v>-780042.61000000057</v>
      </c>
      <c r="W33" s="91">
        <v>60441.270000000004</v>
      </c>
      <c r="X33" s="91">
        <v>13895.76</v>
      </c>
      <c r="Y33" s="119">
        <v>74337.03</v>
      </c>
      <c r="Z33" s="92">
        <f t="shared" si="0"/>
        <v>-854379.6400000006</v>
      </c>
    </row>
    <row r="34" spans="1:26" x14ac:dyDescent="0.2">
      <c r="A34" s="89" t="s">
        <v>1101</v>
      </c>
      <c r="B34" s="89" t="s">
        <v>1102</v>
      </c>
      <c r="C34" s="89">
        <v>901</v>
      </c>
      <c r="D34" s="89" t="s">
        <v>621</v>
      </c>
      <c r="E34" s="67" t="s">
        <v>62</v>
      </c>
      <c r="F34" s="89" t="s">
        <v>63</v>
      </c>
      <c r="G34" s="121">
        <v>45219</v>
      </c>
      <c r="H34" s="121"/>
      <c r="I34" s="91">
        <v>5755200</v>
      </c>
      <c r="J34" s="91">
        <v>0</v>
      </c>
      <c r="K34" s="91">
        <v>0</v>
      </c>
      <c r="L34" s="91">
        <v>448457.07</v>
      </c>
      <c r="M34" s="91">
        <v>0</v>
      </c>
      <c r="N34" s="91">
        <v>0</v>
      </c>
      <c r="O34" s="91">
        <v>448457.07</v>
      </c>
      <c r="P34" s="91">
        <v>1236473.73</v>
      </c>
      <c r="Q34" s="91">
        <v>0</v>
      </c>
      <c r="R34" s="91">
        <v>556672.06999999867</v>
      </c>
      <c r="S34" s="91">
        <v>209005.83999999982</v>
      </c>
      <c r="T34" s="91">
        <v>180908.7200000005</v>
      </c>
      <c r="U34" s="91">
        <v>2183060.3599999985</v>
      </c>
      <c r="V34" s="91">
        <v>-1734603.2899999986</v>
      </c>
      <c r="W34" s="91">
        <v>3815.5</v>
      </c>
      <c r="X34" s="91">
        <v>4031.31</v>
      </c>
      <c r="Y34" s="119">
        <v>7846.8099999999995</v>
      </c>
      <c r="Z34" s="92">
        <f t="shared" si="0"/>
        <v>-1742450.0999999987</v>
      </c>
    </row>
    <row r="35" spans="1:26" x14ac:dyDescent="0.2">
      <c r="A35" s="89" t="s">
        <v>1109</v>
      </c>
      <c r="B35" s="89" t="s">
        <v>1110</v>
      </c>
      <c r="C35" s="89">
        <v>901</v>
      </c>
      <c r="D35" s="89" t="s">
        <v>621</v>
      </c>
      <c r="E35" s="67" t="s">
        <v>62</v>
      </c>
      <c r="F35" s="89" t="s">
        <v>63</v>
      </c>
      <c r="G35" s="121">
        <v>45230</v>
      </c>
      <c r="H35" s="121"/>
      <c r="I35" s="91">
        <v>748000</v>
      </c>
      <c r="J35" s="91">
        <v>0</v>
      </c>
      <c r="K35" s="91">
        <v>0</v>
      </c>
      <c r="L35" s="91">
        <v>490821.75999999995</v>
      </c>
      <c r="M35" s="91">
        <v>0</v>
      </c>
      <c r="N35" s="91">
        <v>0</v>
      </c>
      <c r="O35" s="91">
        <v>490821.75999999995</v>
      </c>
      <c r="P35" s="91">
        <v>890122.74</v>
      </c>
      <c r="Q35" s="91">
        <v>0</v>
      </c>
      <c r="R35" s="91">
        <v>245869.26</v>
      </c>
      <c r="S35" s="91">
        <v>201791.40000000002</v>
      </c>
      <c r="T35" s="91">
        <v>241779.68999999997</v>
      </c>
      <c r="U35" s="91">
        <v>1579563.0899999999</v>
      </c>
      <c r="V35" s="91">
        <v>-1088741.33</v>
      </c>
      <c r="W35" s="91">
        <v>3089.72</v>
      </c>
      <c r="X35" s="91">
        <v>43566.549999999996</v>
      </c>
      <c r="Y35" s="119">
        <v>46656.27</v>
      </c>
      <c r="Z35" s="92">
        <f t="shared" si="0"/>
        <v>-1135397.6000000001</v>
      </c>
    </row>
    <row r="36" spans="1:26" x14ac:dyDescent="0.2">
      <c r="A36" s="89" t="s">
        <v>1113</v>
      </c>
      <c r="B36" s="89" t="s">
        <v>1114</v>
      </c>
      <c r="C36" s="89">
        <v>901</v>
      </c>
      <c r="D36" s="89" t="s">
        <v>621</v>
      </c>
      <c r="E36" s="67" t="s">
        <v>56</v>
      </c>
      <c r="F36" s="89" t="s">
        <v>57</v>
      </c>
      <c r="G36" s="121">
        <v>45233</v>
      </c>
      <c r="H36" s="121"/>
      <c r="I36" s="91">
        <v>410000</v>
      </c>
      <c r="J36" s="91">
        <v>0</v>
      </c>
      <c r="K36" s="91">
        <v>0</v>
      </c>
      <c r="L36" s="91">
        <v>0</v>
      </c>
      <c r="M36" s="91">
        <v>0</v>
      </c>
      <c r="N36" s="91">
        <v>0</v>
      </c>
      <c r="O36" s="91">
        <v>0</v>
      </c>
      <c r="P36" s="91">
        <v>1047.32</v>
      </c>
      <c r="Q36" s="91">
        <v>0</v>
      </c>
      <c r="R36" s="91">
        <v>0</v>
      </c>
      <c r="S36" s="91">
        <v>11757.32</v>
      </c>
      <c r="T36" s="91">
        <v>45578.37</v>
      </c>
      <c r="U36" s="91">
        <v>58383.01</v>
      </c>
      <c r="V36" s="91">
        <v>-58383.01</v>
      </c>
      <c r="W36" s="91">
        <v>0</v>
      </c>
      <c r="X36" s="91">
        <v>180.25</v>
      </c>
      <c r="Y36" s="119">
        <v>180.25</v>
      </c>
      <c r="Z36" s="92">
        <f t="shared" si="0"/>
        <v>-58563.26</v>
      </c>
    </row>
    <row r="37" spans="1:26" x14ac:dyDescent="0.2">
      <c r="A37" s="89" t="s">
        <v>1111</v>
      </c>
      <c r="B37" s="89" t="s">
        <v>1112</v>
      </c>
      <c r="C37" s="89">
        <v>901</v>
      </c>
      <c r="D37" s="89" t="s">
        <v>621</v>
      </c>
      <c r="E37" s="67" t="s">
        <v>62</v>
      </c>
      <c r="F37" s="89" t="s">
        <v>63</v>
      </c>
      <c r="G37" s="121">
        <v>45230</v>
      </c>
      <c r="H37" s="121"/>
      <c r="I37" s="91">
        <v>447700</v>
      </c>
      <c r="J37" s="91">
        <v>0</v>
      </c>
      <c r="K37" s="91">
        <v>0</v>
      </c>
      <c r="L37" s="91">
        <v>223341.81000000003</v>
      </c>
      <c r="M37" s="91">
        <v>0</v>
      </c>
      <c r="N37" s="91">
        <v>0</v>
      </c>
      <c r="O37" s="91">
        <v>223341.81000000003</v>
      </c>
      <c r="P37" s="91">
        <v>320542.31</v>
      </c>
      <c r="Q37" s="91">
        <v>0</v>
      </c>
      <c r="R37" s="91">
        <v>75610.64</v>
      </c>
      <c r="S37" s="91">
        <v>37731.200000000004</v>
      </c>
      <c r="T37" s="91">
        <v>-22588.91</v>
      </c>
      <c r="U37" s="91">
        <v>411295.23999999993</v>
      </c>
      <c r="V37" s="91">
        <v>-187953.43</v>
      </c>
      <c r="W37" s="91">
        <v>3086.86</v>
      </c>
      <c r="X37" s="91">
        <v>5117.6299999999992</v>
      </c>
      <c r="Y37" s="119">
        <v>8204.49</v>
      </c>
      <c r="Z37" s="92">
        <f t="shared" si="0"/>
        <v>-196157.91999999998</v>
      </c>
    </row>
    <row r="38" spans="1:26" x14ac:dyDescent="0.2">
      <c r="A38" s="89" t="s">
        <v>1064</v>
      </c>
      <c r="B38" s="89" t="s">
        <v>1065</v>
      </c>
      <c r="C38" s="89">
        <v>901</v>
      </c>
      <c r="D38" s="89" t="s">
        <v>621</v>
      </c>
      <c r="E38" s="67" t="s">
        <v>56</v>
      </c>
      <c r="F38" s="89" t="s">
        <v>57</v>
      </c>
      <c r="G38" s="121">
        <v>45219</v>
      </c>
      <c r="H38" s="121"/>
      <c r="I38" s="91">
        <v>562900</v>
      </c>
      <c r="J38" s="91">
        <v>0</v>
      </c>
      <c r="K38" s="91">
        <v>0</v>
      </c>
      <c r="L38" s="91">
        <v>61185.32</v>
      </c>
      <c r="M38" s="91">
        <v>0</v>
      </c>
      <c r="N38" s="91">
        <v>0</v>
      </c>
      <c r="O38" s="91">
        <v>61185.32</v>
      </c>
      <c r="P38" s="91">
        <v>2693.35</v>
      </c>
      <c r="Q38" s="91">
        <v>0</v>
      </c>
      <c r="R38" s="91">
        <v>0</v>
      </c>
      <c r="S38" s="91">
        <v>4473.97</v>
      </c>
      <c r="T38" s="91">
        <v>12389.94</v>
      </c>
      <c r="U38" s="91">
        <v>19557.260000000002</v>
      </c>
      <c r="V38" s="91">
        <v>41628.06</v>
      </c>
      <c r="W38" s="91">
        <v>0</v>
      </c>
      <c r="X38" s="91">
        <v>0</v>
      </c>
      <c r="Y38" s="119">
        <v>0</v>
      </c>
      <c r="Z38" s="92">
        <f t="shared" si="0"/>
        <v>41628.06</v>
      </c>
    </row>
    <row r="39" spans="1:26" x14ac:dyDescent="0.2">
      <c r="A39" s="89" t="s">
        <v>1081</v>
      </c>
      <c r="B39" s="89" t="s">
        <v>1082</v>
      </c>
      <c r="C39" s="89">
        <v>901</v>
      </c>
      <c r="D39" s="89" t="s">
        <v>621</v>
      </c>
      <c r="E39" s="67" t="s">
        <v>56</v>
      </c>
      <c r="F39" s="89" t="s">
        <v>57</v>
      </c>
      <c r="G39" s="121">
        <v>45183</v>
      </c>
      <c r="H39" s="121"/>
      <c r="I39" s="91">
        <v>458500</v>
      </c>
      <c r="J39" s="91">
        <v>0</v>
      </c>
      <c r="K39" s="91">
        <v>0</v>
      </c>
      <c r="L39" s="91">
        <v>0</v>
      </c>
      <c r="M39" s="91">
        <v>0</v>
      </c>
      <c r="N39" s="91">
        <v>0</v>
      </c>
      <c r="O39" s="91">
        <v>0</v>
      </c>
      <c r="P39" s="91">
        <v>0</v>
      </c>
      <c r="Q39" s="91">
        <v>0</v>
      </c>
      <c r="R39" s="91">
        <v>0</v>
      </c>
      <c r="S39" s="91">
        <v>0</v>
      </c>
      <c r="T39" s="91">
        <v>0</v>
      </c>
      <c r="U39" s="91">
        <v>0</v>
      </c>
      <c r="V39" s="91">
        <v>0</v>
      </c>
      <c r="W39" s="91">
        <v>0</v>
      </c>
      <c r="X39" s="91">
        <v>0</v>
      </c>
      <c r="Y39" s="119">
        <v>0</v>
      </c>
      <c r="Z39" s="92">
        <f t="shared" si="0"/>
        <v>0</v>
      </c>
    </row>
    <row r="40" spans="1:26" x14ac:dyDescent="0.2">
      <c r="A40" s="89" t="s">
        <v>1126</v>
      </c>
      <c r="B40" s="89" t="s">
        <v>1127</v>
      </c>
      <c r="C40" s="89">
        <v>901</v>
      </c>
      <c r="D40" s="89" t="s">
        <v>621</v>
      </c>
      <c r="E40" s="67" t="s">
        <v>62</v>
      </c>
      <c r="F40" s="89" t="s">
        <v>63</v>
      </c>
      <c r="G40" s="121">
        <v>45257</v>
      </c>
      <c r="H40" s="121"/>
      <c r="I40" s="91">
        <v>2673000</v>
      </c>
      <c r="J40" s="91">
        <v>0</v>
      </c>
      <c r="K40" s="91">
        <v>0</v>
      </c>
      <c r="L40" s="91">
        <v>10124.76</v>
      </c>
      <c r="M40" s="91">
        <v>0</v>
      </c>
      <c r="N40" s="91">
        <v>0</v>
      </c>
      <c r="O40" s="91">
        <v>10124.76</v>
      </c>
      <c r="P40" s="91">
        <v>47808.820000000007</v>
      </c>
      <c r="Q40" s="91">
        <v>0</v>
      </c>
      <c r="R40" s="91">
        <v>0</v>
      </c>
      <c r="S40" s="91">
        <v>90569.79</v>
      </c>
      <c r="T40" s="91">
        <v>-4197.6899999999987</v>
      </c>
      <c r="U40" s="91">
        <v>134180.91999999998</v>
      </c>
      <c r="V40" s="91">
        <v>-124056.16</v>
      </c>
      <c r="W40" s="91">
        <v>12213.36</v>
      </c>
      <c r="X40" s="91">
        <v>60466.75</v>
      </c>
      <c r="Y40" s="119">
        <v>72680.11</v>
      </c>
      <c r="Z40" s="92">
        <f t="shared" si="0"/>
        <v>-196736.27000000002</v>
      </c>
    </row>
    <row r="41" spans="1:26" x14ac:dyDescent="0.2">
      <c r="A41" s="89" t="s">
        <v>1204</v>
      </c>
      <c r="B41" s="89" t="s">
        <v>1205</v>
      </c>
      <c r="C41" s="89">
        <v>901</v>
      </c>
      <c r="D41" s="89" t="s">
        <v>621</v>
      </c>
      <c r="E41" s="67" t="s">
        <v>62</v>
      </c>
      <c r="F41" s="89" t="s">
        <v>63</v>
      </c>
      <c r="G41" s="121">
        <v>45271</v>
      </c>
      <c r="H41" s="121"/>
      <c r="I41" s="91">
        <v>989000</v>
      </c>
      <c r="J41" s="91">
        <v>0</v>
      </c>
      <c r="K41" s="91">
        <v>0</v>
      </c>
      <c r="L41" s="91">
        <v>50354.720000000001</v>
      </c>
      <c r="M41" s="91">
        <v>0</v>
      </c>
      <c r="N41" s="91">
        <v>0</v>
      </c>
      <c r="O41" s="91">
        <v>50354.720000000001</v>
      </c>
      <c r="P41" s="91">
        <v>402478.44</v>
      </c>
      <c r="Q41" s="91">
        <v>0</v>
      </c>
      <c r="R41" s="91">
        <v>125.72</v>
      </c>
      <c r="S41" s="91">
        <v>859.18</v>
      </c>
      <c r="T41" s="91">
        <v>3663.6099999999997</v>
      </c>
      <c r="U41" s="91">
        <v>407126.94999999995</v>
      </c>
      <c r="V41" s="91">
        <v>-356772.23</v>
      </c>
      <c r="W41" s="91">
        <v>0</v>
      </c>
      <c r="X41" s="91">
        <v>0</v>
      </c>
      <c r="Y41" s="119">
        <v>0</v>
      </c>
      <c r="Z41" s="92">
        <f t="shared" si="0"/>
        <v>-356772.23</v>
      </c>
    </row>
    <row r="42" spans="1:26" x14ac:dyDescent="0.2">
      <c r="A42" s="89" t="s">
        <v>1282</v>
      </c>
      <c r="B42" s="89" t="s">
        <v>1283</v>
      </c>
      <c r="C42" s="89">
        <v>901</v>
      </c>
      <c r="D42" s="89" t="s">
        <v>621</v>
      </c>
      <c r="E42" s="67" t="s">
        <v>62</v>
      </c>
      <c r="F42" s="89" t="s">
        <v>63</v>
      </c>
      <c r="G42" s="121">
        <v>45304</v>
      </c>
      <c r="H42" s="121"/>
      <c r="I42" s="91">
        <v>640000</v>
      </c>
      <c r="J42" s="91">
        <v>0</v>
      </c>
      <c r="K42" s="91">
        <v>0</v>
      </c>
      <c r="L42" s="91">
        <v>9570.2999999999993</v>
      </c>
      <c r="M42" s="91">
        <v>0</v>
      </c>
      <c r="N42" s="91">
        <v>0</v>
      </c>
      <c r="O42" s="91">
        <v>9570.2999999999993</v>
      </c>
      <c r="P42" s="91">
        <v>0</v>
      </c>
      <c r="Q42" s="91">
        <v>0</v>
      </c>
      <c r="R42" s="91">
        <v>0</v>
      </c>
      <c r="S42" s="91">
        <v>0</v>
      </c>
      <c r="T42" s="91">
        <v>2056.58</v>
      </c>
      <c r="U42" s="91">
        <v>2056.58</v>
      </c>
      <c r="V42" s="91">
        <v>7513.7199999999993</v>
      </c>
      <c r="W42" s="91">
        <v>0</v>
      </c>
      <c r="X42" s="91">
        <v>0</v>
      </c>
      <c r="Y42" s="119">
        <v>0</v>
      </c>
      <c r="Z42" s="92">
        <f t="shared" si="0"/>
        <v>7513.7199999999993</v>
      </c>
    </row>
    <row r="43" spans="1:26" x14ac:dyDescent="0.2">
      <c r="A43" s="89" t="s">
        <v>1278</v>
      </c>
      <c r="B43" s="89" t="s">
        <v>1279</v>
      </c>
      <c r="C43" s="89">
        <v>901</v>
      </c>
      <c r="D43" s="89" t="s">
        <v>621</v>
      </c>
      <c r="E43" s="67" t="s">
        <v>62</v>
      </c>
      <c r="F43" s="89" t="s">
        <v>63</v>
      </c>
      <c r="G43" s="121">
        <v>45304</v>
      </c>
      <c r="H43" s="121"/>
      <c r="I43" s="91">
        <v>7788000</v>
      </c>
      <c r="J43" s="91">
        <v>0</v>
      </c>
      <c r="K43" s="91">
        <v>0</v>
      </c>
      <c r="L43" s="91">
        <v>0</v>
      </c>
      <c r="M43" s="91">
        <v>0</v>
      </c>
      <c r="N43" s="91">
        <v>0</v>
      </c>
      <c r="O43" s="91">
        <v>0</v>
      </c>
      <c r="P43" s="91">
        <v>170682.99</v>
      </c>
      <c r="Q43" s="91">
        <v>0</v>
      </c>
      <c r="R43" s="91">
        <v>203125</v>
      </c>
      <c r="S43" s="91">
        <v>184500.17</v>
      </c>
      <c r="T43" s="91">
        <v>35266.129999999997</v>
      </c>
      <c r="U43" s="91">
        <v>593574.29</v>
      </c>
      <c r="V43" s="91">
        <v>-593574.29</v>
      </c>
      <c r="W43" s="91">
        <v>20884.189999999999</v>
      </c>
      <c r="X43" s="91">
        <v>0</v>
      </c>
      <c r="Y43" s="119">
        <v>20884.189999999999</v>
      </c>
      <c r="Z43" s="92">
        <f t="shared" si="0"/>
        <v>-614458.48</v>
      </c>
    </row>
    <row r="44" spans="1:26" x14ac:dyDescent="0.2">
      <c r="A44" s="89" t="s">
        <v>146</v>
      </c>
      <c r="B44" s="89" t="s">
        <v>147</v>
      </c>
      <c r="C44" s="89">
        <v>901</v>
      </c>
      <c r="D44" s="89" t="s">
        <v>621</v>
      </c>
      <c r="E44" s="67" t="s">
        <v>56</v>
      </c>
      <c r="F44" s="89" t="s">
        <v>57</v>
      </c>
      <c r="G44" s="121">
        <v>44670</v>
      </c>
      <c r="H44" s="121">
        <v>45009</v>
      </c>
      <c r="I44" s="91">
        <v>4467880</v>
      </c>
      <c r="J44" s="91">
        <v>0</v>
      </c>
      <c r="K44" s="91">
        <v>0</v>
      </c>
      <c r="L44" s="91">
        <v>0</v>
      </c>
      <c r="M44" s="91">
        <v>0</v>
      </c>
      <c r="N44" s="91">
        <v>0</v>
      </c>
      <c r="O44" s="91">
        <v>0</v>
      </c>
      <c r="P44" s="91">
        <v>19433.149999999998</v>
      </c>
      <c r="Q44" s="91">
        <v>0</v>
      </c>
      <c r="R44" s="91">
        <v>0</v>
      </c>
      <c r="S44" s="91">
        <v>0</v>
      </c>
      <c r="T44" s="91">
        <v>355.09999999999997</v>
      </c>
      <c r="U44" s="91">
        <v>19788.249999999996</v>
      </c>
      <c r="V44" s="91">
        <v>-19788.249999999996</v>
      </c>
      <c r="W44" s="91">
        <v>0</v>
      </c>
      <c r="X44" s="91">
        <v>6417.38</v>
      </c>
      <c r="Y44" s="119">
        <v>6417.38</v>
      </c>
      <c r="Z44" s="92">
        <f t="shared" si="0"/>
        <v>-26205.629999999997</v>
      </c>
    </row>
    <row r="45" spans="1:26" x14ac:dyDescent="0.2">
      <c r="A45" s="89" t="s">
        <v>1270</v>
      </c>
      <c r="B45" s="89" t="s">
        <v>1271</v>
      </c>
      <c r="C45" s="89">
        <v>901</v>
      </c>
      <c r="D45" s="89" t="s">
        <v>621</v>
      </c>
      <c r="E45" s="67" t="s">
        <v>56</v>
      </c>
      <c r="F45" s="89" t="s">
        <v>57</v>
      </c>
      <c r="G45" s="121">
        <v>44226</v>
      </c>
      <c r="H45" s="121">
        <v>44364</v>
      </c>
      <c r="I45" s="91">
        <v>0</v>
      </c>
      <c r="J45" s="91">
        <v>38185.79</v>
      </c>
      <c r="K45" s="91">
        <v>0</v>
      </c>
      <c r="L45" s="91">
        <v>0</v>
      </c>
      <c r="M45" s="91">
        <v>0</v>
      </c>
      <c r="N45" s="91">
        <v>0</v>
      </c>
      <c r="O45" s="91">
        <v>38185.79</v>
      </c>
      <c r="P45" s="91">
        <v>0</v>
      </c>
      <c r="Q45" s="91">
        <v>0</v>
      </c>
      <c r="R45" s="91">
        <v>4079.78</v>
      </c>
      <c r="S45" s="91">
        <v>0</v>
      </c>
      <c r="T45" s="91">
        <v>0</v>
      </c>
      <c r="U45" s="91">
        <v>4079.78</v>
      </c>
      <c r="V45" s="91">
        <v>34106.01</v>
      </c>
      <c r="W45" s="91">
        <v>0</v>
      </c>
      <c r="X45" s="91">
        <v>0</v>
      </c>
      <c r="Y45" s="119">
        <v>0</v>
      </c>
      <c r="Z45" s="92">
        <f t="shared" si="0"/>
        <v>34106.01</v>
      </c>
    </row>
    <row r="46" spans="1:26" x14ac:dyDescent="0.2">
      <c r="A46" s="89" t="s">
        <v>1044</v>
      </c>
      <c r="B46" s="89" t="s">
        <v>1045</v>
      </c>
      <c r="C46" s="89">
        <v>901</v>
      </c>
      <c r="D46" s="89" t="s">
        <v>621</v>
      </c>
      <c r="E46" s="67" t="s">
        <v>56</v>
      </c>
      <c r="F46" s="89" t="s">
        <v>57</v>
      </c>
      <c r="G46" s="121">
        <v>45226</v>
      </c>
      <c r="H46" s="121"/>
      <c r="I46" s="91">
        <v>267800</v>
      </c>
      <c r="J46" s="91">
        <v>0</v>
      </c>
      <c r="K46" s="91">
        <v>0</v>
      </c>
      <c r="L46" s="91">
        <v>0</v>
      </c>
      <c r="M46" s="91">
        <v>0</v>
      </c>
      <c r="N46" s="91">
        <v>0</v>
      </c>
      <c r="O46" s="91">
        <v>0</v>
      </c>
      <c r="P46" s="91">
        <v>429.59</v>
      </c>
      <c r="Q46" s="91">
        <v>0</v>
      </c>
      <c r="R46" s="91">
        <v>0</v>
      </c>
      <c r="S46" s="91">
        <v>3054.87</v>
      </c>
      <c r="T46" s="91">
        <v>27287.959999999995</v>
      </c>
      <c r="U46" s="91">
        <v>30772.42</v>
      </c>
      <c r="V46" s="91">
        <v>-30772.42</v>
      </c>
      <c r="W46" s="91">
        <v>0</v>
      </c>
      <c r="X46" s="91">
        <v>818.63</v>
      </c>
      <c r="Y46" s="119">
        <v>818.63</v>
      </c>
      <c r="Z46" s="92">
        <f t="shared" si="0"/>
        <v>-31591.05</v>
      </c>
    </row>
    <row r="47" spans="1:26" x14ac:dyDescent="0.2">
      <c r="A47" s="89" t="s">
        <v>1280</v>
      </c>
      <c r="B47" s="89" t="s">
        <v>1281</v>
      </c>
      <c r="C47" s="89">
        <v>901</v>
      </c>
      <c r="D47" s="89" t="s">
        <v>621</v>
      </c>
      <c r="E47" s="67" t="s">
        <v>62</v>
      </c>
      <c r="F47" s="89" t="s">
        <v>63</v>
      </c>
      <c r="G47" s="121">
        <v>45304</v>
      </c>
      <c r="H47" s="121"/>
      <c r="I47" s="91">
        <v>8698190</v>
      </c>
      <c r="J47" s="91">
        <v>0</v>
      </c>
      <c r="K47" s="91">
        <v>0</v>
      </c>
      <c r="L47" s="91">
        <v>11628.85</v>
      </c>
      <c r="M47" s="91">
        <v>0</v>
      </c>
      <c r="N47" s="91">
        <v>0</v>
      </c>
      <c r="O47" s="91">
        <v>11628.85</v>
      </c>
      <c r="P47" s="91">
        <v>18452.48</v>
      </c>
      <c r="Q47" s="91">
        <v>0</v>
      </c>
      <c r="R47" s="91">
        <v>0</v>
      </c>
      <c r="S47" s="91">
        <v>45133.69</v>
      </c>
      <c r="T47" s="91">
        <v>16331.070000000002</v>
      </c>
      <c r="U47" s="91">
        <v>79917.239999999991</v>
      </c>
      <c r="V47" s="91">
        <v>-68288.39</v>
      </c>
      <c r="W47" s="91">
        <v>0</v>
      </c>
      <c r="X47" s="91">
        <v>1562.28</v>
      </c>
      <c r="Y47" s="119">
        <v>1562.28</v>
      </c>
      <c r="Z47" s="92">
        <f t="shared" si="0"/>
        <v>-69850.67</v>
      </c>
    </row>
    <row r="48" spans="1:26" x14ac:dyDescent="0.2">
      <c r="A48" s="89" t="s">
        <v>1343</v>
      </c>
      <c r="B48" s="89" t="s">
        <v>1344</v>
      </c>
      <c r="C48" s="89">
        <v>901</v>
      </c>
      <c r="D48" s="89" t="s">
        <v>621</v>
      </c>
      <c r="E48" s="67" t="s">
        <v>1345</v>
      </c>
      <c r="F48" s="89" t="s">
        <v>1346</v>
      </c>
      <c r="G48" s="121">
        <v>45362</v>
      </c>
      <c r="H48" s="121"/>
      <c r="I48" s="91">
        <v>1025000</v>
      </c>
      <c r="J48" s="91">
        <v>0</v>
      </c>
      <c r="K48" s="91">
        <v>0</v>
      </c>
      <c r="L48" s="91">
        <v>0</v>
      </c>
      <c r="M48" s="91">
        <v>0</v>
      </c>
      <c r="N48" s="91">
        <v>0</v>
      </c>
      <c r="O48" s="91">
        <v>0</v>
      </c>
      <c r="P48" s="91">
        <v>0</v>
      </c>
      <c r="Q48" s="91">
        <v>0</v>
      </c>
      <c r="R48" s="91">
        <v>0</v>
      </c>
      <c r="S48" s="91">
        <v>0</v>
      </c>
      <c r="T48" s="91">
        <v>15232.68</v>
      </c>
      <c r="U48" s="91">
        <v>15232.68</v>
      </c>
      <c r="V48" s="91">
        <v>-15232.68</v>
      </c>
      <c r="W48" s="91">
        <v>0</v>
      </c>
      <c r="X48" s="91">
        <v>0</v>
      </c>
      <c r="Y48" s="119">
        <v>0</v>
      </c>
      <c r="Z48" s="92">
        <f t="shared" si="0"/>
        <v>-15232.68</v>
      </c>
    </row>
    <row r="49" spans="1:26" x14ac:dyDescent="0.2">
      <c r="A49" s="89" t="s">
        <v>1353</v>
      </c>
      <c r="B49" s="89" t="s">
        <v>1354</v>
      </c>
      <c r="C49" s="89">
        <v>901</v>
      </c>
      <c r="D49" s="89" t="s">
        <v>621</v>
      </c>
      <c r="E49" s="67" t="s">
        <v>62</v>
      </c>
      <c r="F49" s="89" t="s">
        <v>63</v>
      </c>
      <c r="G49" s="121">
        <v>45323</v>
      </c>
      <c r="H49" s="121"/>
      <c r="I49" s="91">
        <v>1055900</v>
      </c>
      <c r="J49" s="91">
        <v>0</v>
      </c>
      <c r="K49" s="91">
        <v>0</v>
      </c>
      <c r="L49" s="91">
        <v>0</v>
      </c>
      <c r="M49" s="91">
        <v>0</v>
      </c>
      <c r="N49" s="91">
        <v>0</v>
      </c>
      <c r="O49" s="91">
        <v>0</v>
      </c>
      <c r="P49" s="91">
        <v>0</v>
      </c>
      <c r="Q49" s="91">
        <v>0</v>
      </c>
      <c r="R49" s="91">
        <v>0</v>
      </c>
      <c r="S49" s="91">
        <v>2673.01</v>
      </c>
      <c r="T49" s="91">
        <v>76203.659999999989</v>
      </c>
      <c r="U49" s="91">
        <v>78876.67</v>
      </c>
      <c r="V49" s="91">
        <v>-78876.67</v>
      </c>
      <c r="W49" s="91">
        <v>0</v>
      </c>
      <c r="X49" s="91">
        <v>0</v>
      </c>
      <c r="Y49" s="119">
        <v>0</v>
      </c>
      <c r="Z49" s="92">
        <f t="shared" si="0"/>
        <v>-78876.67</v>
      </c>
    </row>
    <row r="50" spans="1:26" x14ac:dyDescent="0.2">
      <c r="A50" s="89" t="s">
        <v>1392</v>
      </c>
      <c r="B50" s="89" t="s">
        <v>1393</v>
      </c>
      <c r="C50" s="89">
        <v>901</v>
      </c>
      <c r="D50" s="89" t="s">
        <v>621</v>
      </c>
      <c r="E50" s="67" t="s">
        <v>62</v>
      </c>
      <c r="F50" s="89" t="s">
        <v>63</v>
      </c>
      <c r="G50" s="121">
        <v>45393</v>
      </c>
      <c r="H50" s="121"/>
      <c r="I50" s="91">
        <v>388200</v>
      </c>
      <c r="J50" s="91">
        <v>0</v>
      </c>
      <c r="K50" s="91">
        <v>0</v>
      </c>
      <c r="L50" s="91">
        <v>2371.81</v>
      </c>
      <c r="M50" s="91">
        <v>0</v>
      </c>
      <c r="N50" s="91">
        <v>0</v>
      </c>
      <c r="O50" s="91">
        <v>2371.81</v>
      </c>
      <c r="P50" s="91">
        <v>0</v>
      </c>
      <c r="Q50" s="91">
        <v>0</v>
      </c>
      <c r="R50" s="91">
        <v>0</v>
      </c>
      <c r="S50" s="91">
        <v>0</v>
      </c>
      <c r="T50" s="91">
        <v>12596.7</v>
      </c>
      <c r="U50" s="91">
        <v>12596.7</v>
      </c>
      <c r="V50" s="91">
        <v>-10224.89</v>
      </c>
      <c r="W50" s="91">
        <v>0</v>
      </c>
      <c r="X50" s="91">
        <v>0</v>
      </c>
      <c r="Y50" s="119">
        <v>0</v>
      </c>
      <c r="Z50" s="92">
        <f t="shared" si="0"/>
        <v>-10224.89</v>
      </c>
    </row>
    <row r="51" spans="1:26" x14ac:dyDescent="0.2">
      <c r="A51" s="89" t="s">
        <v>980</v>
      </c>
      <c r="B51" s="89" t="s">
        <v>981</v>
      </c>
      <c r="C51" s="89">
        <v>901</v>
      </c>
      <c r="D51" s="89" t="s">
        <v>621</v>
      </c>
      <c r="E51" s="67" t="s">
        <v>56</v>
      </c>
      <c r="F51" s="89" t="s">
        <v>57</v>
      </c>
      <c r="G51" s="121">
        <v>45133</v>
      </c>
      <c r="H51" s="121"/>
      <c r="I51" s="91">
        <v>648900</v>
      </c>
      <c r="J51" s="91">
        <v>0</v>
      </c>
      <c r="K51" s="91">
        <v>0</v>
      </c>
      <c r="L51" s="91">
        <v>0</v>
      </c>
      <c r="M51" s="91">
        <v>0</v>
      </c>
      <c r="N51" s="91">
        <v>0</v>
      </c>
      <c r="O51" s="91">
        <v>0</v>
      </c>
      <c r="P51" s="91">
        <v>0</v>
      </c>
      <c r="Q51" s="91">
        <v>0</v>
      </c>
      <c r="R51" s="91">
        <v>318030.03999999998</v>
      </c>
      <c r="S51" s="91">
        <v>0</v>
      </c>
      <c r="T51" s="91">
        <v>0</v>
      </c>
      <c r="U51" s="91">
        <v>318030.03999999998</v>
      </c>
      <c r="V51" s="91">
        <v>-318030.03999999998</v>
      </c>
      <c r="W51" s="91">
        <v>0</v>
      </c>
      <c r="X51" s="91">
        <v>0</v>
      </c>
      <c r="Y51" s="119">
        <v>0</v>
      </c>
      <c r="Z51" s="92">
        <f t="shared" si="0"/>
        <v>-318030.03999999998</v>
      </c>
    </row>
    <row r="52" spans="1:26" x14ac:dyDescent="0.2">
      <c r="A52" s="89" t="s">
        <v>1427</v>
      </c>
      <c r="B52" s="89" t="s">
        <v>1428</v>
      </c>
      <c r="C52" s="89">
        <v>901</v>
      </c>
      <c r="D52" s="89" t="s">
        <v>621</v>
      </c>
      <c r="E52" s="67" t="s">
        <v>62</v>
      </c>
      <c r="F52" s="89" t="s">
        <v>63</v>
      </c>
      <c r="G52" s="121">
        <v>45304</v>
      </c>
      <c r="H52" s="121"/>
      <c r="I52" s="91">
        <v>750000</v>
      </c>
      <c r="J52" s="91">
        <v>0</v>
      </c>
      <c r="K52" s="91">
        <v>0</v>
      </c>
      <c r="L52" s="91">
        <v>0</v>
      </c>
      <c r="M52" s="91">
        <v>0</v>
      </c>
      <c r="N52" s="91">
        <v>0</v>
      </c>
      <c r="O52" s="91">
        <v>0</v>
      </c>
      <c r="P52" s="91">
        <v>0</v>
      </c>
      <c r="Q52" s="91">
        <v>0</v>
      </c>
      <c r="R52" s="91">
        <v>0</v>
      </c>
      <c r="S52" s="91">
        <v>0</v>
      </c>
      <c r="T52" s="91">
        <v>0</v>
      </c>
      <c r="U52" s="91">
        <v>0</v>
      </c>
      <c r="V52" s="91">
        <v>0</v>
      </c>
      <c r="W52" s="91">
        <v>0</v>
      </c>
      <c r="X52" s="91">
        <v>1635.7</v>
      </c>
      <c r="Y52" s="119">
        <v>1635.7</v>
      </c>
      <c r="Z52" s="92">
        <f t="shared" si="0"/>
        <v>-1635.7</v>
      </c>
    </row>
    <row r="53" spans="1:26" x14ac:dyDescent="0.2">
      <c r="A53" s="89" t="s">
        <v>1429</v>
      </c>
      <c r="B53" s="89" t="s">
        <v>1430</v>
      </c>
      <c r="C53" s="89">
        <v>901</v>
      </c>
      <c r="D53" s="89" t="s">
        <v>621</v>
      </c>
      <c r="E53" s="67" t="s">
        <v>62</v>
      </c>
      <c r="F53" s="89" t="s">
        <v>63</v>
      </c>
      <c r="G53" s="121">
        <v>45393</v>
      </c>
      <c r="H53" s="121"/>
      <c r="I53" s="91">
        <v>445500</v>
      </c>
      <c r="J53" s="91">
        <v>0</v>
      </c>
      <c r="K53" s="91">
        <v>0</v>
      </c>
      <c r="L53" s="91">
        <v>60883.61</v>
      </c>
      <c r="M53" s="91">
        <v>0</v>
      </c>
      <c r="N53" s="91">
        <v>0</v>
      </c>
      <c r="O53" s="91">
        <v>60883.61</v>
      </c>
      <c r="P53" s="91">
        <v>0</v>
      </c>
      <c r="Q53" s="91">
        <v>0</v>
      </c>
      <c r="R53" s="91">
        <v>0</v>
      </c>
      <c r="S53" s="91">
        <v>0</v>
      </c>
      <c r="T53" s="91">
        <v>1402.49</v>
      </c>
      <c r="U53" s="91">
        <v>1402.49</v>
      </c>
      <c r="V53" s="91">
        <v>59481.120000000003</v>
      </c>
      <c r="W53" s="91">
        <v>0</v>
      </c>
      <c r="X53" s="91">
        <v>0</v>
      </c>
      <c r="Y53" s="119">
        <v>0</v>
      </c>
      <c r="Z53" s="92">
        <f t="shared" si="0"/>
        <v>59481.120000000003</v>
      </c>
    </row>
    <row r="54" spans="1:26" x14ac:dyDescent="0.2">
      <c r="A54" s="89" t="s">
        <v>1435</v>
      </c>
      <c r="B54" s="89" t="s">
        <v>1457</v>
      </c>
      <c r="C54" s="89">
        <v>901</v>
      </c>
      <c r="D54" s="89" t="s">
        <v>621</v>
      </c>
      <c r="E54" s="67" t="s">
        <v>923</v>
      </c>
      <c r="F54" s="89" t="s">
        <v>924</v>
      </c>
      <c r="G54" s="121">
        <v>45408</v>
      </c>
      <c r="H54" s="121"/>
      <c r="I54" s="91">
        <v>176000</v>
      </c>
      <c r="J54" s="91">
        <v>0</v>
      </c>
      <c r="K54" s="91">
        <v>0</v>
      </c>
      <c r="L54" s="91">
        <v>0</v>
      </c>
      <c r="M54" s="91">
        <v>0</v>
      </c>
      <c r="N54" s="91">
        <v>0</v>
      </c>
      <c r="O54" s="91">
        <v>0</v>
      </c>
      <c r="P54" s="91">
        <v>2097.9499999999998</v>
      </c>
      <c r="Q54" s="91">
        <v>0</v>
      </c>
      <c r="R54" s="91">
        <v>0</v>
      </c>
      <c r="S54" s="91">
        <v>0</v>
      </c>
      <c r="T54" s="91">
        <v>0</v>
      </c>
      <c r="U54" s="91">
        <v>2097.9499999999998</v>
      </c>
      <c r="V54" s="91">
        <v>-2097.9499999999998</v>
      </c>
      <c r="W54" s="91">
        <v>0</v>
      </c>
      <c r="X54" s="91">
        <v>0</v>
      </c>
      <c r="Y54" s="119">
        <v>0</v>
      </c>
      <c r="Z54" s="92">
        <f t="shared" si="0"/>
        <v>-2097.9499999999998</v>
      </c>
    </row>
    <row r="55" spans="1:26" s="100" customFormat="1" x14ac:dyDescent="0.2">
      <c r="A55" s="93" t="s">
        <v>613</v>
      </c>
      <c r="B55" s="93"/>
      <c r="C55" s="93"/>
      <c r="D55" s="93"/>
      <c r="E55" s="94"/>
      <c r="F55" s="93"/>
      <c r="G55" s="94"/>
      <c r="H55" s="94"/>
      <c r="I55" s="93">
        <f t="shared" ref="I55:Z55" si="1">SUM(I4:I54)</f>
        <v>289888370</v>
      </c>
      <c r="J55" s="95">
        <f t="shared" si="1"/>
        <v>6939136.5700000003</v>
      </c>
      <c r="K55" s="95">
        <f t="shared" si="1"/>
        <v>0</v>
      </c>
      <c r="L55" s="95">
        <f t="shared" si="1"/>
        <v>1880467.2573289764</v>
      </c>
      <c r="M55" s="95">
        <f t="shared" si="1"/>
        <v>0</v>
      </c>
      <c r="N55" s="95">
        <f t="shared" si="1"/>
        <v>0</v>
      </c>
      <c r="O55" s="96">
        <f t="shared" si="1"/>
        <v>8819603.8273289762</v>
      </c>
      <c r="P55" s="95">
        <f t="shared" si="1"/>
        <v>31868361.73</v>
      </c>
      <c r="Q55" s="95">
        <f t="shared" si="1"/>
        <v>85766.64</v>
      </c>
      <c r="R55" s="95">
        <f t="shared" si="1"/>
        <v>3466640.5099999984</v>
      </c>
      <c r="S55" s="97">
        <f t="shared" si="1"/>
        <v>835966.21</v>
      </c>
      <c r="T55" s="97">
        <f t="shared" si="1"/>
        <v>795280.28000000026</v>
      </c>
      <c r="U55" s="98">
        <f t="shared" si="1"/>
        <v>37052015.37000002</v>
      </c>
      <c r="V55" s="99">
        <f t="shared" si="1"/>
        <v>-28232411.542671021</v>
      </c>
      <c r="W55" s="95">
        <f t="shared" si="1"/>
        <v>144785.96900000001</v>
      </c>
      <c r="X55" s="95">
        <f t="shared" si="1"/>
        <v>210028.45</v>
      </c>
      <c r="Y55" s="120">
        <f t="shared" si="1"/>
        <v>354814.41899999999</v>
      </c>
      <c r="Z55" s="122">
        <f t="shared" si="1"/>
        <v>-28587225.961671021</v>
      </c>
    </row>
  </sheetData>
  <autoFilter ref="A3:Y55" xr:uid="{00000000-0009-0000-0000-000006000000}"/>
  <phoneticPr fontId="3" type="noConversion"/>
  <conditionalFormatting sqref="A1">
    <cfRule type="duplicateValues" dxfId="51" priority="4"/>
  </conditionalFormatting>
  <conditionalFormatting sqref="A3">
    <cfRule type="duplicateValues" dxfId="50" priority="3"/>
  </conditionalFormatting>
  <conditionalFormatting sqref="A44:A54">
    <cfRule type="duplicateValues" dxfId="49" priority="54"/>
  </conditionalFormatting>
  <conditionalFormatting sqref="A55">
    <cfRule type="duplicateValues" dxfId="48" priority="2"/>
  </conditionalFormatting>
  <conditionalFormatting sqref="A172">
    <cfRule type="duplicateValues" dxfId="47" priority="6"/>
  </conditionalFormatting>
  <conditionalFormatting sqref="A173:A1048576 A2 A4:A43 A56:A171">
    <cfRule type="duplicateValues" dxfId="46" priority="7"/>
  </conditionalFormatting>
  <pageMargins left="0.7" right="0.7" top="0.75" bottom="0.75" header="0.3" footer="0.3"/>
  <pageSetup paperSize="9" orientation="portrait"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00B0F0"/>
  </sheetPr>
  <dimension ref="A1:Z91"/>
  <sheetViews>
    <sheetView workbookViewId="0">
      <pane xSplit="6" ySplit="4" topLeftCell="G72" activePane="bottomRight" state="frozen"/>
      <selection activeCell="F56" sqref="E56:F57"/>
      <selection pane="topRight" activeCell="F56" sqref="E56:F57"/>
      <selection pane="bottomLeft" activeCell="F56" sqref="E56:F57"/>
      <selection pane="bottomRight" activeCell="U95" sqref="U95"/>
    </sheetView>
  </sheetViews>
  <sheetFormatPr defaultRowHeight="12.75" outlineLevelCol="1" x14ac:dyDescent="0.2"/>
  <cols>
    <col min="1" max="1" width="10.140625" style="72" customWidth="1"/>
    <col min="2" max="2" width="8" style="72" bestFit="1" customWidth="1"/>
    <col min="3" max="3" width="9" style="72" bestFit="1" customWidth="1"/>
    <col min="4" max="4" width="12.5703125" style="72" customWidth="1"/>
    <col min="5" max="5" width="6" style="80" bestFit="1" customWidth="1"/>
    <col min="6" max="6" width="8.140625" style="72" customWidth="1"/>
    <col min="7" max="7" width="13" style="72" bestFit="1" customWidth="1"/>
    <col min="8" max="8" width="11.7109375" style="72" customWidth="1"/>
    <col min="9" max="9" width="12.85546875" style="72" customWidth="1"/>
    <col min="10" max="14" width="11.7109375" style="72" hidden="1" customWidth="1" outlineLevel="1"/>
    <col min="15" max="15" width="11.7109375" style="72" customWidth="1" collapsed="1"/>
    <col min="16" max="20" width="11.7109375" style="72" hidden="1" customWidth="1" outlineLevel="1"/>
    <col min="21" max="21" width="11.7109375" style="72" customWidth="1" collapsed="1"/>
    <col min="22" max="22" width="11.7109375" style="72" customWidth="1"/>
    <col min="23" max="24" width="11.7109375" style="72" hidden="1" customWidth="1" outlineLevel="1"/>
    <col min="25" max="25" width="11.7109375" style="72" customWidth="1" collapsed="1"/>
    <col min="26" max="26" width="12" style="72" customWidth="1"/>
    <col min="27" max="16384" width="9.140625" style="72"/>
  </cols>
  <sheetData>
    <row r="1" spans="1:26" ht="23.25" customHeight="1" x14ac:dyDescent="0.2">
      <c r="A1" s="79" t="s">
        <v>1411</v>
      </c>
    </row>
    <row r="2" spans="1:26" ht="15" customHeight="1" x14ac:dyDescent="0.2">
      <c r="A2" s="81" t="s">
        <v>1139</v>
      </c>
    </row>
    <row r="3" spans="1:26" s="88" customFormat="1" x14ac:dyDescent="0.2">
      <c r="A3" s="82" t="s">
        <v>651</v>
      </c>
      <c r="B3" s="82" t="s">
        <v>577</v>
      </c>
      <c r="C3" s="82" t="s">
        <v>599</v>
      </c>
      <c r="D3" s="82" t="s">
        <v>600</v>
      </c>
      <c r="E3" s="83" t="s">
        <v>578</v>
      </c>
      <c r="F3" s="82" t="s">
        <v>579</v>
      </c>
      <c r="G3" s="82" t="s">
        <v>580</v>
      </c>
      <c r="H3" s="82" t="s">
        <v>581</v>
      </c>
      <c r="I3" s="82" t="s">
        <v>582</v>
      </c>
      <c r="J3" s="84" t="s">
        <v>614</v>
      </c>
      <c r="K3" s="84" t="s">
        <v>654</v>
      </c>
      <c r="L3" s="84" t="s">
        <v>601</v>
      </c>
      <c r="M3" s="84" t="s">
        <v>655</v>
      </c>
      <c r="N3" s="84" t="s">
        <v>656</v>
      </c>
      <c r="O3" s="85" t="s">
        <v>588</v>
      </c>
      <c r="P3" s="84" t="s">
        <v>603</v>
      </c>
      <c r="Q3" s="84" t="s">
        <v>657</v>
      </c>
      <c r="R3" s="84" t="s">
        <v>604</v>
      </c>
      <c r="S3" s="84" t="s">
        <v>673</v>
      </c>
      <c r="T3" s="84" t="s">
        <v>593</v>
      </c>
      <c r="U3" s="85" t="s">
        <v>594</v>
      </c>
      <c r="V3" s="86" t="s">
        <v>595</v>
      </c>
      <c r="W3" s="84" t="s">
        <v>607</v>
      </c>
      <c r="X3" s="84" t="s">
        <v>608</v>
      </c>
      <c r="Y3" s="118" t="s">
        <v>598</v>
      </c>
      <c r="Z3" s="87" t="s">
        <v>1145</v>
      </c>
    </row>
    <row r="4" spans="1:26" x14ac:dyDescent="0.2">
      <c r="A4" s="89" t="s">
        <v>415</v>
      </c>
      <c r="B4" s="89" t="s">
        <v>416</v>
      </c>
      <c r="C4" s="89">
        <v>300</v>
      </c>
      <c r="D4" s="89" t="s">
        <v>658</v>
      </c>
      <c r="E4" s="67">
        <v>360</v>
      </c>
      <c r="F4" s="89" t="s">
        <v>91</v>
      </c>
      <c r="G4" s="90">
        <v>44226</v>
      </c>
      <c r="H4" s="90">
        <v>44237</v>
      </c>
      <c r="I4" s="91">
        <v>0</v>
      </c>
      <c r="J4" s="91">
        <v>0</v>
      </c>
      <c r="K4" s="91">
        <v>0</v>
      </c>
      <c r="L4" s="91">
        <v>0</v>
      </c>
      <c r="M4" s="91">
        <v>0</v>
      </c>
      <c r="N4" s="91">
        <v>0</v>
      </c>
      <c r="O4" s="91">
        <v>0</v>
      </c>
      <c r="P4" s="91">
        <v>0</v>
      </c>
      <c r="Q4" s="91">
        <v>0</v>
      </c>
      <c r="R4" s="91">
        <v>0</v>
      </c>
      <c r="S4" s="91">
        <v>0</v>
      </c>
      <c r="T4" s="91">
        <v>0</v>
      </c>
      <c r="U4" s="91">
        <v>0</v>
      </c>
      <c r="V4" s="91">
        <v>0</v>
      </c>
      <c r="W4" s="91">
        <v>0</v>
      </c>
      <c r="X4" s="91">
        <v>0</v>
      </c>
      <c r="Y4" s="119">
        <v>0</v>
      </c>
      <c r="Z4" s="92">
        <f t="shared" ref="Z4:Z67" si="0">V4-Y4</f>
        <v>0</v>
      </c>
    </row>
    <row r="5" spans="1:26" x14ac:dyDescent="0.2">
      <c r="A5" s="89" t="s">
        <v>772</v>
      </c>
      <c r="B5" s="89" t="s">
        <v>773</v>
      </c>
      <c r="C5" s="89">
        <v>300</v>
      </c>
      <c r="D5" s="89" t="s">
        <v>658</v>
      </c>
      <c r="E5" s="67">
        <v>360</v>
      </c>
      <c r="F5" s="89" t="s">
        <v>91</v>
      </c>
      <c r="G5" s="90">
        <v>44226</v>
      </c>
      <c r="H5" s="90">
        <v>42181</v>
      </c>
      <c r="I5" s="91">
        <v>0</v>
      </c>
      <c r="J5" s="91">
        <v>0</v>
      </c>
      <c r="K5" s="91">
        <v>0</v>
      </c>
      <c r="L5" s="91">
        <v>0</v>
      </c>
      <c r="M5" s="91">
        <v>0</v>
      </c>
      <c r="N5" s="91">
        <v>0</v>
      </c>
      <c r="O5" s="91">
        <v>0</v>
      </c>
      <c r="P5" s="91">
        <v>0</v>
      </c>
      <c r="Q5" s="91">
        <v>0</v>
      </c>
      <c r="R5" s="91">
        <v>3277.54</v>
      </c>
      <c r="S5" s="91">
        <v>0</v>
      </c>
      <c r="T5" s="91">
        <v>0</v>
      </c>
      <c r="U5" s="91">
        <v>3277.54</v>
      </c>
      <c r="V5" s="91">
        <v>-3277.54</v>
      </c>
      <c r="W5" s="91">
        <v>0</v>
      </c>
      <c r="X5" s="91">
        <v>0</v>
      </c>
      <c r="Y5" s="119">
        <v>0</v>
      </c>
      <c r="Z5" s="92">
        <f t="shared" si="0"/>
        <v>-3277.54</v>
      </c>
    </row>
    <row r="6" spans="1:26" x14ac:dyDescent="0.2">
      <c r="A6" s="89" t="s">
        <v>506</v>
      </c>
      <c r="B6" s="89" t="s">
        <v>507</v>
      </c>
      <c r="C6" s="89">
        <v>300</v>
      </c>
      <c r="D6" s="89" t="s">
        <v>658</v>
      </c>
      <c r="E6" s="67">
        <v>360</v>
      </c>
      <c r="F6" s="89" t="s">
        <v>91</v>
      </c>
      <c r="G6" s="90">
        <v>44226</v>
      </c>
      <c r="H6" s="90">
        <v>42373</v>
      </c>
      <c r="I6" s="91">
        <v>0</v>
      </c>
      <c r="J6" s="91">
        <v>0</v>
      </c>
      <c r="K6" s="91">
        <v>0</v>
      </c>
      <c r="L6" s="91">
        <v>0</v>
      </c>
      <c r="M6" s="91">
        <v>0</v>
      </c>
      <c r="N6" s="91">
        <v>0</v>
      </c>
      <c r="O6" s="91">
        <v>0</v>
      </c>
      <c r="P6" s="91">
        <v>0</v>
      </c>
      <c r="Q6" s="91">
        <v>0</v>
      </c>
      <c r="R6" s="91">
        <v>0</v>
      </c>
      <c r="S6" s="91">
        <v>0</v>
      </c>
      <c r="T6" s="91">
        <v>0</v>
      </c>
      <c r="U6" s="91">
        <v>0</v>
      </c>
      <c r="V6" s="91">
        <v>0</v>
      </c>
      <c r="W6" s="91">
        <v>0</v>
      </c>
      <c r="X6" s="91">
        <v>0</v>
      </c>
      <c r="Y6" s="119">
        <v>0</v>
      </c>
      <c r="Z6" s="92">
        <f t="shared" si="0"/>
        <v>0</v>
      </c>
    </row>
    <row r="7" spans="1:26" x14ac:dyDescent="0.2">
      <c r="A7" s="89" t="s">
        <v>100</v>
      </c>
      <c r="B7" s="89" t="s">
        <v>101</v>
      </c>
      <c r="C7" s="89">
        <v>300</v>
      </c>
      <c r="D7" s="89" t="s">
        <v>658</v>
      </c>
      <c r="E7" s="67">
        <v>360</v>
      </c>
      <c r="F7" s="89" t="s">
        <v>91</v>
      </c>
      <c r="G7" s="90">
        <v>44657</v>
      </c>
      <c r="H7" s="90" t="s">
        <v>852</v>
      </c>
      <c r="I7" s="91">
        <v>836000</v>
      </c>
      <c r="J7" s="91">
        <v>0</v>
      </c>
      <c r="K7" s="91">
        <v>0</v>
      </c>
      <c r="L7" s="91">
        <v>0</v>
      </c>
      <c r="M7" s="91">
        <v>0</v>
      </c>
      <c r="N7" s="91">
        <v>0</v>
      </c>
      <c r="O7" s="91">
        <v>0</v>
      </c>
      <c r="P7" s="91">
        <v>0</v>
      </c>
      <c r="Q7" s="91">
        <v>0</v>
      </c>
      <c r="R7" s="91">
        <v>2484.52</v>
      </c>
      <c r="S7" s="91">
        <v>0</v>
      </c>
      <c r="T7" s="91">
        <v>0</v>
      </c>
      <c r="U7" s="91">
        <v>2484.52</v>
      </c>
      <c r="V7" s="91">
        <v>-2484.52</v>
      </c>
      <c r="W7" s="91">
        <v>0</v>
      </c>
      <c r="X7" s="91">
        <v>0</v>
      </c>
      <c r="Y7" s="119">
        <v>0</v>
      </c>
      <c r="Z7" s="92">
        <f t="shared" si="0"/>
        <v>-2484.52</v>
      </c>
    </row>
    <row r="8" spans="1:26" x14ac:dyDescent="0.2">
      <c r="A8" s="89" t="s">
        <v>174</v>
      </c>
      <c r="B8" s="89" t="s">
        <v>175</v>
      </c>
      <c r="C8" s="89">
        <v>300</v>
      </c>
      <c r="D8" s="89" t="s">
        <v>658</v>
      </c>
      <c r="E8" s="67">
        <v>360</v>
      </c>
      <c r="F8" s="89" t="s">
        <v>91</v>
      </c>
      <c r="G8" s="90">
        <v>44722</v>
      </c>
      <c r="H8" s="90" t="s">
        <v>852</v>
      </c>
      <c r="I8" s="91">
        <v>0</v>
      </c>
      <c r="J8" s="91">
        <v>0</v>
      </c>
      <c r="K8" s="91">
        <v>0</v>
      </c>
      <c r="L8" s="91">
        <v>0</v>
      </c>
      <c r="M8" s="91">
        <v>0</v>
      </c>
      <c r="N8" s="91">
        <v>0</v>
      </c>
      <c r="O8" s="91">
        <v>0</v>
      </c>
      <c r="P8" s="91">
        <v>0</v>
      </c>
      <c r="Q8" s="91">
        <v>0</v>
      </c>
      <c r="R8" s="91">
        <v>0</v>
      </c>
      <c r="S8" s="91">
        <v>0</v>
      </c>
      <c r="T8" s="91">
        <v>0</v>
      </c>
      <c r="U8" s="91">
        <v>0</v>
      </c>
      <c r="V8" s="91">
        <v>0</v>
      </c>
      <c r="W8" s="91">
        <v>0</v>
      </c>
      <c r="X8" s="91">
        <v>0</v>
      </c>
      <c r="Y8" s="119">
        <v>0</v>
      </c>
      <c r="Z8" s="92">
        <f t="shared" si="0"/>
        <v>0</v>
      </c>
    </row>
    <row r="9" spans="1:26" x14ac:dyDescent="0.2">
      <c r="A9" s="89" t="s">
        <v>406</v>
      </c>
      <c r="B9" s="89" t="s">
        <v>407</v>
      </c>
      <c r="C9" s="89">
        <v>300</v>
      </c>
      <c r="D9" s="89" t="s">
        <v>658</v>
      </c>
      <c r="E9" s="67">
        <v>391</v>
      </c>
      <c r="F9" s="89" t="s">
        <v>408</v>
      </c>
      <c r="G9" s="90">
        <v>44226</v>
      </c>
      <c r="H9" s="90">
        <v>44301</v>
      </c>
      <c r="I9" s="91">
        <v>0</v>
      </c>
      <c r="J9" s="91">
        <v>0</v>
      </c>
      <c r="K9" s="91">
        <v>0</v>
      </c>
      <c r="L9" s="91">
        <v>0</v>
      </c>
      <c r="M9" s="91">
        <v>0</v>
      </c>
      <c r="N9" s="91">
        <v>0</v>
      </c>
      <c r="O9" s="91">
        <v>0</v>
      </c>
      <c r="P9" s="91">
        <v>0</v>
      </c>
      <c r="Q9" s="91">
        <v>0</v>
      </c>
      <c r="R9" s="91">
        <v>6077.4000000000005</v>
      </c>
      <c r="S9" s="91">
        <v>0</v>
      </c>
      <c r="T9" s="91">
        <v>0</v>
      </c>
      <c r="U9" s="91">
        <v>6077.4000000000005</v>
      </c>
      <c r="V9" s="91">
        <v>-6077.4000000000005</v>
      </c>
      <c r="W9" s="91">
        <v>0</v>
      </c>
      <c r="X9" s="91">
        <v>0</v>
      </c>
      <c r="Y9" s="119">
        <v>0</v>
      </c>
      <c r="Z9" s="92">
        <f t="shared" si="0"/>
        <v>-6077.4000000000005</v>
      </c>
    </row>
    <row r="10" spans="1:26" x14ac:dyDescent="0.2">
      <c r="A10" s="89" t="s">
        <v>404</v>
      </c>
      <c r="B10" s="89" t="s">
        <v>405</v>
      </c>
      <c r="C10" s="89">
        <v>300</v>
      </c>
      <c r="D10" s="89" t="s">
        <v>658</v>
      </c>
      <c r="E10" s="67">
        <v>404</v>
      </c>
      <c r="F10" s="89" t="s">
        <v>237</v>
      </c>
      <c r="G10" s="90">
        <v>44226</v>
      </c>
      <c r="H10" s="90">
        <v>44034</v>
      </c>
      <c r="I10" s="91">
        <v>0</v>
      </c>
      <c r="J10" s="91">
        <v>0</v>
      </c>
      <c r="K10" s="91">
        <v>0</v>
      </c>
      <c r="L10" s="91">
        <v>0</v>
      </c>
      <c r="M10" s="91">
        <v>0</v>
      </c>
      <c r="N10" s="91">
        <v>0</v>
      </c>
      <c r="O10" s="91">
        <v>0</v>
      </c>
      <c r="P10" s="91">
        <v>0</v>
      </c>
      <c r="Q10" s="91">
        <v>0</v>
      </c>
      <c r="R10" s="91">
        <v>1356.55</v>
      </c>
      <c r="S10" s="91">
        <v>0</v>
      </c>
      <c r="T10" s="91">
        <v>0</v>
      </c>
      <c r="U10" s="91">
        <v>1356.55</v>
      </c>
      <c r="V10" s="91">
        <v>-1356.55</v>
      </c>
      <c r="W10" s="91">
        <v>125.67</v>
      </c>
      <c r="X10" s="91">
        <v>0</v>
      </c>
      <c r="Y10" s="119">
        <v>125.67</v>
      </c>
      <c r="Z10" s="92">
        <f t="shared" si="0"/>
        <v>-1482.22</v>
      </c>
    </row>
    <row r="11" spans="1:26" x14ac:dyDescent="0.2">
      <c r="A11" s="89" t="s">
        <v>238</v>
      </c>
      <c r="B11" s="89" t="s">
        <v>239</v>
      </c>
      <c r="C11" s="89">
        <v>300</v>
      </c>
      <c r="D11" s="89" t="s">
        <v>658</v>
      </c>
      <c r="E11" s="67">
        <v>404</v>
      </c>
      <c r="F11" s="89" t="s">
        <v>237</v>
      </c>
      <c r="G11" s="90">
        <v>44226</v>
      </c>
      <c r="H11" s="90">
        <v>42657</v>
      </c>
      <c r="I11" s="91">
        <v>0</v>
      </c>
      <c r="J11" s="91">
        <v>0</v>
      </c>
      <c r="K11" s="91">
        <v>0</v>
      </c>
      <c r="L11" s="91">
        <v>0</v>
      </c>
      <c r="M11" s="91">
        <v>0</v>
      </c>
      <c r="N11" s="91">
        <v>0</v>
      </c>
      <c r="O11" s="91">
        <v>0</v>
      </c>
      <c r="P11" s="91">
        <v>0</v>
      </c>
      <c r="Q11" s="91">
        <v>0</v>
      </c>
      <c r="R11" s="91">
        <v>124124.61</v>
      </c>
      <c r="S11" s="91">
        <v>0</v>
      </c>
      <c r="T11" s="91">
        <v>0</v>
      </c>
      <c r="U11" s="91">
        <v>124124.61</v>
      </c>
      <c r="V11" s="91">
        <v>-124124.61</v>
      </c>
      <c r="W11" s="91">
        <v>112505.59999999999</v>
      </c>
      <c r="X11" s="91">
        <v>0</v>
      </c>
      <c r="Y11" s="119">
        <v>112505.59999999999</v>
      </c>
      <c r="Z11" s="92">
        <f t="shared" si="0"/>
        <v>-236630.21</v>
      </c>
    </row>
    <row r="12" spans="1:26" x14ac:dyDescent="0.2">
      <c r="A12" s="89" t="s">
        <v>315</v>
      </c>
      <c r="B12" s="89" t="s">
        <v>316</v>
      </c>
      <c r="C12" s="89">
        <v>300</v>
      </c>
      <c r="D12" s="89" t="s">
        <v>658</v>
      </c>
      <c r="E12" s="67">
        <v>404</v>
      </c>
      <c r="F12" s="89" t="s">
        <v>237</v>
      </c>
      <c r="G12" s="90">
        <v>44334</v>
      </c>
      <c r="H12" s="90">
        <v>43328</v>
      </c>
      <c r="I12" s="91">
        <v>67325484</v>
      </c>
      <c r="J12" s="91">
        <v>544635</v>
      </c>
      <c r="K12" s="91">
        <v>0</v>
      </c>
      <c r="L12" s="91">
        <v>140072.18</v>
      </c>
      <c r="M12" s="91">
        <v>230100</v>
      </c>
      <c r="N12" s="91">
        <v>0</v>
      </c>
      <c r="O12" s="91">
        <v>914807.18</v>
      </c>
      <c r="P12" s="91">
        <v>614996.68999999994</v>
      </c>
      <c r="Q12" s="91">
        <v>0</v>
      </c>
      <c r="R12" s="91">
        <v>2116.2399999999998</v>
      </c>
      <c r="S12" s="91">
        <v>93829.459999999992</v>
      </c>
      <c r="T12" s="91">
        <v>225277.77</v>
      </c>
      <c r="U12" s="91">
        <v>936220.16000000003</v>
      </c>
      <c r="V12" s="91">
        <v>-21412.979999999981</v>
      </c>
      <c r="W12" s="91">
        <v>169196.96</v>
      </c>
      <c r="X12" s="91">
        <v>62893.21</v>
      </c>
      <c r="Y12" s="119">
        <v>232090.16999999998</v>
      </c>
      <c r="Z12" s="92">
        <f t="shared" si="0"/>
        <v>-253503.14999999997</v>
      </c>
    </row>
    <row r="13" spans="1:26" x14ac:dyDescent="0.2">
      <c r="A13" s="89" t="s">
        <v>398</v>
      </c>
      <c r="B13" s="89" t="s">
        <v>399</v>
      </c>
      <c r="C13" s="89">
        <v>300</v>
      </c>
      <c r="D13" s="89" t="s">
        <v>658</v>
      </c>
      <c r="E13" s="67">
        <v>437</v>
      </c>
      <c r="F13" s="89" t="s">
        <v>246</v>
      </c>
      <c r="G13" s="90">
        <v>44226</v>
      </c>
      <c r="H13" s="90">
        <v>43993</v>
      </c>
      <c r="I13" s="91">
        <v>0</v>
      </c>
      <c r="J13" s="91">
        <v>0</v>
      </c>
      <c r="K13" s="91">
        <v>0</v>
      </c>
      <c r="L13" s="91">
        <v>0</v>
      </c>
      <c r="M13" s="91">
        <v>0</v>
      </c>
      <c r="N13" s="91">
        <v>0</v>
      </c>
      <c r="O13" s="91">
        <v>0</v>
      </c>
      <c r="P13" s="91">
        <v>0</v>
      </c>
      <c r="Q13" s="91">
        <v>0</v>
      </c>
      <c r="R13" s="91">
        <v>0</v>
      </c>
      <c r="S13" s="91">
        <v>0</v>
      </c>
      <c r="T13" s="91">
        <v>0</v>
      </c>
      <c r="U13" s="91">
        <v>0</v>
      </c>
      <c r="V13" s="91">
        <v>0</v>
      </c>
      <c r="W13" s="91">
        <v>0</v>
      </c>
      <c r="X13" s="91">
        <v>0</v>
      </c>
      <c r="Y13" s="119">
        <v>0</v>
      </c>
      <c r="Z13" s="92">
        <f t="shared" si="0"/>
        <v>0</v>
      </c>
    </row>
    <row r="14" spans="1:26" x14ac:dyDescent="0.2">
      <c r="A14" s="89" t="s">
        <v>396</v>
      </c>
      <c r="B14" s="89" t="s">
        <v>397</v>
      </c>
      <c r="C14" s="89">
        <v>300</v>
      </c>
      <c r="D14" s="89" t="s">
        <v>658</v>
      </c>
      <c r="E14" s="67">
        <v>437</v>
      </c>
      <c r="F14" s="89" t="s">
        <v>246</v>
      </c>
      <c r="G14" s="90">
        <v>44226</v>
      </c>
      <c r="H14" s="90">
        <v>44042</v>
      </c>
      <c r="I14" s="91">
        <v>0</v>
      </c>
      <c r="J14" s="91">
        <v>0</v>
      </c>
      <c r="K14" s="91">
        <v>0</v>
      </c>
      <c r="L14" s="91">
        <v>0</v>
      </c>
      <c r="M14" s="91">
        <v>0</v>
      </c>
      <c r="N14" s="91">
        <v>0</v>
      </c>
      <c r="O14" s="91">
        <v>0</v>
      </c>
      <c r="P14" s="91">
        <v>0</v>
      </c>
      <c r="Q14" s="91">
        <v>0</v>
      </c>
      <c r="R14" s="91">
        <v>0</v>
      </c>
      <c r="S14" s="91">
        <v>0</v>
      </c>
      <c r="T14" s="91">
        <v>0</v>
      </c>
      <c r="U14" s="91">
        <v>0</v>
      </c>
      <c r="V14" s="91">
        <v>0</v>
      </c>
      <c r="W14" s="91">
        <v>0</v>
      </c>
      <c r="X14" s="91">
        <v>0</v>
      </c>
      <c r="Y14" s="119">
        <v>0</v>
      </c>
      <c r="Z14" s="92">
        <f t="shared" si="0"/>
        <v>0</v>
      </c>
    </row>
    <row r="15" spans="1:26" x14ac:dyDescent="0.2">
      <c r="A15" s="89" t="s">
        <v>392</v>
      </c>
      <c r="B15" s="89" t="s">
        <v>393</v>
      </c>
      <c r="C15" s="89">
        <v>300</v>
      </c>
      <c r="D15" s="89" t="s">
        <v>658</v>
      </c>
      <c r="E15" s="67">
        <v>437</v>
      </c>
      <c r="F15" s="89" t="s">
        <v>246</v>
      </c>
      <c r="G15" s="90">
        <v>44226</v>
      </c>
      <c r="H15" s="90">
        <v>44364</v>
      </c>
      <c r="I15" s="91">
        <v>0</v>
      </c>
      <c r="J15" s="91">
        <v>0</v>
      </c>
      <c r="K15" s="91">
        <v>0</v>
      </c>
      <c r="L15" s="91">
        <v>0</v>
      </c>
      <c r="M15" s="91">
        <v>0</v>
      </c>
      <c r="N15" s="91">
        <v>0</v>
      </c>
      <c r="O15" s="91">
        <v>0</v>
      </c>
      <c r="P15" s="91">
        <v>0</v>
      </c>
      <c r="Q15" s="91">
        <v>0</v>
      </c>
      <c r="R15" s="91">
        <v>0</v>
      </c>
      <c r="S15" s="91">
        <v>0</v>
      </c>
      <c r="T15" s="91">
        <v>0</v>
      </c>
      <c r="U15" s="91">
        <v>0</v>
      </c>
      <c r="V15" s="91">
        <v>0</v>
      </c>
      <c r="W15" s="91">
        <v>2887.48</v>
      </c>
      <c r="X15" s="91">
        <v>0</v>
      </c>
      <c r="Y15" s="119">
        <v>2887.48</v>
      </c>
      <c r="Z15" s="92">
        <f t="shared" si="0"/>
        <v>-2887.48</v>
      </c>
    </row>
    <row r="16" spans="1:26" x14ac:dyDescent="0.2">
      <c r="A16" s="89" t="s">
        <v>516</v>
      </c>
      <c r="B16" s="89" t="s">
        <v>517</v>
      </c>
      <c r="C16" s="89">
        <v>300</v>
      </c>
      <c r="D16" s="89" t="s">
        <v>658</v>
      </c>
      <c r="E16" s="67">
        <v>437</v>
      </c>
      <c r="F16" s="89" t="s">
        <v>246</v>
      </c>
      <c r="G16" s="90">
        <v>44226</v>
      </c>
      <c r="H16" s="90">
        <v>44407</v>
      </c>
      <c r="I16" s="91">
        <v>1702800</v>
      </c>
      <c r="J16" s="91">
        <v>0</v>
      </c>
      <c r="K16" s="91">
        <v>0</v>
      </c>
      <c r="L16" s="91">
        <v>0</v>
      </c>
      <c r="M16" s="91">
        <v>0</v>
      </c>
      <c r="N16" s="91">
        <v>0</v>
      </c>
      <c r="O16" s="91">
        <v>0</v>
      </c>
      <c r="P16" s="91">
        <v>0</v>
      </c>
      <c r="Q16" s="91">
        <v>0</v>
      </c>
      <c r="R16" s="91">
        <v>71702.319999999992</v>
      </c>
      <c r="S16" s="91">
        <v>0</v>
      </c>
      <c r="T16" s="91">
        <v>0</v>
      </c>
      <c r="U16" s="91">
        <v>71702.319999999992</v>
      </c>
      <c r="V16" s="91">
        <v>-71702.319999999992</v>
      </c>
      <c r="W16" s="91">
        <v>0</v>
      </c>
      <c r="X16" s="91">
        <v>0</v>
      </c>
      <c r="Y16" s="119">
        <v>0</v>
      </c>
      <c r="Z16" s="92">
        <f t="shared" si="0"/>
        <v>-71702.319999999992</v>
      </c>
    </row>
    <row r="17" spans="1:26" x14ac:dyDescent="0.2">
      <c r="A17" s="89" t="s">
        <v>244</v>
      </c>
      <c r="B17" s="89" t="s">
        <v>245</v>
      </c>
      <c r="C17" s="89">
        <v>300</v>
      </c>
      <c r="D17" s="89" t="s">
        <v>658</v>
      </c>
      <c r="E17" s="67">
        <v>437</v>
      </c>
      <c r="F17" s="89" t="s">
        <v>246</v>
      </c>
      <c r="G17" s="90">
        <v>44226</v>
      </c>
      <c r="H17" s="90">
        <v>44175</v>
      </c>
      <c r="I17" s="91">
        <v>5227500</v>
      </c>
      <c r="J17" s="91">
        <v>0</v>
      </c>
      <c r="K17" s="91">
        <v>0</v>
      </c>
      <c r="L17" s="91">
        <v>0</v>
      </c>
      <c r="M17" s="91">
        <v>0</v>
      </c>
      <c r="N17" s="91">
        <v>0</v>
      </c>
      <c r="O17" s="91">
        <v>0</v>
      </c>
      <c r="P17" s="91">
        <v>0</v>
      </c>
      <c r="Q17" s="91">
        <v>0</v>
      </c>
      <c r="R17" s="91">
        <v>25128.83</v>
      </c>
      <c r="S17" s="91">
        <v>0</v>
      </c>
      <c r="T17" s="91">
        <v>0</v>
      </c>
      <c r="U17" s="91">
        <v>25128.83</v>
      </c>
      <c r="V17" s="91">
        <v>-25128.83</v>
      </c>
      <c r="W17" s="91">
        <v>1803.05</v>
      </c>
      <c r="X17" s="91">
        <v>0</v>
      </c>
      <c r="Y17" s="119">
        <v>1803.05</v>
      </c>
      <c r="Z17" s="92">
        <f t="shared" si="0"/>
        <v>-26931.88</v>
      </c>
    </row>
    <row r="18" spans="1:26" x14ac:dyDescent="0.2">
      <c r="A18" s="89" t="s">
        <v>247</v>
      </c>
      <c r="B18" s="89" t="s">
        <v>248</v>
      </c>
      <c r="C18" s="89">
        <v>300</v>
      </c>
      <c r="D18" s="89" t="s">
        <v>658</v>
      </c>
      <c r="E18" s="67">
        <v>437</v>
      </c>
      <c r="F18" s="89" t="s">
        <v>246</v>
      </c>
      <c r="G18" s="90">
        <v>44384</v>
      </c>
      <c r="H18" s="90">
        <v>44426</v>
      </c>
      <c r="I18" s="91">
        <v>805290</v>
      </c>
      <c r="J18" s="91">
        <v>0</v>
      </c>
      <c r="K18" s="91">
        <v>0</v>
      </c>
      <c r="L18" s="91">
        <v>0</v>
      </c>
      <c r="M18" s="91">
        <v>0</v>
      </c>
      <c r="N18" s="91">
        <v>0</v>
      </c>
      <c r="O18" s="91">
        <v>0</v>
      </c>
      <c r="P18" s="91">
        <v>0</v>
      </c>
      <c r="Q18" s="91">
        <v>0</v>
      </c>
      <c r="R18" s="91">
        <v>0</v>
      </c>
      <c r="S18" s="91">
        <v>0</v>
      </c>
      <c r="T18" s="91">
        <v>0</v>
      </c>
      <c r="U18" s="91">
        <v>0</v>
      </c>
      <c r="V18" s="91">
        <v>0</v>
      </c>
      <c r="W18" s="91">
        <v>763.71</v>
      </c>
      <c r="X18" s="91">
        <v>0</v>
      </c>
      <c r="Y18" s="119">
        <v>763.71</v>
      </c>
      <c r="Z18" s="92">
        <f t="shared" si="0"/>
        <v>-763.71</v>
      </c>
    </row>
    <row r="19" spans="1:26" x14ac:dyDescent="0.2">
      <c r="A19" s="89" t="s">
        <v>331</v>
      </c>
      <c r="B19" s="89" t="s">
        <v>332</v>
      </c>
      <c r="C19" s="89">
        <v>300</v>
      </c>
      <c r="D19" s="89" t="s">
        <v>658</v>
      </c>
      <c r="E19" s="67">
        <v>437</v>
      </c>
      <c r="F19" s="89" t="s">
        <v>246</v>
      </c>
      <c r="G19" s="90">
        <v>44488</v>
      </c>
      <c r="H19" s="90">
        <v>44774</v>
      </c>
      <c r="I19" s="91">
        <v>1460200</v>
      </c>
      <c r="J19" s="91">
        <v>33076.589999999997</v>
      </c>
      <c r="K19" s="91">
        <v>0</v>
      </c>
      <c r="L19" s="91">
        <v>0</v>
      </c>
      <c r="M19" s="91">
        <v>0</v>
      </c>
      <c r="N19" s="91">
        <v>0</v>
      </c>
      <c r="O19" s="91">
        <v>33076.589999999997</v>
      </c>
      <c r="P19" s="91">
        <v>0</v>
      </c>
      <c r="Q19" s="91">
        <v>0</v>
      </c>
      <c r="R19" s="91">
        <v>0</v>
      </c>
      <c r="S19" s="91">
        <v>0</v>
      </c>
      <c r="T19" s="91">
        <v>0</v>
      </c>
      <c r="U19" s="91">
        <v>0</v>
      </c>
      <c r="V19" s="91">
        <v>33076.589999999997</v>
      </c>
      <c r="W19" s="91">
        <v>0</v>
      </c>
      <c r="X19" s="91">
        <v>2663.46</v>
      </c>
      <c r="Y19" s="119">
        <v>2663.46</v>
      </c>
      <c r="Z19" s="92">
        <f t="shared" si="0"/>
        <v>30413.129999999997</v>
      </c>
    </row>
    <row r="20" spans="1:26" x14ac:dyDescent="0.2">
      <c r="A20" s="89" t="s">
        <v>723</v>
      </c>
      <c r="B20" s="89" t="s">
        <v>724</v>
      </c>
      <c r="C20" s="89">
        <v>300</v>
      </c>
      <c r="D20" s="89" t="s">
        <v>658</v>
      </c>
      <c r="E20" s="67">
        <v>437</v>
      </c>
      <c r="F20" s="89" t="s">
        <v>246</v>
      </c>
      <c r="G20" s="90">
        <v>44628</v>
      </c>
      <c r="H20" s="90"/>
      <c r="I20" s="91">
        <v>14160121.6</v>
      </c>
      <c r="J20" s="91">
        <v>0</v>
      </c>
      <c r="K20" s="91">
        <v>0</v>
      </c>
      <c r="L20" s="91">
        <v>9920.35</v>
      </c>
      <c r="M20" s="91">
        <v>25222.76</v>
      </c>
      <c r="N20" s="91">
        <v>21680.559999999998</v>
      </c>
      <c r="O20" s="91">
        <v>56823.67</v>
      </c>
      <c r="P20" s="91">
        <v>0</v>
      </c>
      <c r="Q20" s="91">
        <v>17543.169999999998</v>
      </c>
      <c r="R20" s="91">
        <v>88407.340000000011</v>
      </c>
      <c r="S20" s="91">
        <v>0</v>
      </c>
      <c r="T20" s="91">
        <v>54587.070000000007</v>
      </c>
      <c r="U20" s="91">
        <v>160537.57999999999</v>
      </c>
      <c r="V20" s="91">
        <v>-103713.90999999999</v>
      </c>
      <c r="W20" s="91">
        <v>42823.069999999992</v>
      </c>
      <c r="X20" s="91">
        <v>110494.54999999999</v>
      </c>
      <c r="Y20" s="119">
        <v>153317.62</v>
      </c>
      <c r="Z20" s="92">
        <f t="shared" si="0"/>
        <v>-257031.52999999997</v>
      </c>
    </row>
    <row r="21" spans="1:26" x14ac:dyDescent="0.2">
      <c r="A21" s="89" t="s">
        <v>725</v>
      </c>
      <c r="B21" s="89" t="s">
        <v>726</v>
      </c>
      <c r="C21" s="89">
        <v>300</v>
      </c>
      <c r="D21" s="89" t="s">
        <v>658</v>
      </c>
      <c r="E21" s="67">
        <v>437</v>
      </c>
      <c r="F21" s="89" t="s">
        <v>246</v>
      </c>
      <c r="G21" s="90">
        <v>44805</v>
      </c>
      <c r="H21" s="90"/>
      <c r="I21" s="91">
        <v>8042400</v>
      </c>
      <c r="J21" s="91">
        <v>0</v>
      </c>
      <c r="K21" s="91">
        <v>0</v>
      </c>
      <c r="L21" s="91">
        <v>0</v>
      </c>
      <c r="M21" s="91">
        <v>0</v>
      </c>
      <c r="N21" s="91">
        <v>0</v>
      </c>
      <c r="O21" s="91">
        <v>0</v>
      </c>
      <c r="P21" s="91">
        <v>0</v>
      </c>
      <c r="Q21" s="91">
        <v>0</v>
      </c>
      <c r="R21" s="91">
        <v>136804.84</v>
      </c>
      <c r="S21" s="91">
        <v>0</v>
      </c>
      <c r="T21" s="91">
        <v>0</v>
      </c>
      <c r="U21" s="91">
        <v>136804.84</v>
      </c>
      <c r="V21" s="91">
        <v>-136804.84</v>
      </c>
      <c r="W21" s="91">
        <v>3976.45</v>
      </c>
      <c r="X21" s="91">
        <v>0</v>
      </c>
      <c r="Y21" s="119">
        <v>3976.45</v>
      </c>
      <c r="Z21" s="92">
        <f t="shared" si="0"/>
        <v>-140781.29</v>
      </c>
    </row>
    <row r="22" spans="1:26" x14ac:dyDescent="0.2">
      <c r="A22" s="89" t="s">
        <v>780</v>
      </c>
      <c r="B22" s="89" t="s">
        <v>781</v>
      </c>
      <c r="C22" s="89">
        <v>300</v>
      </c>
      <c r="D22" s="89" t="s">
        <v>658</v>
      </c>
      <c r="E22" s="67">
        <v>437</v>
      </c>
      <c r="F22" s="89" t="s">
        <v>246</v>
      </c>
      <c r="G22" s="90">
        <v>44847</v>
      </c>
      <c r="H22" s="90"/>
      <c r="I22" s="91">
        <v>4560000</v>
      </c>
      <c r="J22" s="91">
        <v>185878</v>
      </c>
      <c r="K22" s="91">
        <v>0</v>
      </c>
      <c r="L22" s="91">
        <v>48259.34</v>
      </c>
      <c r="M22" s="91">
        <v>52717.5</v>
      </c>
      <c r="N22" s="91">
        <v>0</v>
      </c>
      <c r="O22" s="91">
        <v>286854.83999999997</v>
      </c>
      <c r="P22" s="91">
        <v>166353</v>
      </c>
      <c r="Q22" s="91">
        <v>0</v>
      </c>
      <c r="R22" s="91">
        <v>109797.68000000001</v>
      </c>
      <c r="S22" s="91">
        <v>0</v>
      </c>
      <c r="T22" s="91">
        <v>0</v>
      </c>
      <c r="U22" s="91">
        <v>276150.68</v>
      </c>
      <c r="V22" s="91">
        <v>10704.160000000003</v>
      </c>
      <c r="W22" s="91">
        <v>84.01</v>
      </c>
      <c r="X22" s="91">
        <v>1088.3</v>
      </c>
      <c r="Y22" s="119">
        <v>1172.31</v>
      </c>
      <c r="Z22" s="92">
        <f t="shared" si="0"/>
        <v>9531.850000000004</v>
      </c>
    </row>
    <row r="23" spans="1:26" x14ac:dyDescent="0.2">
      <c r="A23" s="89" t="s">
        <v>366</v>
      </c>
      <c r="B23" s="89" t="s">
        <v>367</v>
      </c>
      <c r="C23" s="89">
        <v>300</v>
      </c>
      <c r="D23" s="89" t="s">
        <v>658</v>
      </c>
      <c r="E23" s="67">
        <v>440</v>
      </c>
      <c r="F23" s="89" t="s">
        <v>2</v>
      </c>
      <c r="G23" s="90">
        <v>44226</v>
      </c>
      <c r="H23" s="90">
        <v>44336</v>
      </c>
      <c r="I23" s="91">
        <v>0</v>
      </c>
      <c r="J23" s="91">
        <v>0</v>
      </c>
      <c r="K23" s="91">
        <v>0</v>
      </c>
      <c r="L23" s="91">
        <v>0</v>
      </c>
      <c r="M23" s="91">
        <v>0</v>
      </c>
      <c r="N23" s="91">
        <v>0</v>
      </c>
      <c r="O23" s="91">
        <v>0</v>
      </c>
      <c r="P23" s="91">
        <v>0</v>
      </c>
      <c r="Q23" s="91">
        <v>0</v>
      </c>
      <c r="R23" s="91">
        <v>0</v>
      </c>
      <c r="S23" s="91">
        <v>0</v>
      </c>
      <c r="T23" s="91">
        <v>0</v>
      </c>
      <c r="U23" s="91">
        <v>0</v>
      </c>
      <c r="V23" s="91">
        <v>0</v>
      </c>
      <c r="W23" s="91">
        <v>100423.38</v>
      </c>
      <c r="X23" s="91">
        <v>0</v>
      </c>
      <c r="Y23" s="119">
        <v>100423.38</v>
      </c>
      <c r="Z23" s="92">
        <f t="shared" si="0"/>
        <v>-100423.38</v>
      </c>
    </row>
    <row r="24" spans="1:26" x14ac:dyDescent="0.2">
      <c r="A24" s="89" t="s">
        <v>255</v>
      </c>
      <c r="B24" s="89" t="s">
        <v>256</v>
      </c>
      <c r="C24" s="89">
        <v>300</v>
      </c>
      <c r="D24" s="89" t="s">
        <v>658</v>
      </c>
      <c r="E24" s="67">
        <v>440</v>
      </c>
      <c r="F24" s="89" t="s">
        <v>2</v>
      </c>
      <c r="G24" s="90">
        <v>44228</v>
      </c>
      <c r="H24" s="90">
        <v>44313</v>
      </c>
      <c r="I24" s="91">
        <v>0</v>
      </c>
      <c r="J24" s="91">
        <v>0</v>
      </c>
      <c r="K24" s="91">
        <v>0</v>
      </c>
      <c r="L24" s="91">
        <v>0</v>
      </c>
      <c r="M24" s="91">
        <v>0</v>
      </c>
      <c r="N24" s="91">
        <v>0</v>
      </c>
      <c r="O24" s="91">
        <v>0</v>
      </c>
      <c r="P24" s="91">
        <v>0</v>
      </c>
      <c r="Q24" s="91">
        <v>0</v>
      </c>
      <c r="R24" s="91">
        <v>0</v>
      </c>
      <c r="S24" s="91">
        <v>0</v>
      </c>
      <c r="T24" s="91">
        <v>0</v>
      </c>
      <c r="U24" s="91">
        <v>0</v>
      </c>
      <c r="V24" s="91">
        <v>0</v>
      </c>
      <c r="W24" s="91">
        <v>0</v>
      </c>
      <c r="X24" s="91">
        <v>0</v>
      </c>
      <c r="Y24" s="119">
        <v>0</v>
      </c>
      <c r="Z24" s="92">
        <f t="shared" si="0"/>
        <v>0</v>
      </c>
    </row>
    <row r="25" spans="1:26" x14ac:dyDescent="0.2">
      <c r="A25" s="89" t="s">
        <v>524</v>
      </c>
      <c r="B25" s="89" t="s">
        <v>525</v>
      </c>
      <c r="C25" s="89">
        <v>300</v>
      </c>
      <c r="D25" s="89" t="s">
        <v>658</v>
      </c>
      <c r="E25" s="67">
        <v>440</v>
      </c>
      <c r="F25" s="89" t="s">
        <v>2</v>
      </c>
      <c r="G25" s="90">
        <v>44329</v>
      </c>
      <c r="H25" s="90">
        <v>44431</v>
      </c>
      <c r="I25" s="91">
        <v>0</v>
      </c>
      <c r="J25" s="91">
        <v>0</v>
      </c>
      <c r="K25" s="91">
        <v>0</v>
      </c>
      <c r="L25" s="91">
        <v>0</v>
      </c>
      <c r="M25" s="91">
        <v>0</v>
      </c>
      <c r="N25" s="91">
        <v>0</v>
      </c>
      <c r="O25" s="91">
        <v>0</v>
      </c>
      <c r="P25" s="91">
        <v>0</v>
      </c>
      <c r="Q25" s="91">
        <v>0</v>
      </c>
      <c r="R25" s="91">
        <v>0</v>
      </c>
      <c r="S25" s="91">
        <v>0</v>
      </c>
      <c r="T25" s="91">
        <v>0</v>
      </c>
      <c r="U25" s="91">
        <v>0</v>
      </c>
      <c r="V25" s="91">
        <v>0</v>
      </c>
      <c r="W25" s="91">
        <v>0</v>
      </c>
      <c r="X25" s="91">
        <v>0</v>
      </c>
      <c r="Y25" s="119">
        <v>0</v>
      </c>
      <c r="Z25" s="92">
        <f t="shared" si="0"/>
        <v>0</v>
      </c>
    </row>
    <row r="26" spans="1:26" x14ac:dyDescent="0.2">
      <c r="A26" s="89" t="s">
        <v>132</v>
      </c>
      <c r="B26" s="89" t="s">
        <v>133</v>
      </c>
      <c r="C26" s="89">
        <v>300</v>
      </c>
      <c r="D26" s="89" t="s">
        <v>658</v>
      </c>
      <c r="E26" s="67">
        <v>440</v>
      </c>
      <c r="F26" s="89" t="s">
        <v>2</v>
      </c>
      <c r="G26" s="90">
        <v>44623</v>
      </c>
      <c r="H26" s="90"/>
      <c r="I26" s="91">
        <v>0</v>
      </c>
      <c r="J26" s="91">
        <v>0</v>
      </c>
      <c r="K26" s="91">
        <v>0</v>
      </c>
      <c r="L26" s="91">
        <v>0</v>
      </c>
      <c r="M26" s="91">
        <v>0</v>
      </c>
      <c r="N26" s="91">
        <v>0</v>
      </c>
      <c r="O26" s="91">
        <v>0</v>
      </c>
      <c r="P26" s="91">
        <v>0</v>
      </c>
      <c r="Q26" s="91">
        <v>0</v>
      </c>
      <c r="R26" s="91">
        <v>0</v>
      </c>
      <c r="S26" s="91">
        <v>0</v>
      </c>
      <c r="T26" s="91">
        <v>0</v>
      </c>
      <c r="U26" s="91">
        <v>0</v>
      </c>
      <c r="V26" s="91">
        <v>0</v>
      </c>
      <c r="W26" s="91">
        <v>0</v>
      </c>
      <c r="X26" s="91">
        <v>0</v>
      </c>
      <c r="Y26" s="119">
        <v>0</v>
      </c>
      <c r="Z26" s="92">
        <f t="shared" si="0"/>
        <v>0</v>
      </c>
    </row>
    <row r="27" spans="1:26" x14ac:dyDescent="0.2">
      <c r="A27" s="89" t="s">
        <v>17</v>
      </c>
      <c r="B27" s="89" t="s">
        <v>18</v>
      </c>
      <c r="C27" s="89">
        <v>300</v>
      </c>
      <c r="D27" s="89" t="s">
        <v>658</v>
      </c>
      <c r="E27" s="67">
        <v>440</v>
      </c>
      <c r="F27" s="89" t="s">
        <v>2</v>
      </c>
      <c r="G27" s="90">
        <v>44698</v>
      </c>
      <c r="H27" s="90">
        <v>44952</v>
      </c>
      <c r="I27" s="91">
        <v>0</v>
      </c>
      <c r="J27" s="91">
        <v>0</v>
      </c>
      <c r="K27" s="91">
        <v>0</v>
      </c>
      <c r="L27" s="91">
        <v>0</v>
      </c>
      <c r="M27" s="91">
        <v>0</v>
      </c>
      <c r="N27" s="91">
        <v>0</v>
      </c>
      <c r="O27" s="91">
        <v>0</v>
      </c>
      <c r="P27" s="91">
        <v>0</v>
      </c>
      <c r="Q27" s="91">
        <v>0</v>
      </c>
      <c r="R27" s="91">
        <v>0</v>
      </c>
      <c r="S27" s="91">
        <v>0</v>
      </c>
      <c r="T27" s="91">
        <v>0</v>
      </c>
      <c r="U27" s="91">
        <v>0</v>
      </c>
      <c r="V27" s="91">
        <v>0</v>
      </c>
      <c r="W27" s="91">
        <v>0</v>
      </c>
      <c r="X27" s="91">
        <v>0</v>
      </c>
      <c r="Y27" s="119">
        <v>0</v>
      </c>
      <c r="Z27" s="92">
        <f t="shared" si="0"/>
        <v>0</v>
      </c>
    </row>
    <row r="28" spans="1:26" x14ac:dyDescent="0.2">
      <c r="A28" s="89" t="s">
        <v>23</v>
      </c>
      <c r="B28" s="89" t="s">
        <v>24</v>
      </c>
      <c r="C28" s="89">
        <v>300</v>
      </c>
      <c r="D28" s="89" t="s">
        <v>658</v>
      </c>
      <c r="E28" s="67">
        <v>440</v>
      </c>
      <c r="F28" s="89" t="s">
        <v>2</v>
      </c>
      <c r="G28" s="90">
        <v>44698</v>
      </c>
      <c r="H28" s="90">
        <v>44826</v>
      </c>
      <c r="I28" s="91">
        <v>0</v>
      </c>
      <c r="J28" s="91">
        <v>0</v>
      </c>
      <c r="K28" s="91">
        <v>0</v>
      </c>
      <c r="L28" s="91">
        <v>0</v>
      </c>
      <c r="M28" s="91">
        <v>0</v>
      </c>
      <c r="N28" s="91">
        <v>0</v>
      </c>
      <c r="O28" s="91">
        <v>0</v>
      </c>
      <c r="P28" s="91">
        <v>0</v>
      </c>
      <c r="Q28" s="91">
        <v>0</v>
      </c>
      <c r="R28" s="91">
        <v>0</v>
      </c>
      <c r="S28" s="91">
        <v>0</v>
      </c>
      <c r="T28" s="91">
        <v>-9156.369999999999</v>
      </c>
      <c r="U28" s="91">
        <v>-9156.369999999999</v>
      </c>
      <c r="V28" s="91">
        <v>9156.369999999999</v>
      </c>
      <c r="W28" s="91">
        <v>0</v>
      </c>
      <c r="X28" s="91">
        <v>0</v>
      </c>
      <c r="Y28" s="119">
        <v>0</v>
      </c>
      <c r="Z28" s="92">
        <f t="shared" si="0"/>
        <v>9156.369999999999</v>
      </c>
    </row>
    <row r="29" spans="1:26" x14ac:dyDescent="0.2">
      <c r="A29" s="89" t="s">
        <v>11</v>
      </c>
      <c r="B29" s="89" t="s">
        <v>12</v>
      </c>
      <c r="C29" s="89">
        <v>300</v>
      </c>
      <c r="D29" s="89" t="s">
        <v>658</v>
      </c>
      <c r="E29" s="67">
        <v>440</v>
      </c>
      <c r="F29" s="89" t="s">
        <v>2</v>
      </c>
      <c r="G29" s="90">
        <v>44698</v>
      </c>
      <c r="H29" s="90">
        <v>44826</v>
      </c>
      <c r="I29" s="91">
        <v>0</v>
      </c>
      <c r="J29" s="91">
        <v>0</v>
      </c>
      <c r="K29" s="91">
        <v>0</v>
      </c>
      <c r="L29" s="91">
        <v>0</v>
      </c>
      <c r="M29" s="91">
        <v>0</v>
      </c>
      <c r="N29" s="91">
        <v>0</v>
      </c>
      <c r="O29" s="91">
        <v>0</v>
      </c>
      <c r="P29" s="91">
        <v>0</v>
      </c>
      <c r="Q29" s="91">
        <v>0</v>
      </c>
      <c r="R29" s="91">
        <v>0</v>
      </c>
      <c r="S29" s="91">
        <v>0</v>
      </c>
      <c r="T29" s="91">
        <v>0</v>
      </c>
      <c r="U29" s="91">
        <v>0</v>
      </c>
      <c r="V29" s="91">
        <v>0</v>
      </c>
      <c r="W29" s="91">
        <v>0</v>
      </c>
      <c r="X29" s="91">
        <v>0</v>
      </c>
      <c r="Y29" s="119">
        <v>0</v>
      </c>
      <c r="Z29" s="92">
        <f t="shared" si="0"/>
        <v>0</v>
      </c>
    </row>
    <row r="30" spans="1:26" x14ac:dyDescent="0.2">
      <c r="A30" s="89" t="s">
        <v>0</v>
      </c>
      <c r="B30" s="89" t="s">
        <v>1</v>
      </c>
      <c r="C30" s="89">
        <v>300</v>
      </c>
      <c r="D30" s="89" t="s">
        <v>658</v>
      </c>
      <c r="E30" s="67">
        <v>440</v>
      </c>
      <c r="F30" s="89" t="s">
        <v>2</v>
      </c>
      <c r="G30" s="90">
        <v>44698</v>
      </c>
      <c r="H30" s="90">
        <v>44838</v>
      </c>
      <c r="I30" s="91">
        <v>15668730</v>
      </c>
      <c r="J30" s="91">
        <v>0</v>
      </c>
      <c r="K30" s="91">
        <v>0</v>
      </c>
      <c r="L30" s="91">
        <v>83983.05</v>
      </c>
      <c r="M30" s="91">
        <v>0</v>
      </c>
      <c r="N30" s="91">
        <v>0</v>
      </c>
      <c r="O30" s="91">
        <v>83983.05</v>
      </c>
      <c r="P30" s="91">
        <v>0</v>
      </c>
      <c r="Q30" s="91">
        <v>0</v>
      </c>
      <c r="R30" s="91">
        <v>0</v>
      </c>
      <c r="S30" s="91">
        <v>0</v>
      </c>
      <c r="T30" s="91">
        <v>57554.78</v>
      </c>
      <c r="U30" s="91">
        <v>57554.78</v>
      </c>
      <c r="V30" s="91">
        <v>26428.270000000004</v>
      </c>
      <c r="W30" s="91">
        <v>2003.31</v>
      </c>
      <c r="X30" s="91">
        <v>0</v>
      </c>
      <c r="Y30" s="119">
        <v>2003.31</v>
      </c>
      <c r="Z30" s="92">
        <f t="shared" si="0"/>
        <v>24424.960000000003</v>
      </c>
    </row>
    <row r="31" spans="1:26" x14ac:dyDescent="0.2">
      <c r="A31" s="89" t="s">
        <v>13</v>
      </c>
      <c r="B31" s="89" t="s">
        <v>14</v>
      </c>
      <c r="C31" s="89">
        <v>300</v>
      </c>
      <c r="D31" s="89" t="s">
        <v>658</v>
      </c>
      <c r="E31" s="67">
        <v>440</v>
      </c>
      <c r="F31" s="89" t="s">
        <v>2</v>
      </c>
      <c r="G31" s="90">
        <v>44698</v>
      </c>
      <c r="H31" s="90">
        <v>44830</v>
      </c>
      <c r="I31" s="91">
        <v>7643856</v>
      </c>
      <c r="J31" s="91">
        <v>0</v>
      </c>
      <c r="K31" s="91">
        <v>0</v>
      </c>
      <c r="L31" s="91">
        <v>0</v>
      </c>
      <c r="M31" s="91">
        <v>0</v>
      </c>
      <c r="N31" s="91">
        <v>0</v>
      </c>
      <c r="O31" s="91">
        <v>0</v>
      </c>
      <c r="P31" s="91">
        <v>0</v>
      </c>
      <c r="Q31" s="91">
        <v>0</v>
      </c>
      <c r="R31" s="91">
        <v>0</v>
      </c>
      <c r="S31" s="91">
        <v>1900.51</v>
      </c>
      <c r="T31" s="91">
        <v>0</v>
      </c>
      <c r="U31" s="91">
        <v>1900.51</v>
      </c>
      <c r="V31" s="91">
        <v>-1900.51</v>
      </c>
      <c r="W31" s="91">
        <v>34953.85</v>
      </c>
      <c r="X31" s="91">
        <v>0</v>
      </c>
      <c r="Y31" s="119">
        <v>34953.85</v>
      </c>
      <c r="Z31" s="92">
        <f t="shared" si="0"/>
        <v>-36854.36</v>
      </c>
    </row>
    <row r="32" spans="1:26" x14ac:dyDescent="0.2">
      <c r="A32" s="89" t="s">
        <v>176</v>
      </c>
      <c r="B32" s="89" t="s">
        <v>177</v>
      </c>
      <c r="C32" s="89">
        <v>300</v>
      </c>
      <c r="D32" s="89" t="s">
        <v>658</v>
      </c>
      <c r="E32" s="67">
        <v>440</v>
      </c>
      <c r="F32" s="89" t="s">
        <v>2</v>
      </c>
      <c r="G32" s="90">
        <v>44698</v>
      </c>
      <c r="H32" s="90"/>
      <c r="I32" s="91">
        <v>0</v>
      </c>
      <c r="J32" s="91">
        <v>0</v>
      </c>
      <c r="K32" s="91">
        <v>0</v>
      </c>
      <c r="L32" s="91">
        <v>0</v>
      </c>
      <c r="M32" s="91">
        <v>0</v>
      </c>
      <c r="N32" s="91">
        <v>0</v>
      </c>
      <c r="O32" s="91">
        <v>0</v>
      </c>
      <c r="P32" s="91">
        <v>0</v>
      </c>
      <c r="Q32" s="91">
        <v>0</v>
      </c>
      <c r="R32" s="91">
        <v>0</v>
      </c>
      <c r="S32" s="91">
        <v>0</v>
      </c>
      <c r="T32" s="91">
        <v>0</v>
      </c>
      <c r="U32" s="91">
        <v>0</v>
      </c>
      <c r="V32" s="91">
        <v>0</v>
      </c>
      <c r="W32" s="91">
        <v>0</v>
      </c>
      <c r="X32" s="91">
        <v>0</v>
      </c>
      <c r="Y32" s="119">
        <v>0</v>
      </c>
      <c r="Z32" s="92">
        <f t="shared" si="0"/>
        <v>0</v>
      </c>
    </row>
    <row r="33" spans="1:26" x14ac:dyDescent="0.2">
      <c r="A33" s="89" t="s">
        <v>21</v>
      </c>
      <c r="B33" s="89" t="s">
        <v>22</v>
      </c>
      <c r="C33" s="89">
        <v>300</v>
      </c>
      <c r="D33" s="89" t="s">
        <v>658</v>
      </c>
      <c r="E33" s="67">
        <v>440</v>
      </c>
      <c r="F33" s="89" t="s">
        <v>2</v>
      </c>
      <c r="G33" s="90">
        <v>44699</v>
      </c>
      <c r="H33" s="90">
        <v>44830</v>
      </c>
      <c r="I33" s="91">
        <v>0</v>
      </c>
      <c r="J33" s="91">
        <v>0</v>
      </c>
      <c r="K33" s="91">
        <v>0</v>
      </c>
      <c r="L33" s="91">
        <v>0</v>
      </c>
      <c r="M33" s="91">
        <v>0</v>
      </c>
      <c r="N33" s="91">
        <v>0</v>
      </c>
      <c r="O33" s="91">
        <v>0</v>
      </c>
      <c r="P33" s="91">
        <v>0</v>
      </c>
      <c r="Q33" s="91">
        <v>0</v>
      </c>
      <c r="R33" s="91">
        <v>0</v>
      </c>
      <c r="S33" s="91">
        <v>0</v>
      </c>
      <c r="T33" s="91">
        <v>0</v>
      </c>
      <c r="U33" s="91">
        <v>0</v>
      </c>
      <c r="V33" s="91">
        <v>0</v>
      </c>
      <c r="W33" s="91">
        <v>0</v>
      </c>
      <c r="X33" s="91">
        <v>0</v>
      </c>
      <c r="Y33" s="119">
        <v>0</v>
      </c>
      <c r="Z33" s="92">
        <f t="shared" si="0"/>
        <v>0</v>
      </c>
    </row>
    <row r="34" spans="1:26" x14ac:dyDescent="0.2">
      <c r="A34" s="89" t="s">
        <v>805</v>
      </c>
      <c r="B34" s="89" t="s">
        <v>806</v>
      </c>
      <c r="C34" s="89">
        <v>300</v>
      </c>
      <c r="D34" s="89" t="s">
        <v>658</v>
      </c>
      <c r="E34" s="67">
        <v>440</v>
      </c>
      <c r="F34" s="89" t="s">
        <v>2</v>
      </c>
      <c r="G34" s="90">
        <v>44921</v>
      </c>
      <c r="H34" s="90"/>
      <c r="I34" s="91">
        <v>0</v>
      </c>
      <c r="J34" s="91">
        <v>0</v>
      </c>
      <c r="K34" s="91">
        <v>0</v>
      </c>
      <c r="L34" s="91">
        <v>0</v>
      </c>
      <c r="M34" s="91">
        <v>0</v>
      </c>
      <c r="N34" s="91">
        <v>0</v>
      </c>
      <c r="O34" s="91">
        <v>0</v>
      </c>
      <c r="P34" s="91">
        <v>0</v>
      </c>
      <c r="Q34" s="91">
        <v>0</v>
      </c>
      <c r="R34" s="91">
        <v>0</v>
      </c>
      <c r="S34" s="91">
        <v>0</v>
      </c>
      <c r="T34" s="91">
        <v>0</v>
      </c>
      <c r="U34" s="91">
        <v>0</v>
      </c>
      <c r="V34" s="91">
        <v>0</v>
      </c>
      <c r="W34" s="91">
        <v>0</v>
      </c>
      <c r="X34" s="91">
        <v>0</v>
      </c>
      <c r="Y34" s="119">
        <v>0</v>
      </c>
      <c r="Z34" s="92">
        <f t="shared" si="0"/>
        <v>0</v>
      </c>
    </row>
    <row r="35" spans="1:26" x14ac:dyDescent="0.2">
      <c r="A35" s="89" t="s">
        <v>807</v>
      </c>
      <c r="B35" s="89" t="s">
        <v>808</v>
      </c>
      <c r="C35" s="89">
        <v>300</v>
      </c>
      <c r="D35" s="89" t="s">
        <v>658</v>
      </c>
      <c r="E35" s="67">
        <v>440</v>
      </c>
      <c r="F35" s="89" t="s">
        <v>2</v>
      </c>
      <c r="G35" s="90">
        <v>44921</v>
      </c>
      <c r="H35" s="90"/>
      <c r="I35" s="91">
        <v>3655260</v>
      </c>
      <c r="J35" s="91">
        <v>0</v>
      </c>
      <c r="K35" s="91">
        <v>0</v>
      </c>
      <c r="L35" s="91">
        <v>3112</v>
      </c>
      <c r="M35" s="91">
        <v>0</v>
      </c>
      <c r="N35" s="91">
        <v>0</v>
      </c>
      <c r="O35" s="91">
        <v>3112</v>
      </c>
      <c r="P35" s="91">
        <v>0</v>
      </c>
      <c r="Q35" s="91">
        <v>0</v>
      </c>
      <c r="R35" s="91">
        <v>0</v>
      </c>
      <c r="S35" s="91">
        <v>0</v>
      </c>
      <c r="T35" s="91">
        <v>89681.589999999982</v>
      </c>
      <c r="U35" s="91">
        <v>89681.589999999982</v>
      </c>
      <c r="V35" s="91">
        <v>-86569.589999999982</v>
      </c>
      <c r="W35" s="91">
        <v>769.52</v>
      </c>
      <c r="X35" s="91">
        <v>0</v>
      </c>
      <c r="Y35" s="119">
        <v>769.52</v>
      </c>
      <c r="Z35" s="92">
        <f t="shared" si="0"/>
        <v>-87339.109999999986</v>
      </c>
    </row>
    <row r="36" spans="1:26" x14ac:dyDescent="0.2">
      <c r="A36" s="89" t="s">
        <v>824</v>
      </c>
      <c r="B36" s="89" t="s">
        <v>825</v>
      </c>
      <c r="C36" s="89">
        <v>300</v>
      </c>
      <c r="D36" s="89" t="s">
        <v>658</v>
      </c>
      <c r="E36" s="67">
        <v>440</v>
      </c>
      <c r="F36" s="89" t="s">
        <v>2</v>
      </c>
      <c r="G36" s="90">
        <v>44930</v>
      </c>
      <c r="H36" s="90"/>
      <c r="I36" s="91">
        <v>0</v>
      </c>
      <c r="J36" s="91">
        <v>0</v>
      </c>
      <c r="K36" s="91">
        <v>0</v>
      </c>
      <c r="L36" s="91">
        <v>0</v>
      </c>
      <c r="M36" s="91">
        <v>0</v>
      </c>
      <c r="N36" s="91">
        <v>0</v>
      </c>
      <c r="O36" s="91">
        <v>0</v>
      </c>
      <c r="P36" s="91">
        <v>0</v>
      </c>
      <c r="Q36" s="91">
        <v>0</v>
      </c>
      <c r="R36" s="91">
        <v>0</v>
      </c>
      <c r="S36" s="91">
        <v>0</v>
      </c>
      <c r="T36" s="91">
        <v>0</v>
      </c>
      <c r="U36" s="91">
        <v>0</v>
      </c>
      <c r="V36" s="91">
        <v>0</v>
      </c>
      <c r="W36" s="91">
        <v>0</v>
      </c>
      <c r="X36" s="91">
        <v>0</v>
      </c>
      <c r="Y36" s="119">
        <v>0</v>
      </c>
      <c r="Z36" s="92">
        <f t="shared" si="0"/>
        <v>0</v>
      </c>
    </row>
    <row r="37" spans="1:26" x14ac:dyDescent="0.2">
      <c r="A37" s="89" t="s">
        <v>156</v>
      </c>
      <c r="B37" s="89" t="s">
        <v>157</v>
      </c>
      <c r="C37" s="89">
        <v>300</v>
      </c>
      <c r="D37" s="89" t="s">
        <v>658</v>
      </c>
      <c r="E37" s="67" t="s">
        <v>158</v>
      </c>
      <c r="F37" s="89" t="s">
        <v>159</v>
      </c>
      <c r="G37" s="90">
        <v>44629</v>
      </c>
      <c r="H37" s="90"/>
      <c r="I37" s="91">
        <v>0</v>
      </c>
      <c r="J37" s="91">
        <v>0</v>
      </c>
      <c r="K37" s="91">
        <v>0</v>
      </c>
      <c r="L37" s="91">
        <v>0</v>
      </c>
      <c r="M37" s="91">
        <v>0</v>
      </c>
      <c r="N37" s="91">
        <v>0</v>
      </c>
      <c r="O37" s="91">
        <v>0</v>
      </c>
      <c r="P37" s="91">
        <v>0</v>
      </c>
      <c r="Q37" s="91">
        <v>0</v>
      </c>
      <c r="R37" s="91">
        <v>0</v>
      </c>
      <c r="S37" s="91">
        <v>0</v>
      </c>
      <c r="T37" s="91">
        <v>0</v>
      </c>
      <c r="U37" s="91">
        <v>0</v>
      </c>
      <c r="V37" s="91">
        <v>0</v>
      </c>
      <c r="W37" s="91">
        <v>0</v>
      </c>
      <c r="X37" s="91">
        <v>0</v>
      </c>
      <c r="Y37" s="119">
        <v>0</v>
      </c>
      <c r="Z37" s="92">
        <f t="shared" si="0"/>
        <v>0</v>
      </c>
    </row>
    <row r="38" spans="1:26" x14ac:dyDescent="0.2">
      <c r="A38" s="89" t="s">
        <v>257</v>
      </c>
      <c r="B38" s="89" t="s">
        <v>258</v>
      </c>
      <c r="C38" s="89">
        <v>300</v>
      </c>
      <c r="D38" s="89" t="s">
        <v>658</v>
      </c>
      <c r="E38" s="67">
        <v>440</v>
      </c>
      <c r="F38" s="89" t="s">
        <v>2</v>
      </c>
      <c r="G38" s="90">
        <v>44250</v>
      </c>
      <c r="H38" s="90">
        <v>44377</v>
      </c>
      <c r="I38" s="91">
        <v>90783</v>
      </c>
      <c r="J38" s="91">
        <v>0</v>
      </c>
      <c r="K38" s="91">
        <v>0</v>
      </c>
      <c r="L38" s="91">
        <v>0</v>
      </c>
      <c r="M38" s="91">
        <v>0</v>
      </c>
      <c r="N38" s="91">
        <v>0</v>
      </c>
      <c r="O38" s="91">
        <v>0</v>
      </c>
      <c r="P38" s="91">
        <v>0</v>
      </c>
      <c r="Q38" s="91">
        <v>0</v>
      </c>
      <c r="R38" s="91">
        <v>0</v>
      </c>
      <c r="S38" s="91">
        <v>0</v>
      </c>
      <c r="T38" s="91">
        <v>0</v>
      </c>
      <c r="U38" s="91">
        <v>0</v>
      </c>
      <c r="V38" s="91">
        <v>0</v>
      </c>
      <c r="W38" s="91">
        <v>0</v>
      </c>
      <c r="X38" s="91">
        <v>0</v>
      </c>
      <c r="Y38" s="119">
        <v>0</v>
      </c>
      <c r="Z38" s="92">
        <f t="shared" si="0"/>
        <v>0</v>
      </c>
    </row>
    <row r="39" spans="1:26" x14ac:dyDescent="0.2">
      <c r="A39" s="89" t="s">
        <v>368</v>
      </c>
      <c r="B39" s="89" t="s">
        <v>369</v>
      </c>
      <c r="C39" s="89">
        <v>300</v>
      </c>
      <c r="D39" s="89" t="s">
        <v>658</v>
      </c>
      <c r="E39" s="67">
        <v>440</v>
      </c>
      <c r="F39" s="89" t="s">
        <v>2</v>
      </c>
      <c r="G39" s="90">
        <v>44226</v>
      </c>
      <c r="H39" s="90">
        <v>44169</v>
      </c>
      <c r="I39" s="91">
        <v>0</v>
      </c>
      <c r="J39" s="91">
        <v>0</v>
      </c>
      <c r="K39" s="91">
        <v>0</v>
      </c>
      <c r="L39" s="91">
        <v>0</v>
      </c>
      <c r="M39" s="91">
        <v>0</v>
      </c>
      <c r="N39" s="91">
        <v>0</v>
      </c>
      <c r="O39" s="91">
        <v>0</v>
      </c>
      <c r="P39" s="91">
        <v>0</v>
      </c>
      <c r="Q39" s="91">
        <v>0</v>
      </c>
      <c r="R39" s="91">
        <v>0</v>
      </c>
      <c r="S39" s="91">
        <v>0</v>
      </c>
      <c r="T39" s="91">
        <v>0</v>
      </c>
      <c r="U39" s="91">
        <v>0</v>
      </c>
      <c r="V39" s="91">
        <v>0</v>
      </c>
      <c r="W39" s="91">
        <v>0</v>
      </c>
      <c r="X39" s="91">
        <v>0</v>
      </c>
      <c r="Y39" s="119">
        <v>0</v>
      </c>
      <c r="Z39" s="92">
        <f t="shared" si="0"/>
        <v>0</v>
      </c>
    </row>
    <row r="40" spans="1:26" x14ac:dyDescent="0.2">
      <c r="A40" s="89" t="s">
        <v>917</v>
      </c>
      <c r="B40" s="89" t="s">
        <v>918</v>
      </c>
      <c r="C40" s="89">
        <v>300</v>
      </c>
      <c r="D40" s="89" t="s">
        <v>658</v>
      </c>
      <c r="E40" s="67">
        <v>437</v>
      </c>
      <c r="F40" s="89" t="s">
        <v>246</v>
      </c>
      <c r="G40" s="90">
        <v>44991</v>
      </c>
      <c r="H40" s="90"/>
      <c r="I40" s="91">
        <v>526370</v>
      </c>
      <c r="J40" s="91">
        <v>0</v>
      </c>
      <c r="K40" s="91">
        <v>0</v>
      </c>
      <c r="L40" s="91">
        <v>506337.61</v>
      </c>
      <c r="M40" s="91">
        <v>3120</v>
      </c>
      <c r="N40" s="91">
        <v>0</v>
      </c>
      <c r="O40" s="91">
        <v>509457.61</v>
      </c>
      <c r="P40" s="91">
        <v>0</v>
      </c>
      <c r="Q40" s="91">
        <v>0</v>
      </c>
      <c r="R40" s="91">
        <v>3915.23</v>
      </c>
      <c r="S40" s="91">
        <v>0</v>
      </c>
      <c r="T40" s="91">
        <v>239269.28000000003</v>
      </c>
      <c r="U40" s="91">
        <v>243184.51</v>
      </c>
      <c r="V40" s="91">
        <v>266273.09999999998</v>
      </c>
      <c r="W40" s="91">
        <v>0</v>
      </c>
      <c r="X40" s="91">
        <v>0</v>
      </c>
      <c r="Y40" s="119">
        <v>0</v>
      </c>
      <c r="Z40" s="92">
        <f t="shared" si="0"/>
        <v>266273.09999999998</v>
      </c>
    </row>
    <row r="41" spans="1:26" x14ac:dyDescent="0.2">
      <c r="A41" s="89" t="s">
        <v>919</v>
      </c>
      <c r="B41" s="89" t="s">
        <v>920</v>
      </c>
      <c r="C41" s="89">
        <v>300</v>
      </c>
      <c r="D41" s="89" t="s">
        <v>658</v>
      </c>
      <c r="E41" s="67">
        <v>437</v>
      </c>
      <c r="F41" s="89" t="s">
        <v>246</v>
      </c>
      <c r="G41" s="90">
        <v>44993</v>
      </c>
      <c r="H41" s="90"/>
      <c r="I41" s="91">
        <v>453000</v>
      </c>
      <c r="J41" s="91">
        <v>0</v>
      </c>
      <c r="K41" s="91">
        <v>0</v>
      </c>
      <c r="L41" s="91">
        <v>518156.24</v>
      </c>
      <c r="M41" s="91">
        <v>0</v>
      </c>
      <c r="N41" s="91">
        <v>0</v>
      </c>
      <c r="O41" s="91">
        <v>518156.24</v>
      </c>
      <c r="P41" s="91">
        <v>0</v>
      </c>
      <c r="Q41" s="91">
        <v>0</v>
      </c>
      <c r="R41" s="91">
        <v>197.55</v>
      </c>
      <c r="S41" s="91">
        <v>596.95000000000005</v>
      </c>
      <c r="T41" s="91">
        <v>103728.87</v>
      </c>
      <c r="U41" s="91">
        <v>104523.37</v>
      </c>
      <c r="V41" s="91">
        <v>413632.87000000005</v>
      </c>
      <c r="W41" s="91">
        <v>11850.96</v>
      </c>
      <c r="X41" s="91">
        <v>0</v>
      </c>
      <c r="Y41" s="119">
        <v>11850.96</v>
      </c>
      <c r="Z41" s="92">
        <f t="shared" si="0"/>
        <v>401781.91000000003</v>
      </c>
    </row>
    <row r="42" spans="1:26" x14ac:dyDescent="0.2">
      <c r="A42" s="89" t="s">
        <v>925</v>
      </c>
      <c r="B42" s="89" t="s">
        <v>926</v>
      </c>
      <c r="C42" s="89">
        <v>300</v>
      </c>
      <c r="D42" s="89" t="s">
        <v>658</v>
      </c>
      <c r="E42" s="67">
        <v>440</v>
      </c>
      <c r="F42" s="89" t="s">
        <v>2</v>
      </c>
      <c r="G42" s="90">
        <v>45022</v>
      </c>
      <c r="H42" s="90"/>
      <c r="I42" s="91">
        <v>4235770</v>
      </c>
      <c r="J42" s="91">
        <v>0</v>
      </c>
      <c r="K42" s="91">
        <v>0</v>
      </c>
      <c r="L42" s="91">
        <v>0</v>
      </c>
      <c r="M42" s="91">
        <v>0</v>
      </c>
      <c r="N42" s="91">
        <v>0</v>
      </c>
      <c r="O42" s="91">
        <v>0</v>
      </c>
      <c r="P42" s="91">
        <v>0</v>
      </c>
      <c r="Q42" s="91">
        <v>0</v>
      </c>
      <c r="R42" s="91">
        <v>0</v>
      </c>
      <c r="S42" s="91">
        <v>0</v>
      </c>
      <c r="T42" s="91">
        <v>102758.15000000001</v>
      </c>
      <c r="U42" s="91">
        <v>102758.15000000001</v>
      </c>
      <c r="V42" s="91">
        <v>-102758.15000000001</v>
      </c>
      <c r="W42" s="91">
        <v>0</v>
      </c>
      <c r="X42" s="91">
        <v>0</v>
      </c>
      <c r="Y42" s="119">
        <v>0</v>
      </c>
      <c r="Z42" s="92">
        <f t="shared" si="0"/>
        <v>-102758.15000000001</v>
      </c>
    </row>
    <row r="43" spans="1:26" x14ac:dyDescent="0.2">
      <c r="A43" s="89" t="s">
        <v>536</v>
      </c>
      <c r="B43" s="89" t="s">
        <v>537</v>
      </c>
      <c r="C43" s="89">
        <v>300</v>
      </c>
      <c r="D43" s="89" t="s">
        <v>658</v>
      </c>
      <c r="E43" s="67">
        <v>440</v>
      </c>
      <c r="F43" s="89" t="s">
        <v>2</v>
      </c>
      <c r="G43" s="90">
        <v>44446</v>
      </c>
      <c r="H43" s="90">
        <v>44581</v>
      </c>
      <c r="I43" s="91">
        <v>3011964</v>
      </c>
      <c r="J43" s="91">
        <v>0</v>
      </c>
      <c r="K43" s="91">
        <v>0</v>
      </c>
      <c r="L43" s="91">
        <v>0</v>
      </c>
      <c r="M43" s="91">
        <v>0</v>
      </c>
      <c r="N43" s="91">
        <v>0</v>
      </c>
      <c r="O43" s="91">
        <v>0</v>
      </c>
      <c r="P43" s="91">
        <v>0</v>
      </c>
      <c r="Q43" s="91">
        <v>0</v>
      </c>
      <c r="R43" s="91">
        <v>0</v>
      </c>
      <c r="S43" s="91">
        <v>0</v>
      </c>
      <c r="T43" s="91">
        <v>0</v>
      </c>
      <c r="U43" s="91">
        <v>0</v>
      </c>
      <c r="V43" s="91">
        <v>0</v>
      </c>
      <c r="W43" s="91">
        <v>0</v>
      </c>
      <c r="X43" s="91">
        <v>0</v>
      </c>
      <c r="Y43" s="119">
        <v>0</v>
      </c>
      <c r="Z43" s="92">
        <f t="shared" si="0"/>
        <v>0</v>
      </c>
    </row>
    <row r="44" spans="1:26" x14ac:dyDescent="0.2">
      <c r="A44" s="89" t="s">
        <v>402</v>
      </c>
      <c r="B44" s="89" t="s">
        <v>403</v>
      </c>
      <c r="C44" s="89">
        <v>300</v>
      </c>
      <c r="D44" s="89" t="s">
        <v>658</v>
      </c>
      <c r="E44" s="67">
        <v>404</v>
      </c>
      <c r="F44" s="89" t="s">
        <v>237</v>
      </c>
      <c r="G44" s="90">
        <v>44226</v>
      </c>
      <c r="H44" s="90">
        <v>43003</v>
      </c>
      <c r="I44" s="91">
        <v>0</v>
      </c>
      <c r="J44" s="91">
        <v>0</v>
      </c>
      <c r="K44" s="91">
        <v>0</v>
      </c>
      <c r="L44" s="91">
        <v>0</v>
      </c>
      <c r="M44" s="91">
        <v>0</v>
      </c>
      <c r="N44" s="91">
        <v>0</v>
      </c>
      <c r="O44" s="91">
        <v>0</v>
      </c>
      <c r="P44" s="91">
        <v>0</v>
      </c>
      <c r="Q44" s="91">
        <v>0</v>
      </c>
      <c r="R44" s="91">
        <v>0</v>
      </c>
      <c r="S44" s="91">
        <v>0</v>
      </c>
      <c r="T44" s="91">
        <v>0</v>
      </c>
      <c r="U44" s="91">
        <v>0</v>
      </c>
      <c r="V44" s="91">
        <v>0</v>
      </c>
      <c r="W44" s="91">
        <v>0</v>
      </c>
      <c r="X44" s="91">
        <v>0</v>
      </c>
      <c r="Y44" s="119">
        <v>0</v>
      </c>
      <c r="Z44" s="92">
        <f t="shared" si="0"/>
        <v>0</v>
      </c>
    </row>
    <row r="45" spans="1:26" x14ac:dyDescent="0.2">
      <c r="A45" s="89" t="s">
        <v>937</v>
      </c>
      <c r="B45" s="89" t="s">
        <v>947</v>
      </c>
      <c r="C45" s="89">
        <v>300</v>
      </c>
      <c r="D45" s="89" t="s">
        <v>658</v>
      </c>
      <c r="E45" s="67">
        <v>440</v>
      </c>
      <c r="F45" s="89" t="s">
        <v>2</v>
      </c>
      <c r="G45" s="90">
        <v>45020</v>
      </c>
      <c r="H45" s="90"/>
      <c r="I45" s="91">
        <v>1037575</v>
      </c>
      <c r="J45" s="91">
        <v>0</v>
      </c>
      <c r="K45" s="91">
        <v>0</v>
      </c>
      <c r="L45" s="91">
        <v>13770.6</v>
      </c>
      <c r="M45" s="91">
        <v>379664</v>
      </c>
      <c r="N45" s="91">
        <v>0</v>
      </c>
      <c r="O45" s="91">
        <v>393434.6</v>
      </c>
      <c r="P45" s="91">
        <v>0</v>
      </c>
      <c r="Q45" s="91">
        <v>0</v>
      </c>
      <c r="R45" s="91">
        <v>0</v>
      </c>
      <c r="S45" s="91">
        <v>0</v>
      </c>
      <c r="T45" s="91">
        <v>0</v>
      </c>
      <c r="U45" s="91">
        <v>0</v>
      </c>
      <c r="V45" s="91">
        <v>393434.6</v>
      </c>
      <c r="W45" s="91">
        <v>0</v>
      </c>
      <c r="X45" s="91">
        <v>0</v>
      </c>
      <c r="Y45" s="119">
        <v>0</v>
      </c>
      <c r="Z45" s="92">
        <f t="shared" si="0"/>
        <v>393434.6</v>
      </c>
    </row>
    <row r="46" spans="1:26" x14ac:dyDescent="0.2">
      <c r="A46" s="89" t="s">
        <v>938</v>
      </c>
      <c r="B46" s="89" t="s">
        <v>948</v>
      </c>
      <c r="C46" s="89">
        <v>300</v>
      </c>
      <c r="D46" s="89" t="s">
        <v>658</v>
      </c>
      <c r="E46" s="67">
        <v>440</v>
      </c>
      <c r="F46" s="89" t="s">
        <v>2</v>
      </c>
      <c r="G46" s="90">
        <v>45020</v>
      </c>
      <c r="H46" s="90"/>
      <c r="I46" s="91">
        <v>3173940</v>
      </c>
      <c r="J46" s="91">
        <v>0</v>
      </c>
      <c r="K46" s="91">
        <v>0</v>
      </c>
      <c r="L46" s="91">
        <v>162446.39999999999</v>
      </c>
      <c r="M46" s="91">
        <v>0</v>
      </c>
      <c r="N46" s="91">
        <v>0</v>
      </c>
      <c r="O46" s="91">
        <v>162446.39999999999</v>
      </c>
      <c r="P46" s="91">
        <v>0</v>
      </c>
      <c r="Q46" s="91">
        <v>0</v>
      </c>
      <c r="R46" s="91">
        <v>0</v>
      </c>
      <c r="S46" s="91">
        <v>29509.98</v>
      </c>
      <c r="T46" s="91">
        <v>120688.33000000002</v>
      </c>
      <c r="U46" s="91">
        <v>150198.31</v>
      </c>
      <c r="V46" s="91">
        <v>12248.089999999997</v>
      </c>
      <c r="W46" s="91">
        <v>11695.45</v>
      </c>
      <c r="X46" s="91">
        <v>10728.5</v>
      </c>
      <c r="Y46" s="119">
        <v>22423.95</v>
      </c>
      <c r="Z46" s="92">
        <f t="shared" si="0"/>
        <v>-10175.860000000004</v>
      </c>
    </row>
    <row r="47" spans="1:26" x14ac:dyDescent="0.2">
      <c r="A47" s="89" t="s">
        <v>939</v>
      </c>
      <c r="B47" s="89" t="s">
        <v>949</v>
      </c>
      <c r="C47" s="89">
        <v>300</v>
      </c>
      <c r="D47" s="89" t="s">
        <v>658</v>
      </c>
      <c r="E47" s="67">
        <v>440</v>
      </c>
      <c r="F47" s="89" t="s">
        <v>2</v>
      </c>
      <c r="G47" s="90">
        <v>45020</v>
      </c>
      <c r="H47" s="90"/>
      <c r="I47" s="91">
        <v>2073456</v>
      </c>
      <c r="J47" s="91">
        <v>0</v>
      </c>
      <c r="K47" s="91">
        <v>0</v>
      </c>
      <c r="L47" s="91">
        <v>0</v>
      </c>
      <c r="M47" s="91">
        <v>0</v>
      </c>
      <c r="N47" s="91">
        <v>0</v>
      </c>
      <c r="O47" s="91">
        <v>0</v>
      </c>
      <c r="P47" s="91">
        <v>0</v>
      </c>
      <c r="Q47" s="91">
        <v>0</v>
      </c>
      <c r="R47" s="91">
        <v>0</v>
      </c>
      <c r="S47" s="91">
        <v>0</v>
      </c>
      <c r="T47" s="91">
        <v>5440.85</v>
      </c>
      <c r="U47" s="91">
        <v>5440.85</v>
      </c>
      <c r="V47" s="91">
        <v>-5440.85</v>
      </c>
      <c r="W47" s="91">
        <v>0</v>
      </c>
      <c r="X47" s="91">
        <v>0</v>
      </c>
      <c r="Y47" s="119">
        <v>0</v>
      </c>
      <c r="Z47" s="92">
        <f t="shared" si="0"/>
        <v>-5440.85</v>
      </c>
    </row>
    <row r="48" spans="1:26" x14ac:dyDescent="0.2">
      <c r="A48" s="89" t="s">
        <v>940</v>
      </c>
      <c r="B48" s="89" t="s">
        <v>950</v>
      </c>
      <c r="C48" s="89">
        <v>300</v>
      </c>
      <c r="D48" s="89" t="s">
        <v>658</v>
      </c>
      <c r="E48" s="67">
        <v>440</v>
      </c>
      <c r="F48" s="89" t="s">
        <v>2</v>
      </c>
      <c r="G48" s="90">
        <v>45020</v>
      </c>
      <c r="H48" s="90"/>
      <c r="I48" s="91">
        <v>1760000</v>
      </c>
      <c r="J48" s="91">
        <v>0</v>
      </c>
      <c r="K48" s="91">
        <v>0</v>
      </c>
      <c r="L48" s="91">
        <v>0</v>
      </c>
      <c r="M48" s="91">
        <v>0</v>
      </c>
      <c r="N48" s="91">
        <v>0</v>
      </c>
      <c r="O48" s="91">
        <v>0</v>
      </c>
      <c r="P48" s="91">
        <v>0</v>
      </c>
      <c r="Q48" s="91">
        <v>0</v>
      </c>
      <c r="R48" s="91">
        <v>0</v>
      </c>
      <c r="S48" s="91">
        <v>0</v>
      </c>
      <c r="T48" s="91">
        <v>0</v>
      </c>
      <c r="U48" s="91">
        <v>0</v>
      </c>
      <c r="V48" s="91">
        <v>0</v>
      </c>
      <c r="W48" s="91">
        <v>0</v>
      </c>
      <c r="X48" s="91">
        <v>0</v>
      </c>
      <c r="Y48" s="119">
        <v>0</v>
      </c>
      <c r="Z48" s="92">
        <f t="shared" si="0"/>
        <v>0</v>
      </c>
    </row>
    <row r="49" spans="1:26" x14ac:dyDescent="0.2">
      <c r="A49" s="89" t="s">
        <v>941</v>
      </c>
      <c r="B49" s="89" t="s">
        <v>951</v>
      </c>
      <c r="C49" s="89">
        <v>300</v>
      </c>
      <c r="D49" s="89" t="s">
        <v>658</v>
      </c>
      <c r="E49" s="67">
        <v>440</v>
      </c>
      <c r="F49" s="89" t="s">
        <v>2</v>
      </c>
      <c r="G49" s="90">
        <v>45020</v>
      </c>
      <c r="H49" s="90"/>
      <c r="I49" s="91">
        <v>2996840</v>
      </c>
      <c r="J49" s="91">
        <v>0</v>
      </c>
      <c r="K49" s="91">
        <v>0</v>
      </c>
      <c r="L49" s="91">
        <v>117529.63999999998</v>
      </c>
      <c r="M49" s="91">
        <v>0</v>
      </c>
      <c r="N49" s="91">
        <v>0</v>
      </c>
      <c r="O49" s="91">
        <v>117529.63999999998</v>
      </c>
      <c r="P49" s="91">
        <v>0</v>
      </c>
      <c r="Q49" s="91">
        <v>0</v>
      </c>
      <c r="R49" s="91">
        <v>0</v>
      </c>
      <c r="S49" s="91">
        <v>0</v>
      </c>
      <c r="T49" s="91">
        <v>21970.04</v>
      </c>
      <c r="U49" s="91">
        <v>21970.04</v>
      </c>
      <c r="V49" s="91">
        <v>95559.599999999991</v>
      </c>
      <c r="W49" s="91">
        <v>0</v>
      </c>
      <c r="X49" s="91">
        <v>0</v>
      </c>
      <c r="Y49" s="119">
        <v>0</v>
      </c>
      <c r="Z49" s="92">
        <f t="shared" si="0"/>
        <v>95559.599999999991</v>
      </c>
    </row>
    <row r="50" spans="1:26" x14ac:dyDescent="0.2">
      <c r="A50" s="89" t="s">
        <v>982</v>
      </c>
      <c r="B50" s="89" t="s">
        <v>983</v>
      </c>
      <c r="C50" s="89">
        <v>300</v>
      </c>
      <c r="D50" s="89" t="s">
        <v>658</v>
      </c>
      <c r="E50" s="67">
        <v>404</v>
      </c>
      <c r="F50" s="89" t="s">
        <v>237</v>
      </c>
      <c r="G50" s="90">
        <v>44226</v>
      </c>
      <c r="H50" s="90">
        <v>43430</v>
      </c>
      <c r="I50" s="91">
        <v>0</v>
      </c>
      <c r="J50" s="91">
        <v>0</v>
      </c>
      <c r="K50" s="91">
        <v>0</v>
      </c>
      <c r="L50" s="91">
        <v>0</v>
      </c>
      <c r="M50" s="91">
        <v>0</v>
      </c>
      <c r="N50" s="91">
        <v>0</v>
      </c>
      <c r="O50" s="91">
        <v>0</v>
      </c>
      <c r="P50" s="91">
        <v>0</v>
      </c>
      <c r="Q50" s="91">
        <v>0</v>
      </c>
      <c r="R50" s="91">
        <v>0</v>
      </c>
      <c r="S50" s="91">
        <v>0</v>
      </c>
      <c r="T50" s="91">
        <v>0</v>
      </c>
      <c r="U50" s="91">
        <v>0</v>
      </c>
      <c r="V50" s="91">
        <v>0</v>
      </c>
      <c r="W50" s="91">
        <v>0</v>
      </c>
      <c r="X50" s="91">
        <v>0</v>
      </c>
      <c r="Y50" s="119">
        <v>0</v>
      </c>
      <c r="Z50" s="92">
        <f t="shared" si="0"/>
        <v>0</v>
      </c>
    </row>
    <row r="51" spans="1:26" x14ac:dyDescent="0.2">
      <c r="A51" s="89" t="s">
        <v>417</v>
      </c>
      <c r="B51" s="89" t="s">
        <v>418</v>
      </c>
      <c r="C51" s="89">
        <v>300</v>
      </c>
      <c r="D51" s="89" t="s">
        <v>658</v>
      </c>
      <c r="E51" s="67">
        <v>360</v>
      </c>
      <c r="F51" s="89" t="s">
        <v>91</v>
      </c>
      <c r="G51" s="90">
        <v>44226</v>
      </c>
      <c r="H51" s="90">
        <v>43655</v>
      </c>
      <c r="I51" s="91">
        <v>0</v>
      </c>
      <c r="J51" s="91">
        <v>0</v>
      </c>
      <c r="K51" s="91">
        <v>0</v>
      </c>
      <c r="L51" s="91">
        <v>0</v>
      </c>
      <c r="M51" s="91">
        <v>0</v>
      </c>
      <c r="N51" s="91">
        <v>0</v>
      </c>
      <c r="O51" s="91">
        <v>0</v>
      </c>
      <c r="P51" s="91">
        <v>0</v>
      </c>
      <c r="Q51" s="91">
        <v>0</v>
      </c>
      <c r="R51" s="91">
        <v>0</v>
      </c>
      <c r="S51" s="91">
        <v>0</v>
      </c>
      <c r="T51" s="91">
        <v>0</v>
      </c>
      <c r="U51" s="91">
        <v>0</v>
      </c>
      <c r="V51" s="91">
        <v>0</v>
      </c>
      <c r="W51" s="91">
        <v>0</v>
      </c>
      <c r="X51" s="91">
        <v>0</v>
      </c>
      <c r="Y51" s="119">
        <v>0</v>
      </c>
      <c r="Z51" s="92">
        <f t="shared" si="0"/>
        <v>0</v>
      </c>
    </row>
    <row r="52" spans="1:26" x14ac:dyDescent="0.2">
      <c r="A52" s="89" t="s">
        <v>988</v>
      </c>
      <c r="B52" s="89" t="s">
        <v>989</v>
      </c>
      <c r="C52" s="89">
        <v>300</v>
      </c>
      <c r="D52" s="89" t="s">
        <v>658</v>
      </c>
      <c r="E52" s="67">
        <v>360</v>
      </c>
      <c r="F52" s="89" t="s">
        <v>91</v>
      </c>
      <c r="G52" s="90">
        <v>44226</v>
      </c>
      <c r="H52" s="90">
        <v>43038</v>
      </c>
      <c r="I52" s="91">
        <v>0</v>
      </c>
      <c r="J52" s="91">
        <v>0</v>
      </c>
      <c r="K52" s="91">
        <v>0</v>
      </c>
      <c r="L52" s="91">
        <v>0</v>
      </c>
      <c r="M52" s="91">
        <v>0</v>
      </c>
      <c r="N52" s="91">
        <v>0</v>
      </c>
      <c r="O52" s="91">
        <v>0</v>
      </c>
      <c r="P52" s="91">
        <v>0</v>
      </c>
      <c r="Q52" s="91">
        <v>0</v>
      </c>
      <c r="R52" s="91">
        <v>0</v>
      </c>
      <c r="S52" s="91">
        <v>0</v>
      </c>
      <c r="T52" s="91">
        <v>0</v>
      </c>
      <c r="U52" s="91">
        <v>0</v>
      </c>
      <c r="V52" s="91">
        <v>0</v>
      </c>
      <c r="W52" s="91">
        <v>0</v>
      </c>
      <c r="X52" s="91">
        <v>0</v>
      </c>
      <c r="Y52" s="119">
        <v>0</v>
      </c>
      <c r="Z52" s="92">
        <f t="shared" si="0"/>
        <v>0</v>
      </c>
    </row>
    <row r="53" spans="1:26" x14ac:dyDescent="0.2">
      <c r="A53" s="89" t="s">
        <v>990</v>
      </c>
      <c r="B53" s="89" t="s">
        <v>991</v>
      </c>
      <c r="C53" s="89">
        <v>300</v>
      </c>
      <c r="D53" s="89" t="s">
        <v>658</v>
      </c>
      <c r="E53" s="67">
        <v>302</v>
      </c>
      <c r="F53" s="89" t="s">
        <v>992</v>
      </c>
      <c r="G53" s="90">
        <v>44226</v>
      </c>
      <c r="H53" s="90">
        <v>43405</v>
      </c>
      <c r="I53" s="91">
        <v>0</v>
      </c>
      <c r="J53" s="91">
        <v>0</v>
      </c>
      <c r="K53" s="91">
        <v>0</v>
      </c>
      <c r="L53" s="91">
        <v>0</v>
      </c>
      <c r="M53" s="91">
        <v>0</v>
      </c>
      <c r="N53" s="91">
        <v>0</v>
      </c>
      <c r="O53" s="91">
        <v>0</v>
      </c>
      <c r="P53" s="91">
        <v>0</v>
      </c>
      <c r="Q53" s="91">
        <v>0</v>
      </c>
      <c r="R53" s="91">
        <v>0</v>
      </c>
      <c r="S53" s="91">
        <v>0</v>
      </c>
      <c r="T53" s="91">
        <v>0</v>
      </c>
      <c r="U53" s="91">
        <v>0</v>
      </c>
      <c r="V53" s="91">
        <v>0</v>
      </c>
      <c r="W53" s="91">
        <v>0</v>
      </c>
      <c r="X53" s="91">
        <v>0</v>
      </c>
      <c r="Y53" s="119">
        <v>0</v>
      </c>
      <c r="Z53" s="92">
        <f t="shared" si="0"/>
        <v>0</v>
      </c>
    </row>
    <row r="54" spans="1:26" x14ac:dyDescent="0.2">
      <c r="A54" s="89" t="s">
        <v>993</v>
      </c>
      <c r="B54" s="89" t="s">
        <v>994</v>
      </c>
      <c r="C54" s="89">
        <v>300</v>
      </c>
      <c r="D54" s="89" t="s">
        <v>658</v>
      </c>
      <c r="E54" s="67">
        <v>404</v>
      </c>
      <c r="F54" s="89" t="s">
        <v>237</v>
      </c>
      <c r="G54" s="90">
        <v>44226</v>
      </c>
      <c r="H54" s="90">
        <v>42208</v>
      </c>
      <c r="I54" s="91">
        <v>0</v>
      </c>
      <c r="J54" s="91">
        <v>0</v>
      </c>
      <c r="K54" s="91">
        <v>0</v>
      </c>
      <c r="L54" s="91">
        <v>0</v>
      </c>
      <c r="M54" s="91">
        <v>0</v>
      </c>
      <c r="N54" s="91">
        <v>0</v>
      </c>
      <c r="O54" s="91">
        <v>0</v>
      </c>
      <c r="P54" s="91">
        <v>0</v>
      </c>
      <c r="Q54" s="91">
        <v>0</v>
      </c>
      <c r="R54" s="91">
        <v>0</v>
      </c>
      <c r="S54" s="91">
        <v>0</v>
      </c>
      <c r="T54" s="91">
        <v>0</v>
      </c>
      <c r="U54" s="91">
        <v>0</v>
      </c>
      <c r="V54" s="91">
        <v>0</v>
      </c>
      <c r="W54" s="91">
        <v>0</v>
      </c>
      <c r="X54" s="91">
        <v>0</v>
      </c>
      <c r="Y54" s="119">
        <v>0</v>
      </c>
      <c r="Z54" s="92">
        <f t="shared" si="0"/>
        <v>0</v>
      </c>
    </row>
    <row r="55" spans="1:26" x14ac:dyDescent="0.2">
      <c r="A55" s="89" t="s">
        <v>998</v>
      </c>
      <c r="B55" s="89" t="s">
        <v>999</v>
      </c>
      <c r="C55" s="89">
        <v>300</v>
      </c>
      <c r="D55" s="89" t="s">
        <v>658</v>
      </c>
      <c r="E55" s="67">
        <v>440</v>
      </c>
      <c r="F55" s="89" t="s">
        <v>2</v>
      </c>
      <c r="G55" s="90">
        <v>44226</v>
      </c>
      <c r="H55" s="90">
        <v>43606</v>
      </c>
      <c r="I55" s="91">
        <v>0</v>
      </c>
      <c r="J55" s="91">
        <v>-9800</v>
      </c>
      <c r="K55" s="91">
        <v>0</v>
      </c>
      <c r="L55" s="91">
        <v>0</v>
      </c>
      <c r="M55" s="91">
        <v>0</v>
      </c>
      <c r="N55" s="91">
        <v>0</v>
      </c>
      <c r="O55" s="91">
        <v>-9800</v>
      </c>
      <c r="P55" s="91">
        <v>0</v>
      </c>
      <c r="Q55" s="91">
        <v>0</v>
      </c>
      <c r="R55" s="91">
        <v>0</v>
      </c>
      <c r="S55" s="91">
        <v>0</v>
      </c>
      <c r="T55" s="91">
        <v>0</v>
      </c>
      <c r="U55" s="91">
        <v>0</v>
      </c>
      <c r="V55" s="91">
        <v>-9800</v>
      </c>
      <c r="W55" s="91">
        <v>0</v>
      </c>
      <c r="X55" s="91">
        <v>0</v>
      </c>
      <c r="Y55" s="119">
        <v>0</v>
      </c>
      <c r="Z55" s="92">
        <f t="shared" si="0"/>
        <v>-9800</v>
      </c>
    </row>
    <row r="56" spans="1:26" x14ac:dyDescent="0.2">
      <c r="A56" s="89" t="s">
        <v>1000</v>
      </c>
      <c r="B56" s="89" t="s">
        <v>1001</v>
      </c>
      <c r="C56" s="89">
        <v>300</v>
      </c>
      <c r="D56" s="89" t="s">
        <v>658</v>
      </c>
      <c r="E56" s="67" t="s">
        <v>1002</v>
      </c>
      <c r="F56" s="89" t="s">
        <v>1003</v>
      </c>
      <c r="G56" s="90">
        <v>45070</v>
      </c>
      <c r="H56" s="90"/>
      <c r="I56" s="91">
        <v>60500</v>
      </c>
      <c r="J56" s="91">
        <v>0</v>
      </c>
      <c r="K56" s="91">
        <v>0</v>
      </c>
      <c r="L56" s="91">
        <v>0</v>
      </c>
      <c r="M56" s="91">
        <v>0</v>
      </c>
      <c r="N56" s="91">
        <v>0</v>
      </c>
      <c r="O56" s="91">
        <v>0</v>
      </c>
      <c r="P56" s="91">
        <v>0</v>
      </c>
      <c r="Q56" s="91">
        <v>0</v>
      </c>
      <c r="R56" s="91">
        <v>0</v>
      </c>
      <c r="S56" s="91">
        <v>0</v>
      </c>
      <c r="T56" s="91">
        <v>0</v>
      </c>
      <c r="U56" s="91">
        <v>0</v>
      </c>
      <c r="V56" s="91">
        <v>0</v>
      </c>
      <c r="W56" s="91">
        <v>0</v>
      </c>
      <c r="X56" s="91">
        <v>0</v>
      </c>
      <c r="Y56" s="119">
        <v>0</v>
      </c>
      <c r="Z56" s="92">
        <f t="shared" si="0"/>
        <v>0</v>
      </c>
    </row>
    <row r="57" spans="1:26" x14ac:dyDescent="0.2">
      <c r="A57" s="89" t="s">
        <v>984</v>
      </c>
      <c r="B57" s="89" t="s">
        <v>985</v>
      </c>
      <c r="C57" s="89">
        <v>300</v>
      </c>
      <c r="D57" s="89" t="s">
        <v>658</v>
      </c>
      <c r="E57" s="67">
        <v>360</v>
      </c>
      <c r="F57" s="89" t="s">
        <v>1016</v>
      </c>
      <c r="G57" s="90">
        <v>0</v>
      </c>
      <c r="H57" s="90">
        <v>0</v>
      </c>
      <c r="I57" s="91">
        <v>0</v>
      </c>
      <c r="J57" s="91">
        <v>0</v>
      </c>
      <c r="K57" s="91">
        <v>0</v>
      </c>
      <c r="L57" s="91">
        <v>0</v>
      </c>
      <c r="M57" s="91">
        <v>0</v>
      </c>
      <c r="N57" s="91">
        <v>0</v>
      </c>
      <c r="O57" s="91">
        <v>0</v>
      </c>
      <c r="P57" s="91">
        <v>0</v>
      </c>
      <c r="Q57" s="91">
        <v>0</v>
      </c>
      <c r="R57" s="91">
        <v>0</v>
      </c>
      <c r="S57" s="91">
        <v>0</v>
      </c>
      <c r="T57" s="91">
        <v>0</v>
      </c>
      <c r="U57" s="91">
        <v>0</v>
      </c>
      <c r="V57" s="91">
        <v>0</v>
      </c>
      <c r="W57" s="91">
        <v>0</v>
      </c>
      <c r="X57" s="91">
        <v>0</v>
      </c>
      <c r="Y57" s="119">
        <v>0</v>
      </c>
      <c r="Z57" s="92">
        <f t="shared" si="0"/>
        <v>0</v>
      </c>
    </row>
    <row r="58" spans="1:26" x14ac:dyDescent="0.2">
      <c r="A58" s="89" t="s">
        <v>1017</v>
      </c>
      <c r="B58" s="89" t="s">
        <v>1018</v>
      </c>
      <c r="C58" s="89">
        <v>300</v>
      </c>
      <c r="D58" s="89" t="s">
        <v>658</v>
      </c>
      <c r="E58" s="67">
        <v>437</v>
      </c>
      <c r="F58" s="89" t="s">
        <v>246</v>
      </c>
      <c r="G58" s="90">
        <v>0</v>
      </c>
      <c r="H58" s="90">
        <v>0</v>
      </c>
      <c r="I58" s="91">
        <v>0</v>
      </c>
      <c r="J58" s="91">
        <v>0</v>
      </c>
      <c r="K58" s="91">
        <v>0</v>
      </c>
      <c r="L58" s="91">
        <v>0</v>
      </c>
      <c r="M58" s="91">
        <v>0</v>
      </c>
      <c r="N58" s="91">
        <v>0</v>
      </c>
      <c r="O58" s="91">
        <v>0</v>
      </c>
      <c r="P58" s="91">
        <v>0</v>
      </c>
      <c r="Q58" s="91">
        <v>0</v>
      </c>
      <c r="R58" s="91">
        <v>0</v>
      </c>
      <c r="S58" s="91">
        <v>0</v>
      </c>
      <c r="T58" s="91">
        <v>0</v>
      </c>
      <c r="U58" s="91">
        <v>0</v>
      </c>
      <c r="V58" s="91">
        <v>0</v>
      </c>
      <c r="W58" s="91">
        <v>0</v>
      </c>
      <c r="X58" s="91">
        <v>0</v>
      </c>
      <c r="Y58" s="119">
        <v>0</v>
      </c>
      <c r="Z58" s="92">
        <f t="shared" si="0"/>
        <v>0</v>
      </c>
    </row>
    <row r="59" spans="1:26" x14ac:dyDescent="0.2">
      <c r="A59" s="89" t="s">
        <v>1019</v>
      </c>
      <c r="B59" s="89" t="s">
        <v>1020</v>
      </c>
      <c r="C59" s="89">
        <v>300</v>
      </c>
      <c r="D59" s="89" t="s">
        <v>658</v>
      </c>
      <c r="E59" s="67">
        <v>440</v>
      </c>
      <c r="F59" s="89" t="s">
        <v>2</v>
      </c>
      <c r="G59" s="90">
        <v>0</v>
      </c>
      <c r="H59" s="90">
        <v>0</v>
      </c>
      <c r="I59" s="91">
        <v>0</v>
      </c>
      <c r="J59" s="91">
        <v>0</v>
      </c>
      <c r="K59" s="91">
        <v>0</v>
      </c>
      <c r="L59" s="91">
        <v>0</v>
      </c>
      <c r="M59" s="91">
        <v>0</v>
      </c>
      <c r="N59" s="91">
        <v>0</v>
      </c>
      <c r="O59" s="91">
        <v>0</v>
      </c>
      <c r="P59" s="91">
        <v>0</v>
      </c>
      <c r="Q59" s="91">
        <v>0</v>
      </c>
      <c r="R59" s="91">
        <v>0</v>
      </c>
      <c r="S59" s="91">
        <v>0</v>
      </c>
      <c r="T59" s="91">
        <v>0</v>
      </c>
      <c r="U59" s="91">
        <v>0</v>
      </c>
      <c r="V59" s="91">
        <v>0</v>
      </c>
      <c r="W59" s="91">
        <v>0</v>
      </c>
      <c r="X59" s="91">
        <v>0</v>
      </c>
      <c r="Y59" s="119">
        <v>0</v>
      </c>
      <c r="Z59" s="92">
        <f t="shared" si="0"/>
        <v>0</v>
      </c>
    </row>
    <row r="60" spans="1:26" x14ac:dyDescent="0.2">
      <c r="A60" s="89" t="s">
        <v>1021</v>
      </c>
      <c r="B60" s="89" t="s">
        <v>1022</v>
      </c>
      <c r="C60" s="89">
        <v>300</v>
      </c>
      <c r="D60" s="89" t="s">
        <v>658</v>
      </c>
      <c r="E60" s="67">
        <v>40406</v>
      </c>
      <c r="F60" s="89" t="s">
        <v>1016</v>
      </c>
      <c r="G60" s="90">
        <v>0</v>
      </c>
      <c r="H60" s="90">
        <v>0</v>
      </c>
      <c r="I60" s="91">
        <v>0</v>
      </c>
      <c r="J60" s="91">
        <v>0</v>
      </c>
      <c r="K60" s="91">
        <v>0</v>
      </c>
      <c r="L60" s="91">
        <v>0</v>
      </c>
      <c r="M60" s="91">
        <v>0</v>
      </c>
      <c r="N60" s="91">
        <v>0</v>
      </c>
      <c r="O60" s="91">
        <v>0</v>
      </c>
      <c r="P60" s="91">
        <v>0</v>
      </c>
      <c r="Q60" s="91">
        <v>0</v>
      </c>
      <c r="R60" s="91">
        <v>0</v>
      </c>
      <c r="S60" s="91">
        <v>0</v>
      </c>
      <c r="T60" s="91">
        <v>0</v>
      </c>
      <c r="U60" s="91">
        <v>0</v>
      </c>
      <c r="V60" s="91">
        <v>0</v>
      </c>
      <c r="W60" s="91">
        <v>0</v>
      </c>
      <c r="X60" s="91">
        <v>0</v>
      </c>
      <c r="Y60" s="119">
        <v>0</v>
      </c>
      <c r="Z60" s="92">
        <f t="shared" si="0"/>
        <v>0</v>
      </c>
    </row>
    <row r="61" spans="1:26" x14ac:dyDescent="0.2">
      <c r="A61" s="89" t="s">
        <v>1023</v>
      </c>
      <c r="B61" s="89" t="s">
        <v>1024</v>
      </c>
      <c r="C61" s="89">
        <v>300</v>
      </c>
      <c r="D61" s="89" t="s">
        <v>658</v>
      </c>
      <c r="E61" s="67" t="s">
        <v>56</v>
      </c>
      <c r="F61" s="89" t="s">
        <v>57</v>
      </c>
      <c r="G61" s="90">
        <v>45141</v>
      </c>
      <c r="H61" s="90"/>
      <c r="I61" s="91">
        <v>55000</v>
      </c>
      <c r="J61" s="91">
        <v>0</v>
      </c>
      <c r="K61" s="91">
        <v>0</v>
      </c>
      <c r="L61" s="91">
        <v>0</v>
      </c>
      <c r="M61" s="91">
        <v>0</v>
      </c>
      <c r="N61" s="91">
        <v>0</v>
      </c>
      <c r="O61" s="91">
        <v>0</v>
      </c>
      <c r="P61" s="91">
        <v>0</v>
      </c>
      <c r="Q61" s="91">
        <v>0</v>
      </c>
      <c r="R61" s="91">
        <v>0</v>
      </c>
      <c r="S61" s="91">
        <v>0</v>
      </c>
      <c r="T61" s="91">
        <v>0</v>
      </c>
      <c r="U61" s="91">
        <v>0</v>
      </c>
      <c r="V61" s="91">
        <v>0</v>
      </c>
      <c r="W61" s="91">
        <v>0</v>
      </c>
      <c r="X61" s="91">
        <v>0</v>
      </c>
      <c r="Y61" s="119">
        <v>0</v>
      </c>
      <c r="Z61" s="92">
        <f t="shared" si="0"/>
        <v>0</v>
      </c>
    </row>
    <row r="62" spans="1:26" x14ac:dyDescent="0.2">
      <c r="A62" s="89" t="s">
        <v>41</v>
      </c>
      <c r="B62" s="89" t="s">
        <v>42</v>
      </c>
      <c r="C62" s="89">
        <v>300</v>
      </c>
      <c r="D62" s="89" t="s">
        <v>658</v>
      </c>
      <c r="E62" s="67">
        <v>440</v>
      </c>
      <c r="F62" s="89" t="s">
        <v>2</v>
      </c>
      <c r="G62" s="90">
        <v>44371</v>
      </c>
      <c r="H62" s="90"/>
      <c r="I62" s="91">
        <v>3193960</v>
      </c>
      <c r="J62" s="91">
        <v>0</v>
      </c>
      <c r="K62" s="91">
        <v>0</v>
      </c>
      <c r="L62" s="91">
        <v>0</v>
      </c>
      <c r="M62" s="91">
        <v>0</v>
      </c>
      <c r="N62" s="91">
        <v>0</v>
      </c>
      <c r="O62" s="91">
        <v>0</v>
      </c>
      <c r="P62" s="91">
        <v>0</v>
      </c>
      <c r="Q62" s="91">
        <v>0</v>
      </c>
      <c r="R62" s="91">
        <v>0</v>
      </c>
      <c r="S62" s="91">
        <v>0</v>
      </c>
      <c r="T62" s="91">
        <v>0</v>
      </c>
      <c r="U62" s="91">
        <v>0</v>
      </c>
      <c r="V62" s="91">
        <v>0</v>
      </c>
      <c r="W62" s="91">
        <v>0</v>
      </c>
      <c r="X62" s="91">
        <v>0</v>
      </c>
      <c r="Y62" s="119">
        <v>0</v>
      </c>
      <c r="Z62" s="92">
        <f t="shared" si="0"/>
        <v>0</v>
      </c>
    </row>
    <row r="63" spans="1:26" x14ac:dyDescent="0.2">
      <c r="A63" s="89" t="s">
        <v>556</v>
      </c>
      <c r="B63" s="89" t="s">
        <v>557</v>
      </c>
      <c r="C63" s="89">
        <v>300</v>
      </c>
      <c r="D63" s="89" t="s">
        <v>658</v>
      </c>
      <c r="E63" s="67">
        <v>460</v>
      </c>
      <c r="F63" s="89" t="s">
        <v>264</v>
      </c>
      <c r="G63" s="90">
        <v>44226</v>
      </c>
      <c r="H63" s="90">
        <v>43620</v>
      </c>
      <c r="I63" s="91">
        <v>0</v>
      </c>
      <c r="J63" s="91">
        <v>0</v>
      </c>
      <c r="K63" s="91">
        <v>0</v>
      </c>
      <c r="L63" s="91">
        <v>0</v>
      </c>
      <c r="M63" s="91">
        <v>0</v>
      </c>
      <c r="N63" s="91">
        <v>0</v>
      </c>
      <c r="O63" s="91">
        <v>0</v>
      </c>
      <c r="P63" s="91">
        <v>0</v>
      </c>
      <c r="Q63" s="91">
        <v>0</v>
      </c>
      <c r="R63" s="91">
        <v>0</v>
      </c>
      <c r="S63" s="91">
        <v>572.16999999999996</v>
      </c>
      <c r="T63" s="91">
        <v>0</v>
      </c>
      <c r="U63" s="91">
        <v>572.16999999999996</v>
      </c>
      <c r="V63" s="91">
        <v>-572.16999999999996</v>
      </c>
      <c r="W63" s="91">
        <v>0</v>
      </c>
      <c r="X63" s="91">
        <v>3278.06</v>
      </c>
      <c r="Y63" s="119">
        <v>3278.06</v>
      </c>
      <c r="Z63" s="92">
        <f t="shared" si="0"/>
        <v>-3850.23</v>
      </c>
    </row>
    <row r="64" spans="1:26" x14ac:dyDescent="0.2">
      <c r="A64" s="89" t="s">
        <v>1071</v>
      </c>
      <c r="B64" s="89" t="s">
        <v>1072</v>
      </c>
      <c r="C64" s="89">
        <v>300</v>
      </c>
      <c r="D64" s="89" t="s">
        <v>658</v>
      </c>
      <c r="E64" s="67" t="s">
        <v>1073</v>
      </c>
      <c r="F64" s="89" t="s">
        <v>1074</v>
      </c>
      <c r="G64" s="90">
        <v>45133</v>
      </c>
      <c r="H64" s="90"/>
      <c r="I64" s="91">
        <v>1634140</v>
      </c>
      <c r="J64" s="91">
        <v>0</v>
      </c>
      <c r="K64" s="91">
        <v>0</v>
      </c>
      <c r="L64" s="91">
        <v>0</v>
      </c>
      <c r="M64" s="91">
        <v>0</v>
      </c>
      <c r="N64" s="91">
        <v>0</v>
      </c>
      <c r="O64" s="91">
        <v>0</v>
      </c>
      <c r="P64" s="91">
        <v>0</v>
      </c>
      <c r="Q64" s="91">
        <v>0</v>
      </c>
      <c r="R64" s="91">
        <v>0</v>
      </c>
      <c r="S64" s="91">
        <v>34738.89</v>
      </c>
      <c r="T64" s="91">
        <v>156473.33000000002</v>
      </c>
      <c r="U64" s="91">
        <v>191212.22000000003</v>
      </c>
      <c r="V64" s="91">
        <v>-191212.22000000003</v>
      </c>
      <c r="W64" s="91">
        <v>7153.9699999999993</v>
      </c>
      <c r="X64" s="91">
        <v>0</v>
      </c>
      <c r="Y64" s="119">
        <v>7153.9699999999993</v>
      </c>
      <c r="Z64" s="92">
        <f t="shared" si="0"/>
        <v>-198366.19000000003</v>
      </c>
    </row>
    <row r="65" spans="1:26" x14ac:dyDescent="0.2">
      <c r="A65" s="89" t="s">
        <v>1046</v>
      </c>
      <c r="B65" s="89" t="s">
        <v>1047</v>
      </c>
      <c r="C65" s="89">
        <v>300</v>
      </c>
      <c r="D65" s="89" t="s">
        <v>658</v>
      </c>
      <c r="E65" s="67">
        <v>437</v>
      </c>
      <c r="F65" s="89" t="s">
        <v>246</v>
      </c>
      <c r="G65" s="90">
        <v>45237</v>
      </c>
      <c r="H65" s="90"/>
      <c r="I65" s="91">
        <v>98000</v>
      </c>
      <c r="J65" s="91">
        <v>126036</v>
      </c>
      <c r="K65" s="91">
        <v>0</v>
      </c>
      <c r="L65" s="91">
        <v>0</v>
      </c>
      <c r="M65" s="91">
        <v>0</v>
      </c>
      <c r="N65" s="91">
        <v>0</v>
      </c>
      <c r="O65" s="91">
        <v>126036</v>
      </c>
      <c r="P65" s="91">
        <v>61841.26</v>
      </c>
      <c r="Q65" s="91">
        <v>0</v>
      </c>
      <c r="R65" s="91">
        <v>1019.95</v>
      </c>
      <c r="S65" s="91">
        <v>4009.5</v>
      </c>
      <c r="T65" s="91">
        <v>532.15</v>
      </c>
      <c r="U65" s="91">
        <v>67402.86</v>
      </c>
      <c r="V65" s="91">
        <v>58633.14</v>
      </c>
      <c r="W65" s="91">
        <v>0</v>
      </c>
      <c r="X65" s="91">
        <v>0</v>
      </c>
      <c r="Y65" s="119">
        <v>0</v>
      </c>
      <c r="Z65" s="92">
        <f t="shared" si="0"/>
        <v>58633.14</v>
      </c>
    </row>
    <row r="66" spans="1:26" x14ac:dyDescent="0.2">
      <c r="A66" s="89" t="s">
        <v>1103</v>
      </c>
      <c r="B66" s="89" t="s">
        <v>1104</v>
      </c>
      <c r="C66" s="89">
        <v>300</v>
      </c>
      <c r="D66" s="89" t="s">
        <v>658</v>
      </c>
      <c r="E66" s="67" t="s">
        <v>281</v>
      </c>
      <c r="F66" s="89" t="s">
        <v>282</v>
      </c>
      <c r="G66" s="90">
        <v>45222</v>
      </c>
      <c r="H66" s="90"/>
      <c r="I66" s="91">
        <v>865000</v>
      </c>
      <c r="J66" s="91">
        <v>0</v>
      </c>
      <c r="K66" s="91">
        <v>0</v>
      </c>
      <c r="L66" s="91">
        <v>48163.009999999995</v>
      </c>
      <c r="M66" s="91">
        <v>0</v>
      </c>
      <c r="N66" s="91">
        <v>0</v>
      </c>
      <c r="O66" s="91">
        <v>48163.009999999995</v>
      </c>
      <c r="P66" s="91">
        <v>52505.47</v>
      </c>
      <c r="Q66" s="91">
        <v>53460.11</v>
      </c>
      <c r="R66" s="91">
        <v>1264.47</v>
      </c>
      <c r="S66" s="91">
        <v>29394.120000000003</v>
      </c>
      <c r="T66" s="91">
        <v>56534.26</v>
      </c>
      <c r="U66" s="91">
        <v>193158.43</v>
      </c>
      <c r="V66" s="91">
        <v>-144995.41999999998</v>
      </c>
      <c r="W66" s="91">
        <v>0</v>
      </c>
      <c r="X66" s="91">
        <v>0</v>
      </c>
      <c r="Y66" s="119">
        <v>0</v>
      </c>
      <c r="Z66" s="92">
        <f t="shared" si="0"/>
        <v>-144995.41999999998</v>
      </c>
    </row>
    <row r="67" spans="1:26" x14ac:dyDescent="0.2">
      <c r="A67" s="89" t="s">
        <v>554</v>
      </c>
      <c r="B67" s="89" t="s">
        <v>555</v>
      </c>
      <c r="C67" s="89">
        <v>300</v>
      </c>
      <c r="D67" s="89" t="s">
        <v>658</v>
      </c>
      <c r="E67" s="67">
        <v>460</v>
      </c>
      <c r="F67" s="89" t="s">
        <v>264</v>
      </c>
      <c r="G67" s="90">
        <v>44226</v>
      </c>
      <c r="H67" s="90">
        <v>44407</v>
      </c>
      <c r="I67" s="91">
        <v>0</v>
      </c>
      <c r="J67" s="91">
        <v>0</v>
      </c>
      <c r="K67" s="91">
        <v>0</v>
      </c>
      <c r="L67" s="91">
        <v>0</v>
      </c>
      <c r="M67" s="91">
        <v>0</v>
      </c>
      <c r="N67" s="91">
        <v>0</v>
      </c>
      <c r="O67" s="91">
        <v>0</v>
      </c>
      <c r="P67" s="91">
        <v>0</v>
      </c>
      <c r="Q67" s="91">
        <v>0</v>
      </c>
      <c r="R67" s="91">
        <v>2170.4799999999996</v>
      </c>
      <c r="S67" s="91">
        <v>0</v>
      </c>
      <c r="T67" s="91">
        <v>0</v>
      </c>
      <c r="U67" s="91">
        <v>2170.4799999999996</v>
      </c>
      <c r="V67" s="91">
        <v>-2170.4799999999996</v>
      </c>
      <c r="W67" s="91">
        <v>0</v>
      </c>
      <c r="X67" s="91">
        <v>0</v>
      </c>
      <c r="Y67" s="119">
        <v>0</v>
      </c>
      <c r="Z67" s="92">
        <f t="shared" si="0"/>
        <v>-2170.4799999999996</v>
      </c>
    </row>
    <row r="68" spans="1:26" x14ac:dyDescent="0.2">
      <c r="A68" s="89" t="s">
        <v>364</v>
      </c>
      <c r="B68" s="89" t="s">
        <v>365</v>
      </c>
      <c r="C68" s="89">
        <v>300</v>
      </c>
      <c r="D68" s="89" t="s">
        <v>658</v>
      </c>
      <c r="E68" s="67">
        <v>460</v>
      </c>
      <c r="F68" s="89" t="s">
        <v>264</v>
      </c>
      <c r="G68" s="90">
        <v>44226</v>
      </c>
      <c r="H68" s="90">
        <v>44410</v>
      </c>
      <c r="I68" s="91">
        <v>0</v>
      </c>
      <c r="J68" s="91">
        <v>0</v>
      </c>
      <c r="K68" s="91">
        <v>0</v>
      </c>
      <c r="L68" s="91">
        <v>0</v>
      </c>
      <c r="M68" s="91">
        <v>0</v>
      </c>
      <c r="N68" s="91">
        <v>0</v>
      </c>
      <c r="O68" s="91">
        <v>0</v>
      </c>
      <c r="P68" s="91">
        <v>0</v>
      </c>
      <c r="Q68" s="91">
        <v>0</v>
      </c>
      <c r="R68" s="91">
        <v>1003.54</v>
      </c>
      <c r="S68" s="91">
        <v>0</v>
      </c>
      <c r="T68" s="91">
        <v>0</v>
      </c>
      <c r="U68" s="91">
        <v>1003.54</v>
      </c>
      <c r="V68" s="91">
        <v>-1003.54</v>
      </c>
      <c r="W68" s="91">
        <v>0</v>
      </c>
      <c r="X68" s="91">
        <v>0</v>
      </c>
      <c r="Y68" s="119">
        <v>0</v>
      </c>
      <c r="Z68" s="92">
        <f t="shared" ref="Z68:Z90" si="1">V68-Y68</f>
        <v>-1003.54</v>
      </c>
    </row>
    <row r="69" spans="1:26" x14ac:dyDescent="0.2">
      <c r="A69" s="89" t="s">
        <v>560</v>
      </c>
      <c r="B69" s="89" t="s">
        <v>561</v>
      </c>
      <c r="C69" s="89">
        <v>300</v>
      </c>
      <c r="D69" s="89" t="s">
        <v>658</v>
      </c>
      <c r="E69" s="67">
        <v>460</v>
      </c>
      <c r="F69" s="89" t="s">
        <v>264</v>
      </c>
      <c r="G69" s="90">
        <v>44431</v>
      </c>
      <c r="H69" s="90">
        <v>44770</v>
      </c>
      <c r="I69" s="91">
        <v>3950325.7</v>
      </c>
      <c r="J69" s="91">
        <v>0</v>
      </c>
      <c r="K69" s="91">
        <v>0</v>
      </c>
      <c r="L69" s="91">
        <v>0</v>
      </c>
      <c r="M69" s="91">
        <v>0</v>
      </c>
      <c r="N69" s="91">
        <v>0</v>
      </c>
      <c r="O69" s="91">
        <v>0</v>
      </c>
      <c r="P69" s="91">
        <v>26833.040000000001</v>
      </c>
      <c r="Q69" s="91">
        <v>0</v>
      </c>
      <c r="R69" s="91">
        <v>30241.870000000003</v>
      </c>
      <c r="S69" s="91">
        <v>0</v>
      </c>
      <c r="T69" s="91">
        <v>0</v>
      </c>
      <c r="U69" s="91">
        <v>57074.91</v>
      </c>
      <c r="V69" s="91">
        <v>-57074.91</v>
      </c>
      <c r="W69" s="91">
        <v>0</v>
      </c>
      <c r="X69" s="91">
        <v>29294.089999999997</v>
      </c>
      <c r="Y69" s="119">
        <v>29294.089999999997</v>
      </c>
      <c r="Z69" s="92">
        <f t="shared" si="1"/>
        <v>-86369</v>
      </c>
    </row>
    <row r="70" spans="1:26" x14ac:dyDescent="0.2">
      <c r="A70" s="89" t="s">
        <v>826</v>
      </c>
      <c r="B70" s="89" t="s">
        <v>827</v>
      </c>
      <c r="C70" s="89">
        <v>300</v>
      </c>
      <c r="D70" s="89" t="s">
        <v>658</v>
      </c>
      <c r="E70" s="67">
        <v>460</v>
      </c>
      <c r="F70" s="89" t="s">
        <v>264</v>
      </c>
      <c r="G70" s="90">
        <v>44851</v>
      </c>
      <c r="H70" s="90">
        <v>45153</v>
      </c>
      <c r="I70" s="91">
        <v>3652691.5</v>
      </c>
      <c r="J70" s="91">
        <v>0</v>
      </c>
      <c r="K70" s="91">
        <v>0</v>
      </c>
      <c r="L70" s="91">
        <v>0</v>
      </c>
      <c r="M70" s="91">
        <v>0</v>
      </c>
      <c r="N70" s="91">
        <v>0</v>
      </c>
      <c r="O70" s="91">
        <v>0</v>
      </c>
      <c r="P70" s="91">
        <v>17884.309999999998</v>
      </c>
      <c r="Q70" s="91">
        <v>0</v>
      </c>
      <c r="R70" s="91">
        <v>22826.3</v>
      </c>
      <c r="S70" s="91">
        <v>0</v>
      </c>
      <c r="T70" s="91">
        <v>0</v>
      </c>
      <c r="U70" s="91">
        <v>40710.61</v>
      </c>
      <c r="V70" s="91">
        <v>-40710.61</v>
      </c>
      <c r="W70" s="91">
        <v>0</v>
      </c>
      <c r="X70" s="91">
        <v>5668.33</v>
      </c>
      <c r="Y70" s="119">
        <v>5668.33</v>
      </c>
      <c r="Z70" s="92">
        <f t="shared" si="1"/>
        <v>-46378.94</v>
      </c>
    </row>
    <row r="71" spans="1:26" x14ac:dyDescent="0.2">
      <c r="A71" s="89" t="s">
        <v>833</v>
      </c>
      <c r="B71" s="89" t="s">
        <v>834</v>
      </c>
      <c r="C71" s="89">
        <v>300</v>
      </c>
      <c r="D71" s="89" t="s">
        <v>658</v>
      </c>
      <c r="E71" s="67">
        <v>460</v>
      </c>
      <c r="F71" s="89" t="s">
        <v>264</v>
      </c>
      <c r="G71" s="90">
        <v>44872</v>
      </c>
      <c r="H71" s="90">
        <v>45092</v>
      </c>
      <c r="I71" s="91">
        <v>397100</v>
      </c>
      <c r="J71" s="91">
        <v>0</v>
      </c>
      <c r="K71" s="91">
        <v>0</v>
      </c>
      <c r="L71" s="91">
        <v>0</v>
      </c>
      <c r="M71" s="91">
        <v>0</v>
      </c>
      <c r="N71" s="91">
        <v>0</v>
      </c>
      <c r="O71" s="91">
        <v>0</v>
      </c>
      <c r="P71" s="91">
        <v>0</v>
      </c>
      <c r="Q71" s="91">
        <v>0</v>
      </c>
      <c r="R71" s="91">
        <v>38718.639999999999</v>
      </c>
      <c r="S71" s="91">
        <v>0</v>
      </c>
      <c r="T71" s="91">
        <v>0</v>
      </c>
      <c r="U71" s="91">
        <v>38718.639999999999</v>
      </c>
      <c r="V71" s="91">
        <v>-38718.639999999999</v>
      </c>
      <c r="W71" s="91">
        <v>2384.6999999999998</v>
      </c>
      <c r="X71" s="91">
        <v>0</v>
      </c>
      <c r="Y71" s="119">
        <v>2384.6999999999998</v>
      </c>
      <c r="Z71" s="92">
        <f t="shared" si="1"/>
        <v>-41103.339999999997</v>
      </c>
    </row>
    <row r="72" spans="1:26" x14ac:dyDescent="0.2">
      <c r="A72" s="89" t="s">
        <v>362</v>
      </c>
      <c r="B72" s="89" t="s">
        <v>363</v>
      </c>
      <c r="C72" s="89">
        <v>300</v>
      </c>
      <c r="D72" s="89" t="s">
        <v>658</v>
      </c>
      <c r="E72" s="67">
        <v>460</v>
      </c>
      <c r="F72" s="89" t="s">
        <v>264</v>
      </c>
      <c r="G72" s="90">
        <v>44226</v>
      </c>
      <c r="H72" s="90">
        <v>44127</v>
      </c>
      <c r="I72" s="91">
        <v>0</v>
      </c>
      <c r="J72" s="91">
        <v>0</v>
      </c>
      <c r="K72" s="91">
        <v>0</v>
      </c>
      <c r="L72" s="91">
        <v>0</v>
      </c>
      <c r="M72" s="91">
        <v>0</v>
      </c>
      <c r="N72" s="91">
        <v>0</v>
      </c>
      <c r="O72" s="91">
        <v>0</v>
      </c>
      <c r="P72" s="91">
        <v>0</v>
      </c>
      <c r="Q72" s="91">
        <v>0</v>
      </c>
      <c r="R72" s="91">
        <v>8541.86</v>
      </c>
      <c r="S72" s="91">
        <v>463.91</v>
      </c>
      <c r="T72" s="91">
        <v>0</v>
      </c>
      <c r="U72" s="91">
        <v>9005.77</v>
      </c>
      <c r="V72" s="91">
        <v>-9005.77</v>
      </c>
      <c r="W72" s="91">
        <v>1092.1199999999999</v>
      </c>
      <c r="X72" s="91">
        <v>6587.9500000000007</v>
      </c>
      <c r="Y72" s="119">
        <v>7680.07</v>
      </c>
      <c r="Z72" s="92">
        <f t="shared" si="1"/>
        <v>-16685.84</v>
      </c>
    </row>
    <row r="73" spans="1:26" x14ac:dyDescent="0.2">
      <c r="A73" s="89" t="s">
        <v>558</v>
      </c>
      <c r="B73" s="89" t="s">
        <v>559</v>
      </c>
      <c r="C73" s="89">
        <v>300</v>
      </c>
      <c r="D73" s="89" t="s">
        <v>658</v>
      </c>
      <c r="E73" s="67">
        <v>460</v>
      </c>
      <c r="F73" s="89" t="s">
        <v>264</v>
      </c>
      <c r="G73" s="90">
        <v>44350</v>
      </c>
      <c r="H73" s="90">
        <v>44369</v>
      </c>
      <c r="I73" s="91">
        <v>3460402</v>
      </c>
      <c r="J73" s="91">
        <v>0</v>
      </c>
      <c r="K73" s="91">
        <v>0</v>
      </c>
      <c r="L73" s="91">
        <v>0</v>
      </c>
      <c r="M73" s="91">
        <v>0</v>
      </c>
      <c r="N73" s="91">
        <v>0</v>
      </c>
      <c r="O73" s="91">
        <v>0</v>
      </c>
      <c r="P73" s="91">
        <v>0</v>
      </c>
      <c r="Q73" s="91">
        <v>0</v>
      </c>
      <c r="R73" s="91">
        <v>6390.2799999999988</v>
      </c>
      <c r="S73" s="91">
        <v>0</v>
      </c>
      <c r="T73" s="91">
        <v>0</v>
      </c>
      <c r="U73" s="91">
        <v>6390.2799999999988</v>
      </c>
      <c r="V73" s="91">
        <v>-6390.2799999999988</v>
      </c>
      <c r="W73" s="91">
        <v>0</v>
      </c>
      <c r="X73" s="91">
        <v>0</v>
      </c>
      <c r="Y73" s="119">
        <v>0</v>
      </c>
      <c r="Z73" s="92">
        <f t="shared" si="1"/>
        <v>-6390.2799999999988</v>
      </c>
    </row>
    <row r="74" spans="1:26" x14ac:dyDescent="0.2">
      <c r="A74" s="89" t="s">
        <v>360</v>
      </c>
      <c r="B74" s="89" t="s">
        <v>361</v>
      </c>
      <c r="C74" s="89">
        <v>300</v>
      </c>
      <c r="D74" s="89" t="s">
        <v>658</v>
      </c>
      <c r="E74" s="67">
        <v>460</v>
      </c>
      <c r="F74" s="89" t="s">
        <v>264</v>
      </c>
      <c r="G74" s="90">
        <v>44226</v>
      </c>
      <c r="H74" s="90">
        <v>44382</v>
      </c>
      <c r="I74" s="91">
        <v>4349725.93</v>
      </c>
      <c r="J74" s="91">
        <v>0</v>
      </c>
      <c r="K74" s="91">
        <v>0</v>
      </c>
      <c r="L74" s="91">
        <v>0</v>
      </c>
      <c r="M74" s="91">
        <v>0</v>
      </c>
      <c r="N74" s="91">
        <v>0</v>
      </c>
      <c r="O74" s="91">
        <v>0</v>
      </c>
      <c r="P74" s="91">
        <v>0</v>
      </c>
      <c r="Q74" s="91">
        <v>0</v>
      </c>
      <c r="R74" s="91">
        <v>30702</v>
      </c>
      <c r="S74" s="91">
        <v>8087.4400000000005</v>
      </c>
      <c r="T74" s="91">
        <v>0</v>
      </c>
      <c r="U74" s="91">
        <v>38789.439999999995</v>
      </c>
      <c r="V74" s="91">
        <v>-38789.439999999995</v>
      </c>
      <c r="W74" s="91">
        <v>0</v>
      </c>
      <c r="X74" s="91">
        <v>-2747.83</v>
      </c>
      <c r="Y74" s="119">
        <v>-2747.83</v>
      </c>
      <c r="Z74" s="92">
        <f t="shared" si="1"/>
        <v>-36041.609999999993</v>
      </c>
    </row>
    <row r="75" spans="1:26" x14ac:dyDescent="0.2">
      <c r="A75" s="89" t="s">
        <v>1120</v>
      </c>
      <c r="B75" s="89" t="s">
        <v>1121</v>
      </c>
      <c r="C75" s="89">
        <v>300</v>
      </c>
      <c r="D75" s="89" t="s">
        <v>658</v>
      </c>
      <c r="E75" s="67">
        <v>440</v>
      </c>
      <c r="F75" s="89" t="s">
        <v>2</v>
      </c>
      <c r="G75" s="90">
        <v>45282</v>
      </c>
      <c r="H75" s="90"/>
      <c r="I75" s="91">
        <v>660000</v>
      </c>
      <c r="J75" s="91">
        <v>0</v>
      </c>
      <c r="K75" s="91">
        <v>0</v>
      </c>
      <c r="L75" s="91">
        <v>0</v>
      </c>
      <c r="M75" s="91">
        <v>226200</v>
      </c>
      <c r="N75" s="91">
        <v>0</v>
      </c>
      <c r="O75" s="91">
        <v>226200</v>
      </c>
      <c r="P75" s="91">
        <v>0</v>
      </c>
      <c r="Q75" s="91">
        <v>35651.22</v>
      </c>
      <c r="R75" s="91">
        <v>0</v>
      </c>
      <c r="S75" s="91">
        <v>12347.16</v>
      </c>
      <c r="T75" s="91">
        <v>0</v>
      </c>
      <c r="U75" s="91">
        <v>47998.38</v>
      </c>
      <c r="V75" s="91">
        <v>178201.62</v>
      </c>
      <c r="W75" s="91">
        <v>591.88</v>
      </c>
      <c r="X75" s="91">
        <v>0</v>
      </c>
      <c r="Y75" s="119">
        <v>591.88</v>
      </c>
      <c r="Z75" s="92">
        <f t="shared" si="1"/>
        <v>177609.74</v>
      </c>
    </row>
    <row r="76" spans="1:26" x14ac:dyDescent="0.2">
      <c r="A76" s="89" t="s">
        <v>1075</v>
      </c>
      <c r="B76" s="89" t="s">
        <v>1076</v>
      </c>
      <c r="C76" s="89">
        <v>300</v>
      </c>
      <c r="D76" s="89" t="s">
        <v>658</v>
      </c>
      <c r="E76" s="67" t="s">
        <v>56</v>
      </c>
      <c r="F76" s="89" t="s">
        <v>57</v>
      </c>
      <c r="G76" s="90">
        <v>45167</v>
      </c>
      <c r="H76" s="90">
        <v>45343</v>
      </c>
      <c r="I76" s="91">
        <v>5132100</v>
      </c>
      <c r="J76" s="91">
        <v>0</v>
      </c>
      <c r="K76" s="91">
        <v>0</v>
      </c>
      <c r="L76" s="91">
        <v>0</v>
      </c>
      <c r="M76" s="91">
        <v>0</v>
      </c>
      <c r="N76" s="91">
        <v>0</v>
      </c>
      <c r="O76" s="91">
        <v>0</v>
      </c>
      <c r="P76" s="91">
        <v>0</v>
      </c>
      <c r="Q76" s="91">
        <v>0</v>
      </c>
      <c r="R76" s="91">
        <v>0</v>
      </c>
      <c r="S76" s="91">
        <v>0</v>
      </c>
      <c r="T76" s="91">
        <v>0</v>
      </c>
      <c r="U76" s="91">
        <v>0</v>
      </c>
      <c r="V76" s="91">
        <v>0</v>
      </c>
      <c r="W76" s="91">
        <v>0</v>
      </c>
      <c r="X76" s="91">
        <v>0</v>
      </c>
      <c r="Y76" s="119">
        <v>0</v>
      </c>
      <c r="Z76" s="92">
        <f t="shared" si="1"/>
        <v>0</v>
      </c>
    </row>
    <row r="77" spans="1:26" x14ac:dyDescent="0.2">
      <c r="A77" s="89" t="s">
        <v>1115</v>
      </c>
      <c r="B77" s="89" t="s">
        <v>1116</v>
      </c>
      <c r="C77" s="89">
        <v>300</v>
      </c>
      <c r="D77" s="89" t="s">
        <v>658</v>
      </c>
      <c r="E77" s="67" t="s">
        <v>56</v>
      </c>
      <c r="F77" s="89" t="s">
        <v>57</v>
      </c>
      <c r="G77" s="90">
        <v>45240</v>
      </c>
      <c r="H77" s="90"/>
      <c r="I77" s="91">
        <v>1542670</v>
      </c>
      <c r="J77" s="91">
        <v>0</v>
      </c>
      <c r="K77" s="91">
        <v>0</v>
      </c>
      <c r="L77" s="91">
        <v>1731.44</v>
      </c>
      <c r="M77" s="91">
        <v>0</v>
      </c>
      <c r="N77" s="91">
        <v>0</v>
      </c>
      <c r="O77" s="91">
        <v>1731.44</v>
      </c>
      <c r="P77" s="91">
        <v>0</v>
      </c>
      <c r="Q77" s="91">
        <v>0</v>
      </c>
      <c r="R77" s="91">
        <v>0</v>
      </c>
      <c r="S77" s="91">
        <v>0</v>
      </c>
      <c r="T77" s="91">
        <v>0</v>
      </c>
      <c r="U77" s="91">
        <v>0</v>
      </c>
      <c r="V77" s="91">
        <v>1731.44</v>
      </c>
      <c r="W77" s="91">
        <v>0</v>
      </c>
      <c r="X77" s="91">
        <v>0</v>
      </c>
      <c r="Y77" s="119">
        <v>0</v>
      </c>
      <c r="Z77" s="92">
        <f t="shared" si="1"/>
        <v>1731.44</v>
      </c>
    </row>
    <row r="78" spans="1:26" x14ac:dyDescent="0.2">
      <c r="A78" s="89" t="s">
        <v>1101</v>
      </c>
      <c r="B78" s="89" t="s">
        <v>1102</v>
      </c>
      <c r="C78" s="89">
        <v>300</v>
      </c>
      <c r="D78" s="89" t="s">
        <v>658</v>
      </c>
      <c r="E78" s="67" t="s">
        <v>62</v>
      </c>
      <c r="F78" s="89" t="s">
        <v>63</v>
      </c>
      <c r="G78" s="90">
        <v>45219</v>
      </c>
      <c r="H78" s="90"/>
      <c r="I78" s="91">
        <v>15435200</v>
      </c>
      <c r="J78" s="91">
        <v>0</v>
      </c>
      <c r="K78" s="91">
        <v>0</v>
      </c>
      <c r="L78" s="91">
        <v>0</v>
      </c>
      <c r="M78" s="91">
        <v>0</v>
      </c>
      <c r="N78" s="91">
        <v>0</v>
      </c>
      <c r="O78" s="91">
        <v>0</v>
      </c>
      <c r="P78" s="91">
        <v>0</v>
      </c>
      <c r="Q78" s="91">
        <v>0</v>
      </c>
      <c r="R78" s="91">
        <v>0</v>
      </c>
      <c r="S78" s="91">
        <v>905.15</v>
      </c>
      <c r="T78" s="91">
        <v>0</v>
      </c>
      <c r="U78" s="91">
        <v>905.15</v>
      </c>
      <c r="V78" s="91">
        <v>-905.15</v>
      </c>
      <c r="W78" s="91">
        <v>0</v>
      </c>
      <c r="X78" s="91">
        <v>0</v>
      </c>
      <c r="Y78" s="119">
        <v>0</v>
      </c>
      <c r="Z78" s="92">
        <f t="shared" si="1"/>
        <v>-905.15</v>
      </c>
    </row>
    <row r="79" spans="1:26" x14ac:dyDescent="0.2">
      <c r="A79" s="89" t="s">
        <v>1284</v>
      </c>
      <c r="B79" s="89" t="s">
        <v>1285</v>
      </c>
      <c r="C79" s="89">
        <v>300</v>
      </c>
      <c r="D79" s="89" t="s">
        <v>658</v>
      </c>
      <c r="E79" s="67" t="s">
        <v>1286</v>
      </c>
      <c r="F79" s="89" t="s">
        <v>1287</v>
      </c>
      <c r="G79" s="90">
        <v>45341</v>
      </c>
      <c r="H79" s="90"/>
      <c r="I79" s="91">
        <v>128200</v>
      </c>
      <c r="J79" s="91">
        <v>0</v>
      </c>
      <c r="K79" s="91">
        <v>0</v>
      </c>
      <c r="L79" s="91">
        <v>22047.52</v>
      </c>
      <c r="M79" s="91">
        <v>0</v>
      </c>
      <c r="N79" s="91">
        <v>0</v>
      </c>
      <c r="O79" s="91">
        <v>22047.52</v>
      </c>
      <c r="P79" s="91">
        <v>0</v>
      </c>
      <c r="Q79" s="91">
        <v>0</v>
      </c>
      <c r="R79" s="91">
        <v>0</v>
      </c>
      <c r="S79" s="91">
        <v>1622.9</v>
      </c>
      <c r="T79" s="91">
        <v>22672.5</v>
      </c>
      <c r="U79" s="91">
        <v>24295.4</v>
      </c>
      <c r="V79" s="91">
        <v>-2247.8799999999987</v>
      </c>
      <c r="W79" s="91">
        <v>0</v>
      </c>
      <c r="X79" s="91">
        <v>0</v>
      </c>
      <c r="Y79" s="119">
        <v>0</v>
      </c>
      <c r="Z79" s="92">
        <f t="shared" si="1"/>
        <v>-2247.8799999999987</v>
      </c>
    </row>
    <row r="80" spans="1:26" x14ac:dyDescent="0.2">
      <c r="A80" s="89" t="s">
        <v>1266</v>
      </c>
      <c r="B80" s="89" t="s">
        <v>1267</v>
      </c>
      <c r="C80" s="89">
        <v>300</v>
      </c>
      <c r="D80" s="89" t="s">
        <v>658</v>
      </c>
      <c r="E80" s="67">
        <v>360</v>
      </c>
      <c r="F80" s="89" t="s">
        <v>91</v>
      </c>
      <c r="G80" s="90">
        <v>45348</v>
      </c>
      <c r="H80" s="90"/>
      <c r="I80" s="91">
        <v>953697</v>
      </c>
      <c r="J80" s="91">
        <v>0</v>
      </c>
      <c r="K80" s="91">
        <v>0</v>
      </c>
      <c r="L80" s="91">
        <v>63481.39</v>
      </c>
      <c r="M80" s="91">
        <v>0</v>
      </c>
      <c r="N80" s="91">
        <v>0</v>
      </c>
      <c r="O80" s="91">
        <v>63481.39</v>
      </c>
      <c r="P80" s="91">
        <v>3245.79</v>
      </c>
      <c r="Q80" s="91">
        <v>0</v>
      </c>
      <c r="R80" s="91">
        <v>0</v>
      </c>
      <c r="S80" s="91">
        <v>14610.82</v>
      </c>
      <c r="T80" s="91">
        <v>34560.980000000003</v>
      </c>
      <c r="U80" s="91">
        <v>52417.590000000004</v>
      </c>
      <c r="V80" s="91">
        <v>11063.799999999997</v>
      </c>
      <c r="W80" s="91">
        <v>0</v>
      </c>
      <c r="X80" s="91">
        <v>0</v>
      </c>
      <c r="Y80" s="119">
        <v>0</v>
      </c>
      <c r="Z80" s="92">
        <f t="shared" si="1"/>
        <v>11063.799999999997</v>
      </c>
    </row>
    <row r="81" spans="1:26" x14ac:dyDescent="0.2">
      <c r="A81" s="89" t="s">
        <v>1341</v>
      </c>
      <c r="B81" s="89" t="s">
        <v>1342</v>
      </c>
      <c r="C81" s="89">
        <v>300</v>
      </c>
      <c r="D81" s="89" t="s">
        <v>658</v>
      </c>
      <c r="E81" s="67" t="s">
        <v>685</v>
      </c>
      <c r="F81" s="89" t="s">
        <v>91</v>
      </c>
      <c r="G81" s="90">
        <v>45348</v>
      </c>
      <c r="H81" s="90"/>
      <c r="I81" s="91">
        <v>1315730</v>
      </c>
      <c r="J81" s="91">
        <v>0</v>
      </c>
      <c r="K81" s="91">
        <v>0</v>
      </c>
      <c r="L81" s="91">
        <v>27044</v>
      </c>
      <c r="M81" s="91">
        <v>63180</v>
      </c>
      <c r="N81" s="91">
        <v>0</v>
      </c>
      <c r="O81" s="91">
        <v>90224</v>
      </c>
      <c r="P81" s="91">
        <v>0</v>
      </c>
      <c r="Q81" s="91">
        <v>0</v>
      </c>
      <c r="R81" s="91">
        <v>0</v>
      </c>
      <c r="S81" s="91">
        <v>11904.42</v>
      </c>
      <c r="T81" s="91">
        <v>5936.75</v>
      </c>
      <c r="U81" s="91">
        <v>17841.169999999998</v>
      </c>
      <c r="V81" s="91">
        <v>72382.83</v>
      </c>
      <c r="W81" s="91">
        <v>0</v>
      </c>
      <c r="X81" s="91">
        <v>0</v>
      </c>
      <c r="Y81" s="119">
        <v>0</v>
      </c>
      <c r="Z81" s="92">
        <f t="shared" si="1"/>
        <v>72382.83</v>
      </c>
    </row>
    <row r="82" spans="1:26" x14ac:dyDescent="0.2">
      <c r="A82" s="89" t="s">
        <v>1331</v>
      </c>
      <c r="B82" s="89" t="s">
        <v>1332</v>
      </c>
      <c r="C82" s="89">
        <v>300</v>
      </c>
      <c r="D82" s="89" t="s">
        <v>658</v>
      </c>
      <c r="E82" s="67" t="s">
        <v>689</v>
      </c>
      <c r="F82" s="89" t="s">
        <v>264</v>
      </c>
      <c r="G82" s="90">
        <v>45313</v>
      </c>
      <c r="H82" s="90"/>
      <c r="I82" s="91">
        <v>0</v>
      </c>
      <c r="J82" s="91">
        <v>0</v>
      </c>
      <c r="K82" s="91">
        <v>0</v>
      </c>
      <c r="L82" s="91">
        <v>0</v>
      </c>
      <c r="M82" s="91">
        <v>0</v>
      </c>
      <c r="N82" s="91">
        <v>0</v>
      </c>
      <c r="O82" s="91">
        <v>0</v>
      </c>
      <c r="P82" s="91">
        <v>0</v>
      </c>
      <c r="Q82" s="91">
        <v>10012.969999999999</v>
      </c>
      <c r="R82" s="91">
        <v>0</v>
      </c>
      <c r="S82" s="91">
        <v>787.58</v>
      </c>
      <c r="T82" s="91">
        <v>9565.08</v>
      </c>
      <c r="U82" s="91">
        <v>20365.629999999997</v>
      </c>
      <c r="V82" s="91">
        <v>-20365.629999999997</v>
      </c>
      <c r="W82" s="91">
        <v>21185.989999999998</v>
      </c>
      <c r="X82" s="91">
        <v>14024.36</v>
      </c>
      <c r="Y82" s="119">
        <v>35210.35</v>
      </c>
      <c r="Z82" s="92">
        <f t="shared" si="1"/>
        <v>-55575.979999999996</v>
      </c>
    </row>
    <row r="83" spans="1:26" x14ac:dyDescent="0.2">
      <c r="A83" s="89" t="s">
        <v>1351</v>
      </c>
      <c r="B83" s="89" t="s">
        <v>1352</v>
      </c>
      <c r="C83" s="89">
        <v>300</v>
      </c>
      <c r="D83" s="89" t="s">
        <v>658</v>
      </c>
      <c r="E83" s="67" t="s">
        <v>1073</v>
      </c>
      <c r="F83" s="89" t="s">
        <v>1074</v>
      </c>
      <c r="G83" s="90">
        <v>45322</v>
      </c>
      <c r="H83" s="90"/>
      <c r="I83" s="91">
        <v>1213168</v>
      </c>
      <c r="J83" s="91">
        <v>0</v>
      </c>
      <c r="K83" s="91">
        <v>0</v>
      </c>
      <c r="L83" s="91">
        <v>63126.92</v>
      </c>
      <c r="M83" s="91">
        <v>57720</v>
      </c>
      <c r="N83" s="91">
        <v>0</v>
      </c>
      <c r="O83" s="91">
        <v>120846.92</v>
      </c>
      <c r="P83" s="91">
        <v>0</v>
      </c>
      <c r="Q83" s="91">
        <v>0</v>
      </c>
      <c r="R83" s="91">
        <v>0</v>
      </c>
      <c r="S83" s="91">
        <v>4474.37</v>
      </c>
      <c r="T83" s="91">
        <v>24311.919999999998</v>
      </c>
      <c r="U83" s="91">
        <v>28786.29</v>
      </c>
      <c r="V83" s="91">
        <v>92060.62999999999</v>
      </c>
      <c r="W83" s="91">
        <v>0</v>
      </c>
      <c r="X83" s="91">
        <v>0</v>
      </c>
      <c r="Y83" s="119">
        <v>0</v>
      </c>
      <c r="Z83" s="92">
        <f t="shared" si="1"/>
        <v>92060.62999999999</v>
      </c>
    </row>
    <row r="84" spans="1:26" x14ac:dyDescent="0.2">
      <c r="A84" s="89" t="s">
        <v>1343</v>
      </c>
      <c r="B84" s="89" t="s">
        <v>1344</v>
      </c>
      <c r="C84" s="89">
        <v>300</v>
      </c>
      <c r="D84" s="89" t="s">
        <v>658</v>
      </c>
      <c r="E84" s="67" t="s">
        <v>1345</v>
      </c>
      <c r="F84" s="89" t="s">
        <v>1346</v>
      </c>
      <c r="G84" s="90">
        <v>45362</v>
      </c>
      <c r="H84" s="90"/>
      <c r="I84" s="91">
        <v>1025000</v>
      </c>
      <c r="J84" s="91">
        <v>0</v>
      </c>
      <c r="K84" s="91">
        <v>0</v>
      </c>
      <c r="L84" s="91">
        <v>0</v>
      </c>
      <c r="M84" s="91">
        <v>0</v>
      </c>
      <c r="N84" s="91">
        <v>0</v>
      </c>
      <c r="O84" s="91">
        <v>0</v>
      </c>
      <c r="P84" s="91">
        <v>0</v>
      </c>
      <c r="Q84" s="91">
        <v>0</v>
      </c>
      <c r="R84" s="91">
        <v>0</v>
      </c>
      <c r="S84" s="91">
        <v>1907.23</v>
      </c>
      <c r="T84" s="91">
        <v>38541.33</v>
      </c>
      <c r="U84" s="91">
        <v>40448.559999999998</v>
      </c>
      <c r="V84" s="91">
        <v>-40448.559999999998</v>
      </c>
      <c r="W84" s="91">
        <v>0</v>
      </c>
      <c r="X84" s="91">
        <v>0</v>
      </c>
      <c r="Y84" s="119">
        <v>0</v>
      </c>
      <c r="Z84" s="92">
        <f t="shared" si="1"/>
        <v>-40448.559999999998</v>
      </c>
    </row>
    <row r="85" spans="1:26" x14ac:dyDescent="0.2">
      <c r="A85" s="89" t="s">
        <v>1378</v>
      </c>
      <c r="B85" s="89" t="s">
        <v>1379</v>
      </c>
      <c r="C85" s="89">
        <v>300</v>
      </c>
      <c r="D85" s="89" t="s">
        <v>658</v>
      </c>
      <c r="E85" s="67" t="s">
        <v>1286</v>
      </c>
      <c r="F85" s="89" t="s">
        <v>1287</v>
      </c>
      <c r="G85" s="90">
        <v>45376</v>
      </c>
      <c r="H85" s="90"/>
      <c r="I85" s="91">
        <v>200000</v>
      </c>
      <c r="J85" s="91">
        <v>0</v>
      </c>
      <c r="K85" s="91">
        <v>0</v>
      </c>
      <c r="L85" s="91">
        <v>0</v>
      </c>
      <c r="M85" s="91">
        <v>0</v>
      </c>
      <c r="N85" s="91">
        <v>0</v>
      </c>
      <c r="O85" s="91">
        <v>0</v>
      </c>
      <c r="P85" s="91">
        <v>0</v>
      </c>
      <c r="Q85" s="91">
        <v>0</v>
      </c>
      <c r="R85" s="91">
        <v>0</v>
      </c>
      <c r="S85" s="91">
        <v>0</v>
      </c>
      <c r="T85" s="91">
        <v>5434.6900000000005</v>
      </c>
      <c r="U85" s="91">
        <v>5434.6900000000005</v>
      </c>
      <c r="V85" s="91">
        <v>-5434.6900000000005</v>
      </c>
      <c r="W85" s="91">
        <v>0</v>
      </c>
      <c r="X85" s="91">
        <v>0</v>
      </c>
      <c r="Y85" s="119">
        <v>0</v>
      </c>
      <c r="Z85" s="92">
        <f t="shared" si="1"/>
        <v>-5434.6900000000005</v>
      </c>
    </row>
    <row r="86" spans="1:26" x14ac:dyDescent="0.2">
      <c r="A86" s="89" t="s">
        <v>1390</v>
      </c>
      <c r="B86" s="89" t="s">
        <v>1391</v>
      </c>
      <c r="C86" s="89">
        <v>300</v>
      </c>
      <c r="D86" s="89" t="s">
        <v>658</v>
      </c>
      <c r="E86" s="67" t="s">
        <v>1286</v>
      </c>
      <c r="F86" s="89" t="s">
        <v>1287</v>
      </c>
      <c r="G86" s="90">
        <v>45397</v>
      </c>
      <c r="H86" s="90"/>
      <c r="I86" s="91">
        <v>238000</v>
      </c>
      <c r="J86" s="91">
        <v>0</v>
      </c>
      <c r="K86" s="91">
        <v>0</v>
      </c>
      <c r="L86" s="91">
        <v>0</v>
      </c>
      <c r="M86" s="91">
        <v>0</v>
      </c>
      <c r="N86" s="91">
        <v>0</v>
      </c>
      <c r="O86" s="91">
        <v>0</v>
      </c>
      <c r="P86" s="91">
        <v>0</v>
      </c>
      <c r="Q86" s="91">
        <v>0</v>
      </c>
      <c r="R86" s="91">
        <v>0</v>
      </c>
      <c r="S86" s="91">
        <v>0</v>
      </c>
      <c r="T86" s="91">
        <v>3214.18</v>
      </c>
      <c r="U86" s="91">
        <v>3214.18</v>
      </c>
      <c r="V86" s="91">
        <v>-3214.18</v>
      </c>
      <c r="W86" s="91">
        <v>0</v>
      </c>
      <c r="X86" s="91">
        <v>0</v>
      </c>
      <c r="Y86" s="119">
        <v>0</v>
      </c>
      <c r="Z86" s="92">
        <f t="shared" si="1"/>
        <v>-3214.18</v>
      </c>
    </row>
    <row r="87" spans="1:26" x14ac:dyDescent="0.2">
      <c r="A87" s="89" t="s">
        <v>1113</v>
      </c>
      <c r="B87" s="89" t="s">
        <v>1114</v>
      </c>
      <c r="C87" s="89">
        <v>300</v>
      </c>
      <c r="D87" s="89" t="s">
        <v>658</v>
      </c>
      <c r="E87" s="67" t="s">
        <v>56</v>
      </c>
      <c r="F87" s="89" t="s">
        <v>57</v>
      </c>
      <c r="G87" s="90">
        <v>45233</v>
      </c>
      <c r="H87" s="90"/>
      <c r="I87" s="91">
        <v>630000</v>
      </c>
      <c r="J87" s="91">
        <v>0</v>
      </c>
      <c r="K87" s="91">
        <v>0</v>
      </c>
      <c r="L87" s="91">
        <v>0</v>
      </c>
      <c r="M87" s="91">
        <v>0</v>
      </c>
      <c r="N87" s="91">
        <v>0</v>
      </c>
      <c r="O87" s="91">
        <v>0</v>
      </c>
      <c r="P87" s="91">
        <v>0</v>
      </c>
      <c r="Q87" s="91">
        <v>17660.93</v>
      </c>
      <c r="R87" s="91">
        <v>0</v>
      </c>
      <c r="S87" s="91">
        <v>0</v>
      </c>
      <c r="T87" s="91">
        <v>0</v>
      </c>
      <c r="U87" s="91">
        <v>17660.93</v>
      </c>
      <c r="V87" s="91">
        <v>-17660.93</v>
      </c>
      <c r="W87" s="91">
        <v>0</v>
      </c>
      <c r="X87" s="91">
        <v>0</v>
      </c>
      <c r="Y87" s="119">
        <v>0</v>
      </c>
      <c r="Z87" s="92">
        <f t="shared" si="1"/>
        <v>-17660.93</v>
      </c>
    </row>
    <row r="88" spans="1:26" x14ac:dyDescent="0.2">
      <c r="A88" s="89" t="s">
        <v>1423</v>
      </c>
      <c r="B88" s="89" t="s">
        <v>1424</v>
      </c>
      <c r="C88" s="89">
        <v>300</v>
      </c>
      <c r="D88" s="89" t="s">
        <v>658</v>
      </c>
      <c r="E88" s="67" t="s">
        <v>697</v>
      </c>
      <c r="F88" s="89" t="s">
        <v>2</v>
      </c>
      <c r="G88" s="90">
        <v>45411</v>
      </c>
      <c r="H88" s="90"/>
      <c r="I88" s="91">
        <v>6247876.7999999998</v>
      </c>
      <c r="J88" s="91">
        <v>0</v>
      </c>
      <c r="K88" s="91">
        <v>0</v>
      </c>
      <c r="L88" s="91">
        <v>37204</v>
      </c>
      <c r="M88" s="91">
        <v>0</v>
      </c>
      <c r="N88" s="91">
        <v>0</v>
      </c>
      <c r="O88" s="91">
        <v>37204</v>
      </c>
      <c r="P88" s="91">
        <v>0</v>
      </c>
      <c r="Q88" s="91">
        <v>0</v>
      </c>
      <c r="R88" s="91">
        <v>0</v>
      </c>
      <c r="S88" s="91">
        <v>90235.44</v>
      </c>
      <c r="T88" s="91">
        <v>52192.34</v>
      </c>
      <c r="U88" s="91">
        <v>142427.78</v>
      </c>
      <c r="V88" s="91">
        <v>-105223.78</v>
      </c>
      <c r="W88" s="91">
        <v>0</v>
      </c>
      <c r="X88" s="91">
        <v>0</v>
      </c>
      <c r="Y88" s="119">
        <v>0</v>
      </c>
      <c r="Z88" s="92">
        <f t="shared" si="1"/>
        <v>-105223.78</v>
      </c>
    </row>
    <row r="89" spans="1:26" x14ac:dyDescent="0.2">
      <c r="A89" s="89" t="s">
        <v>1425</v>
      </c>
      <c r="B89" s="89" t="s">
        <v>1426</v>
      </c>
      <c r="C89" s="89">
        <v>300</v>
      </c>
      <c r="D89" s="89" t="s">
        <v>658</v>
      </c>
      <c r="E89" s="67" t="s">
        <v>689</v>
      </c>
      <c r="F89" s="89" t="s">
        <v>264</v>
      </c>
      <c r="G89" s="90">
        <v>45406</v>
      </c>
      <c r="H89" s="90"/>
      <c r="I89" s="91">
        <v>825500</v>
      </c>
      <c r="J89" s="91">
        <v>0</v>
      </c>
      <c r="K89" s="91">
        <v>0</v>
      </c>
      <c r="L89" s="91">
        <v>0</v>
      </c>
      <c r="M89" s="91">
        <v>0</v>
      </c>
      <c r="N89" s="91">
        <v>0</v>
      </c>
      <c r="O89" s="91">
        <v>0</v>
      </c>
      <c r="P89" s="91">
        <v>0</v>
      </c>
      <c r="Q89" s="91">
        <v>0</v>
      </c>
      <c r="R89" s="91">
        <v>0</v>
      </c>
      <c r="S89" s="91">
        <v>8611.14</v>
      </c>
      <c r="T89" s="91">
        <v>9192.1299999999992</v>
      </c>
      <c r="U89" s="91">
        <v>17803.269999999997</v>
      </c>
      <c r="V89" s="91">
        <v>-17803.269999999997</v>
      </c>
      <c r="W89" s="91">
        <v>0</v>
      </c>
      <c r="X89" s="91">
        <v>0</v>
      </c>
      <c r="Y89" s="119">
        <v>0</v>
      </c>
      <c r="Z89" s="92">
        <f t="shared" si="1"/>
        <v>-17803.269999999997</v>
      </c>
    </row>
    <row r="90" spans="1:26" x14ac:dyDescent="0.2">
      <c r="A90" s="89" t="s">
        <v>853</v>
      </c>
      <c r="B90" s="89"/>
      <c r="C90" s="89">
        <v>300</v>
      </c>
      <c r="D90" s="89" t="s">
        <v>658</v>
      </c>
      <c r="E90" s="67"/>
      <c r="F90" s="89" t="s">
        <v>853</v>
      </c>
      <c r="G90" s="90"/>
      <c r="H90" s="90"/>
      <c r="I90" s="91">
        <v>0</v>
      </c>
      <c r="J90" s="91">
        <v>0</v>
      </c>
      <c r="K90" s="91">
        <v>0</v>
      </c>
      <c r="L90" s="91">
        <v>0</v>
      </c>
      <c r="M90" s="91">
        <v>0</v>
      </c>
      <c r="N90" s="91">
        <v>0</v>
      </c>
      <c r="O90" s="91">
        <v>0</v>
      </c>
      <c r="P90" s="91">
        <v>-329639.77999999997</v>
      </c>
      <c r="Q90" s="91">
        <v>0</v>
      </c>
      <c r="R90" s="91">
        <v>0</v>
      </c>
      <c r="S90" s="91">
        <v>0</v>
      </c>
      <c r="T90" s="91">
        <v>0</v>
      </c>
      <c r="U90" s="91">
        <v>-329639.77999999997</v>
      </c>
      <c r="V90" s="91">
        <v>329639.77999999997</v>
      </c>
      <c r="W90" s="91">
        <v>0</v>
      </c>
      <c r="X90" s="91">
        <v>0</v>
      </c>
      <c r="Y90" s="119">
        <v>0</v>
      </c>
      <c r="Z90" s="92">
        <f t="shared" si="1"/>
        <v>329639.77999999997</v>
      </c>
    </row>
    <row r="91" spans="1:26" s="100" customFormat="1" x14ac:dyDescent="0.2">
      <c r="A91" s="93" t="s">
        <v>613</v>
      </c>
      <c r="B91" s="93"/>
      <c r="C91" s="93"/>
      <c r="D91" s="93"/>
      <c r="E91" s="94"/>
      <c r="F91" s="93"/>
      <c r="G91" s="93"/>
      <c r="H91" s="93"/>
      <c r="I91" s="93">
        <f t="shared" ref="I91:Z91" si="2">SUM(I4:I90)</f>
        <v>207711326.53</v>
      </c>
      <c r="J91" s="95">
        <f t="shared" si="2"/>
        <v>879825.59</v>
      </c>
      <c r="K91" s="95">
        <f t="shared" si="2"/>
        <v>0</v>
      </c>
      <c r="L91" s="95">
        <f t="shared" si="2"/>
        <v>1866385.6899999997</v>
      </c>
      <c r="M91" s="95">
        <f t="shared" si="2"/>
        <v>1037924.26</v>
      </c>
      <c r="N91" s="95">
        <f t="shared" si="2"/>
        <v>21680.559999999998</v>
      </c>
      <c r="O91" s="96">
        <f t="shared" si="2"/>
        <v>3805816.0999999996</v>
      </c>
      <c r="P91" s="95">
        <f t="shared" si="2"/>
        <v>614019.78</v>
      </c>
      <c r="Q91" s="95">
        <f t="shared" si="2"/>
        <v>134328.4</v>
      </c>
      <c r="R91" s="95">
        <f t="shared" si="2"/>
        <v>718270.04000000015</v>
      </c>
      <c r="S91" s="97">
        <f t="shared" si="2"/>
        <v>350509.14</v>
      </c>
      <c r="T91" s="97">
        <f t="shared" si="2"/>
        <v>1430961.9999999998</v>
      </c>
      <c r="U91" s="98">
        <f t="shared" si="2"/>
        <v>3248089.3600000003</v>
      </c>
      <c r="V91" s="99">
        <f t="shared" si="2"/>
        <v>557726.74</v>
      </c>
      <c r="W91" s="95">
        <f t="shared" si="2"/>
        <v>528271.13</v>
      </c>
      <c r="X91" s="95">
        <f t="shared" si="2"/>
        <v>243972.97999999998</v>
      </c>
      <c r="Y91" s="120">
        <f t="shared" si="2"/>
        <v>772244.10999999975</v>
      </c>
      <c r="Z91" s="122">
        <f t="shared" si="2"/>
        <v>-214517.37000000005</v>
      </c>
    </row>
  </sheetData>
  <autoFilter ref="A3:Y91" xr:uid="{00000000-0009-0000-0000-000007000000}"/>
  <phoneticPr fontId="3" type="noConversion"/>
  <conditionalFormatting sqref="A1">
    <cfRule type="duplicateValues" dxfId="45" priority="4"/>
  </conditionalFormatting>
  <conditionalFormatting sqref="A3">
    <cfRule type="duplicateValues" dxfId="44" priority="3"/>
  </conditionalFormatting>
  <conditionalFormatting sqref="A44:A90">
    <cfRule type="duplicateValues" dxfId="43" priority="55"/>
  </conditionalFormatting>
  <conditionalFormatting sqref="A91">
    <cfRule type="duplicateValues" dxfId="42" priority="2"/>
  </conditionalFormatting>
  <conditionalFormatting sqref="A175">
    <cfRule type="duplicateValues" dxfId="41" priority="6"/>
  </conditionalFormatting>
  <conditionalFormatting sqref="A176:A1048576 A2 A4:A43 A92:A174">
    <cfRule type="duplicateValues" dxfId="40" priority="7"/>
  </conditionalFormatting>
  <pageMargins left="0.7" right="0.7" top="0.75" bottom="0.75" header="0.3" footer="0.3"/>
  <pageSetup paperSize="9" orientation="portrait" r:id="rId1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00B0F0"/>
  </sheetPr>
  <dimension ref="A1:Z10"/>
  <sheetViews>
    <sheetView workbookViewId="0">
      <pane xSplit="6" ySplit="4" topLeftCell="G5" activePane="bottomRight" state="frozen"/>
      <selection activeCell="F56" sqref="E56:F57"/>
      <selection pane="topRight" activeCell="F56" sqref="E56:F57"/>
      <selection pane="bottomLeft" activeCell="F56" sqref="E56:F57"/>
      <selection pane="bottomRight" activeCell="O24" sqref="O24"/>
    </sheetView>
  </sheetViews>
  <sheetFormatPr defaultRowHeight="12.75" outlineLevelCol="1" x14ac:dyDescent="0.2"/>
  <cols>
    <col min="1" max="1" width="10.140625" style="72" customWidth="1"/>
    <col min="2" max="2" width="8" style="72" bestFit="1" customWidth="1"/>
    <col min="3" max="3" width="9" style="72" bestFit="1" customWidth="1"/>
    <col min="4" max="4" width="12.5703125" style="72" customWidth="1"/>
    <col min="5" max="5" width="6" style="80" bestFit="1" customWidth="1"/>
    <col min="6" max="6" width="8.140625" style="72" customWidth="1"/>
    <col min="7" max="7" width="13" style="72" bestFit="1" customWidth="1"/>
    <col min="8" max="8" width="11.7109375" style="72" customWidth="1"/>
    <col min="9" max="9" width="12.85546875" style="72" customWidth="1"/>
    <col min="10" max="14" width="11.7109375" style="72" hidden="1" customWidth="1" outlineLevel="1"/>
    <col min="15" max="15" width="11.7109375" style="72" customWidth="1" collapsed="1"/>
    <col min="16" max="20" width="11.7109375" style="72" hidden="1" customWidth="1" outlineLevel="1"/>
    <col min="21" max="21" width="11.7109375" style="72" customWidth="1" collapsed="1"/>
    <col min="22" max="22" width="11.7109375" style="72" customWidth="1"/>
    <col min="23" max="24" width="11.7109375" style="72" hidden="1" customWidth="1" outlineLevel="1"/>
    <col min="25" max="25" width="11.7109375" style="72" customWidth="1" collapsed="1"/>
    <col min="26" max="26" width="12" style="72" customWidth="1"/>
    <col min="27" max="16384" width="9.140625" style="72"/>
  </cols>
  <sheetData>
    <row r="1" spans="1:26" ht="23.25" customHeight="1" x14ac:dyDescent="0.2">
      <c r="A1" s="79" t="s">
        <v>1410</v>
      </c>
    </row>
    <row r="2" spans="1:26" ht="15" customHeight="1" x14ac:dyDescent="0.2">
      <c r="A2" s="81" t="s">
        <v>1304</v>
      </c>
    </row>
    <row r="3" spans="1:26" s="88" customFormat="1" x14ac:dyDescent="0.2">
      <c r="A3" s="82" t="s">
        <v>1298</v>
      </c>
      <c r="B3" s="82" t="s">
        <v>577</v>
      </c>
      <c r="C3" s="82" t="s">
        <v>599</v>
      </c>
      <c r="D3" s="82" t="s">
        <v>600</v>
      </c>
      <c r="E3" s="83" t="s">
        <v>578</v>
      </c>
      <c r="F3" s="82" t="s">
        <v>579</v>
      </c>
      <c r="G3" s="82" t="s">
        <v>580</v>
      </c>
      <c r="H3" s="82" t="s">
        <v>581</v>
      </c>
      <c r="I3" s="82" t="s">
        <v>582</v>
      </c>
      <c r="J3" s="84" t="s">
        <v>583</v>
      </c>
      <c r="K3" s="84" t="s">
        <v>584</v>
      </c>
      <c r="L3" s="84" t="s">
        <v>585</v>
      </c>
      <c r="M3" s="84" t="s">
        <v>586</v>
      </c>
      <c r="N3" s="84" t="s">
        <v>587</v>
      </c>
      <c r="O3" s="85" t="s">
        <v>588</v>
      </c>
      <c r="P3" s="84" t="s">
        <v>589</v>
      </c>
      <c r="Q3" s="84" t="s">
        <v>590</v>
      </c>
      <c r="R3" s="84" t="s">
        <v>591</v>
      </c>
      <c r="S3" s="84" t="s">
        <v>1297</v>
      </c>
      <c r="T3" s="84" t="s">
        <v>593</v>
      </c>
      <c r="U3" s="85" t="s">
        <v>594</v>
      </c>
      <c r="V3" s="86" t="s">
        <v>595</v>
      </c>
      <c r="W3" s="84" t="s">
        <v>596</v>
      </c>
      <c r="X3" s="84" t="s">
        <v>597</v>
      </c>
      <c r="Y3" s="118" t="s">
        <v>598</v>
      </c>
      <c r="Z3" s="87" t="s">
        <v>1308</v>
      </c>
    </row>
    <row r="4" spans="1:26" x14ac:dyDescent="0.2">
      <c r="A4" s="89" t="s">
        <v>220</v>
      </c>
      <c r="B4" s="89" t="s">
        <v>221</v>
      </c>
      <c r="C4" s="89" t="s">
        <v>652</v>
      </c>
      <c r="D4" s="89" t="s">
        <v>653</v>
      </c>
      <c r="E4" s="67" t="s">
        <v>9</v>
      </c>
      <c r="F4" s="89" t="s">
        <v>10</v>
      </c>
      <c r="G4" s="90">
        <v>44226</v>
      </c>
      <c r="H4" s="90">
        <v>44195</v>
      </c>
      <c r="I4" s="91">
        <v>52313745</v>
      </c>
      <c r="J4" s="91">
        <v>0</v>
      </c>
      <c r="K4" s="91">
        <v>0</v>
      </c>
      <c r="L4" s="91">
        <v>0</v>
      </c>
      <c r="M4" s="91">
        <v>117776.09</v>
      </c>
      <c r="N4" s="91">
        <v>0</v>
      </c>
      <c r="O4" s="91">
        <v>117776.09</v>
      </c>
      <c r="P4" s="91">
        <v>26308.36</v>
      </c>
      <c r="Q4" s="91">
        <v>0</v>
      </c>
      <c r="R4" s="91">
        <v>6051.19</v>
      </c>
      <c r="S4" s="91">
        <v>0</v>
      </c>
      <c r="T4" s="91">
        <v>19372.84</v>
      </c>
      <c r="U4" s="91">
        <v>51732.39</v>
      </c>
      <c r="V4" s="91">
        <v>66043.7</v>
      </c>
      <c r="W4" s="91">
        <v>0</v>
      </c>
      <c r="X4" s="91">
        <v>5347.42</v>
      </c>
      <c r="Y4" s="119">
        <v>5347.42</v>
      </c>
      <c r="Z4" s="92">
        <f>V4-Y4</f>
        <v>60696.28</v>
      </c>
    </row>
    <row r="5" spans="1:26" x14ac:dyDescent="0.2">
      <c r="A5" s="89" t="s">
        <v>7</v>
      </c>
      <c r="B5" s="89" t="s">
        <v>8</v>
      </c>
      <c r="C5" s="89" t="s">
        <v>652</v>
      </c>
      <c r="D5" s="89" t="s">
        <v>653</v>
      </c>
      <c r="E5" s="67" t="s">
        <v>9</v>
      </c>
      <c r="F5" s="89" t="s">
        <v>10</v>
      </c>
      <c r="G5" s="90">
        <v>44616</v>
      </c>
      <c r="H5" s="90">
        <v>44848</v>
      </c>
      <c r="I5" s="91">
        <v>5247000</v>
      </c>
      <c r="J5" s="91">
        <v>576713.81999999995</v>
      </c>
      <c r="K5" s="91">
        <v>0</v>
      </c>
      <c r="L5" s="91">
        <v>0</v>
      </c>
      <c r="M5" s="91">
        <v>0</v>
      </c>
      <c r="N5" s="91">
        <v>0</v>
      </c>
      <c r="O5" s="91">
        <v>576713.81999999995</v>
      </c>
      <c r="P5" s="91">
        <v>0</v>
      </c>
      <c r="Q5" s="91">
        <v>0</v>
      </c>
      <c r="R5" s="91">
        <v>0</v>
      </c>
      <c r="S5" s="91">
        <v>0</v>
      </c>
      <c r="T5" s="91">
        <v>0</v>
      </c>
      <c r="U5" s="91">
        <v>0</v>
      </c>
      <c r="V5" s="91">
        <v>576713.81999999995</v>
      </c>
      <c r="W5" s="91">
        <v>0</v>
      </c>
      <c r="X5" s="91">
        <v>2530.34</v>
      </c>
      <c r="Y5" s="119">
        <v>2530.34</v>
      </c>
      <c r="Z5" s="92">
        <f t="shared" ref="Z5:Z9" si="0">V5-Y5</f>
        <v>574183.48</v>
      </c>
    </row>
    <row r="6" spans="1:26" x14ac:dyDescent="0.2">
      <c r="A6" s="89" t="s">
        <v>472</v>
      </c>
      <c r="B6" s="89" t="s">
        <v>473</v>
      </c>
      <c r="C6" s="89" t="s">
        <v>652</v>
      </c>
      <c r="D6" s="89" t="s">
        <v>653</v>
      </c>
      <c r="E6" s="67" t="s">
        <v>9</v>
      </c>
      <c r="F6" s="89" t="s">
        <v>10</v>
      </c>
      <c r="G6" s="90">
        <v>44226</v>
      </c>
      <c r="H6" s="90">
        <v>44249</v>
      </c>
      <c r="I6" s="91">
        <v>0</v>
      </c>
      <c r="J6" s="91">
        <v>0</v>
      </c>
      <c r="K6" s="91">
        <v>0</v>
      </c>
      <c r="L6" s="91">
        <v>0</v>
      </c>
      <c r="M6" s="91">
        <v>0</v>
      </c>
      <c r="N6" s="91">
        <v>0</v>
      </c>
      <c r="O6" s="91">
        <v>0</v>
      </c>
      <c r="P6" s="91">
        <v>0</v>
      </c>
      <c r="Q6" s="91">
        <v>0</v>
      </c>
      <c r="R6" s="91">
        <v>0</v>
      </c>
      <c r="S6" s="91">
        <v>0</v>
      </c>
      <c r="T6" s="91">
        <v>0</v>
      </c>
      <c r="U6" s="91">
        <v>0</v>
      </c>
      <c r="V6" s="91">
        <v>0</v>
      </c>
      <c r="W6" s="91">
        <v>0</v>
      </c>
      <c r="X6" s="91">
        <v>0</v>
      </c>
      <c r="Y6" s="119">
        <v>0</v>
      </c>
      <c r="Z6" s="92">
        <f t="shared" si="0"/>
        <v>0</v>
      </c>
    </row>
    <row r="7" spans="1:26" x14ac:dyDescent="0.2">
      <c r="A7" s="89" t="s">
        <v>1334</v>
      </c>
      <c r="B7" s="89" t="s">
        <v>1330</v>
      </c>
      <c r="C7" s="89" t="s">
        <v>652</v>
      </c>
      <c r="D7" s="89" t="s">
        <v>653</v>
      </c>
      <c r="E7" s="67" t="s">
        <v>1335</v>
      </c>
      <c r="F7" s="89" t="s">
        <v>1336</v>
      </c>
      <c r="G7" s="90">
        <v>45373</v>
      </c>
      <c r="H7" s="90"/>
      <c r="I7" s="91">
        <v>6000</v>
      </c>
      <c r="J7" s="91">
        <v>0</v>
      </c>
      <c r="K7" s="91">
        <v>0</v>
      </c>
      <c r="L7" s="91">
        <v>4119.62</v>
      </c>
      <c r="M7" s="91">
        <v>0</v>
      </c>
      <c r="N7" s="91">
        <v>0</v>
      </c>
      <c r="O7" s="91">
        <v>4119.62</v>
      </c>
      <c r="P7" s="91">
        <v>0</v>
      </c>
      <c r="Q7" s="91">
        <v>0</v>
      </c>
      <c r="R7" s="91">
        <v>0</v>
      </c>
      <c r="S7" s="91">
        <v>0</v>
      </c>
      <c r="T7" s="91">
        <v>2212.7599999999998</v>
      </c>
      <c r="U7" s="91">
        <v>2212.7599999999998</v>
      </c>
      <c r="V7" s="91">
        <v>1906.8600000000001</v>
      </c>
      <c r="W7" s="91">
        <v>0</v>
      </c>
      <c r="X7" s="91">
        <v>210.02</v>
      </c>
      <c r="Y7" s="119">
        <v>210.02</v>
      </c>
      <c r="Z7" s="92">
        <f t="shared" si="0"/>
        <v>1696.8400000000001</v>
      </c>
    </row>
    <row r="8" spans="1:26" x14ac:dyDescent="0.2">
      <c r="A8" s="89" t="s">
        <v>1329</v>
      </c>
      <c r="B8" s="89" t="s">
        <v>1330</v>
      </c>
      <c r="C8" s="89" t="s">
        <v>652</v>
      </c>
      <c r="D8" s="89" t="s">
        <v>653</v>
      </c>
      <c r="E8" s="67" t="s">
        <v>9</v>
      </c>
      <c r="F8" s="89" t="s">
        <v>10</v>
      </c>
      <c r="G8" s="90">
        <v>45288</v>
      </c>
      <c r="H8" s="90"/>
      <c r="I8" s="91">
        <v>8152950</v>
      </c>
      <c r="J8" s="91">
        <v>0</v>
      </c>
      <c r="K8" s="91">
        <v>0</v>
      </c>
      <c r="L8" s="91">
        <v>0</v>
      </c>
      <c r="M8" s="91">
        <v>0</v>
      </c>
      <c r="N8" s="91">
        <v>0</v>
      </c>
      <c r="O8" s="91">
        <v>0</v>
      </c>
      <c r="P8" s="91">
        <v>0</v>
      </c>
      <c r="Q8" s="91">
        <v>0</v>
      </c>
      <c r="R8" s="91">
        <v>0</v>
      </c>
      <c r="S8" s="91">
        <v>22028.53</v>
      </c>
      <c r="T8" s="91">
        <v>7712.44</v>
      </c>
      <c r="U8" s="91">
        <v>29740.969999999998</v>
      </c>
      <c r="V8" s="91">
        <v>-29740.969999999998</v>
      </c>
      <c r="W8" s="91">
        <v>0</v>
      </c>
      <c r="X8" s="91">
        <v>0</v>
      </c>
      <c r="Y8" s="119">
        <v>0</v>
      </c>
      <c r="Z8" s="92">
        <f t="shared" si="0"/>
        <v>-29740.969999999998</v>
      </c>
    </row>
    <row r="9" spans="1:26" x14ac:dyDescent="0.2">
      <c r="A9" s="89" t="s">
        <v>1087</v>
      </c>
      <c r="B9" s="89" t="s">
        <v>1088</v>
      </c>
      <c r="C9" s="89" t="s">
        <v>652</v>
      </c>
      <c r="D9" s="89" t="s">
        <v>653</v>
      </c>
      <c r="E9" s="67" t="s">
        <v>1089</v>
      </c>
      <c r="F9" s="89" t="s">
        <v>1090</v>
      </c>
      <c r="G9" s="90">
        <v>45075</v>
      </c>
      <c r="H9" s="90"/>
      <c r="I9" s="91">
        <v>389300</v>
      </c>
      <c r="J9" s="91">
        <v>0</v>
      </c>
      <c r="K9" s="91">
        <v>0</v>
      </c>
      <c r="L9" s="91">
        <v>0</v>
      </c>
      <c r="M9" s="91">
        <v>0</v>
      </c>
      <c r="N9" s="91">
        <v>0</v>
      </c>
      <c r="O9" s="91">
        <v>0</v>
      </c>
      <c r="P9" s="91">
        <v>0</v>
      </c>
      <c r="Q9" s="91">
        <v>0</v>
      </c>
      <c r="R9" s="91">
        <v>0</v>
      </c>
      <c r="S9" s="91">
        <v>0</v>
      </c>
      <c r="T9" s="91">
        <v>0</v>
      </c>
      <c r="U9" s="91">
        <v>0</v>
      </c>
      <c r="V9" s="91">
        <v>0</v>
      </c>
      <c r="W9" s="91">
        <v>0</v>
      </c>
      <c r="X9" s="91">
        <v>0</v>
      </c>
      <c r="Y9" s="119">
        <v>0</v>
      </c>
      <c r="Z9" s="92">
        <f t="shared" si="0"/>
        <v>0</v>
      </c>
    </row>
    <row r="10" spans="1:26" s="100" customFormat="1" x14ac:dyDescent="0.2">
      <c r="A10" s="93" t="s">
        <v>613</v>
      </c>
      <c r="B10" s="93"/>
      <c r="C10" s="93"/>
      <c r="D10" s="93"/>
      <c r="E10" s="94"/>
      <c r="F10" s="93"/>
      <c r="G10" s="93"/>
      <c r="H10" s="93"/>
      <c r="I10" s="93">
        <f t="shared" ref="I10:Y10" si="1">SUM(I4:I9)</f>
        <v>66108995</v>
      </c>
      <c r="J10" s="95">
        <f t="shared" si="1"/>
        <v>576713.81999999995</v>
      </c>
      <c r="K10" s="95">
        <f t="shared" si="1"/>
        <v>0</v>
      </c>
      <c r="L10" s="95">
        <f t="shared" si="1"/>
        <v>4119.62</v>
      </c>
      <c r="M10" s="95">
        <f t="shared" si="1"/>
        <v>117776.09</v>
      </c>
      <c r="N10" s="95">
        <f t="shared" si="1"/>
        <v>0</v>
      </c>
      <c r="O10" s="96">
        <f t="shared" si="1"/>
        <v>698609.52999999991</v>
      </c>
      <c r="P10" s="95">
        <f t="shared" si="1"/>
        <v>26308.36</v>
      </c>
      <c r="Q10" s="95">
        <f t="shared" si="1"/>
        <v>0</v>
      </c>
      <c r="R10" s="95">
        <f t="shared" si="1"/>
        <v>6051.19</v>
      </c>
      <c r="S10" s="97">
        <f t="shared" si="1"/>
        <v>22028.53</v>
      </c>
      <c r="T10" s="97">
        <f t="shared" si="1"/>
        <v>29298.039999999997</v>
      </c>
      <c r="U10" s="98">
        <f t="shared" si="1"/>
        <v>83686.12</v>
      </c>
      <c r="V10" s="99">
        <f t="shared" si="1"/>
        <v>614923.40999999992</v>
      </c>
      <c r="W10" s="95">
        <f t="shared" si="1"/>
        <v>0</v>
      </c>
      <c r="X10" s="95">
        <f t="shared" si="1"/>
        <v>8087.7800000000007</v>
      </c>
      <c r="Y10" s="120">
        <f t="shared" si="1"/>
        <v>8087.7800000000007</v>
      </c>
      <c r="Z10" s="122">
        <f t="shared" ref="Z10" si="2">V10-Y10</f>
        <v>606835.62999999989</v>
      </c>
    </row>
  </sheetData>
  <phoneticPr fontId="10" type="noConversion"/>
  <conditionalFormatting sqref="A1">
    <cfRule type="duplicateValues" dxfId="39" priority="3"/>
  </conditionalFormatting>
  <conditionalFormatting sqref="A2 A4:A9">
    <cfRule type="duplicateValues" dxfId="38" priority="10"/>
  </conditionalFormatting>
  <conditionalFormatting sqref="A3">
    <cfRule type="duplicateValues" dxfId="37" priority="2"/>
  </conditionalFormatting>
  <conditionalFormatting sqref="A10">
    <cfRule type="duplicateValues" dxfId="36" priority="1"/>
  </conditionalFormatting>
  <pageMargins left="0.7" right="0.7" top="0.75" bottom="0.75" header="0.3" footer="0.3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00B0F0"/>
  </sheetPr>
  <dimension ref="A1:Z34"/>
  <sheetViews>
    <sheetView workbookViewId="0">
      <pane xSplit="6" ySplit="4" topLeftCell="G14" activePane="bottomRight" state="frozen"/>
      <selection activeCell="F56" sqref="E56:F57"/>
      <selection pane="topRight" activeCell="F56" sqref="E56:F57"/>
      <selection pane="bottomLeft" activeCell="F56" sqref="E56:F57"/>
      <selection pane="bottomRight" activeCell="A4" sqref="A4:Y33"/>
    </sheetView>
  </sheetViews>
  <sheetFormatPr defaultRowHeight="12.75" outlineLevelCol="1" x14ac:dyDescent="0.2"/>
  <cols>
    <col min="1" max="1" width="10.140625" style="72" customWidth="1"/>
    <col min="2" max="2" width="8" style="72" bestFit="1" customWidth="1"/>
    <col min="3" max="3" width="9" style="72" bestFit="1" customWidth="1"/>
    <col min="4" max="4" width="12.5703125" style="72" customWidth="1"/>
    <col min="5" max="5" width="6" style="80" bestFit="1" customWidth="1"/>
    <col min="6" max="6" width="8.140625" style="72" customWidth="1"/>
    <col min="7" max="7" width="13" style="72" bestFit="1" customWidth="1"/>
    <col min="8" max="8" width="11.7109375" style="72" customWidth="1"/>
    <col min="9" max="9" width="12.85546875" style="72" customWidth="1"/>
    <col min="10" max="14" width="11.7109375" style="72" hidden="1" customWidth="1" outlineLevel="1"/>
    <col min="15" max="15" width="11.7109375" style="72" customWidth="1" collapsed="1"/>
    <col min="16" max="20" width="11.7109375" style="72" hidden="1" customWidth="1" outlineLevel="1"/>
    <col min="21" max="21" width="11.7109375" style="72" customWidth="1" collapsed="1"/>
    <col min="22" max="22" width="11.7109375" style="72" customWidth="1"/>
    <col min="23" max="24" width="11.7109375" style="72" hidden="1" customWidth="1" outlineLevel="1"/>
    <col min="25" max="25" width="11.7109375" style="72" customWidth="1" collapsed="1"/>
    <col min="26" max="26" width="12" style="72" customWidth="1"/>
    <col min="27" max="16384" width="9.140625" style="72"/>
  </cols>
  <sheetData>
    <row r="1" spans="1:26" ht="23.25" customHeight="1" x14ac:dyDescent="0.2">
      <c r="A1" s="79" t="s">
        <v>1409</v>
      </c>
    </row>
    <row r="2" spans="1:26" ht="15" customHeight="1" x14ac:dyDescent="0.2">
      <c r="A2" s="81" t="s">
        <v>1139</v>
      </c>
    </row>
    <row r="3" spans="1:26" s="88" customFormat="1" x14ac:dyDescent="0.2">
      <c r="A3" s="82" t="s">
        <v>651</v>
      </c>
      <c r="B3" s="82" t="s">
        <v>659</v>
      </c>
      <c r="C3" s="82" t="s">
        <v>599</v>
      </c>
      <c r="D3" s="82" t="s">
        <v>660</v>
      </c>
      <c r="E3" s="83" t="s">
        <v>578</v>
      </c>
      <c r="F3" s="82" t="s">
        <v>661</v>
      </c>
      <c r="G3" s="82" t="s">
        <v>662</v>
      </c>
      <c r="H3" s="82" t="s">
        <v>581</v>
      </c>
      <c r="I3" s="82" t="s">
        <v>663</v>
      </c>
      <c r="J3" s="84" t="s">
        <v>664</v>
      </c>
      <c r="K3" s="84" t="s">
        <v>665</v>
      </c>
      <c r="L3" s="84" t="s">
        <v>666</v>
      </c>
      <c r="M3" s="84" t="s">
        <v>667</v>
      </c>
      <c r="N3" s="84" t="s">
        <v>668</v>
      </c>
      <c r="O3" s="85" t="s">
        <v>669</v>
      </c>
      <c r="P3" s="84" t="s">
        <v>670</v>
      </c>
      <c r="Q3" s="84" t="s">
        <v>671</v>
      </c>
      <c r="R3" s="84" t="s">
        <v>672</v>
      </c>
      <c r="S3" s="84" t="s">
        <v>1305</v>
      </c>
      <c r="T3" s="84" t="s">
        <v>674</v>
      </c>
      <c r="U3" s="85" t="s">
        <v>675</v>
      </c>
      <c r="V3" s="86" t="s">
        <v>676</v>
      </c>
      <c r="W3" s="84" t="s">
        <v>677</v>
      </c>
      <c r="X3" s="84" t="s">
        <v>678</v>
      </c>
      <c r="Y3" s="118" t="s">
        <v>679</v>
      </c>
      <c r="Z3" s="87" t="s">
        <v>1308</v>
      </c>
    </row>
    <row r="4" spans="1:26" x14ac:dyDescent="0.2">
      <c r="A4" s="89" t="s">
        <v>760</v>
      </c>
      <c r="B4" s="89" t="s">
        <v>761</v>
      </c>
      <c r="C4" s="89">
        <v>801</v>
      </c>
      <c r="D4" s="89" t="s">
        <v>650</v>
      </c>
      <c r="E4" s="67" t="s">
        <v>762</v>
      </c>
      <c r="F4" s="89" t="s">
        <v>763</v>
      </c>
      <c r="G4" s="90">
        <v>44226</v>
      </c>
      <c r="H4" s="90">
        <v>42688</v>
      </c>
      <c r="I4" s="91">
        <v>0</v>
      </c>
      <c r="J4" s="91">
        <v>0</v>
      </c>
      <c r="K4" s="91">
        <v>0</v>
      </c>
      <c r="L4" s="91">
        <v>0</v>
      </c>
      <c r="M4" s="91">
        <v>0</v>
      </c>
      <c r="N4" s="91">
        <v>0</v>
      </c>
      <c r="O4" s="91">
        <v>0</v>
      </c>
      <c r="P4" s="91">
        <v>0</v>
      </c>
      <c r="Q4" s="91">
        <v>0</v>
      </c>
      <c r="R4" s="91">
        <v>0</v>
      </c>
      <c r="S4" s="91">
        <v>0</v>
      </c>
      <c r="T4" s="91">
        <v>0</v>
      </c>
      <c r="U4" s="91">
        <v>0</v>
      </c>
      <c r="V4" s="91">
        <v>0</v>
      </c>
      <c r="W4" s="91">
        <v>0</v>
      </c>
      <c r="X4" s="91">
        <v>0</v>
      </c>
      <c r="Y4" s="119">
        <v>0</v>
      </c>
      <c r="Z4" s="92">
        <f>V4-Y4</f>
        <v>0</v>
      </c>
    </row>
    <row r="5" spans="1:26" x14ac:dyDescent="0.2">
      <c r="A5" s="89" t="s">
        <v>251</v>
      </c>
      <c r="B5" s="89" t="s">
        <v>252</v>
      </c>
      <c r="C5" s="89">
        <v>801</v>
      </c>
      <c r="D5" s="89" t="s">
        <v>650</v>
      </c>
      <c r="E5" s="67">
        <v>438</v>
      </c>
      <c r="F5" s="89" t="s">
        <v>86</v>
      </c>
      <c r="G5" s="90">
        <v>44226</v>
      </c>
      <c r="H5" s="90">
        <v>42391</v>
      </c>
      <c r="I5" s="91">
        <v>0</v>
      </c>
      <c r="J5" s="91">
        <v>0</v>
      </c>
      <c r="K5" s="91">
        <v>0</v>
      </c>
      <c r="L5" s="91">
        <v>0</v>
      </c>
      <c r="M5" s="91">
        <v>0</v>
      </c>
      <c r="N5" s="91">
        <v>0</v>
      </c>
      <c r="O5" s="91">
        <v>0</v>
      </c>
      <c r="P5" s="91">
        <v>0</v>
      </c>
      <c r="Q5" s="91">
        <v>0</v>
      </c>
      <c r="R5" s="91">
        <v>0</v>
      </c>
      <c r="S5" s="91">
        <v>0</v>
      </c>
      <c r="T5" s="91">
        <v>0</v>
      </c>
      <c r="U5" s="91">
        <v>0</v>
      </c>
      <c r="V5" s="91">
        <v>0</v>
      </c>
      <c r="W5" s="91">
        <v>0</v>
      </c>
      <c r="X5" s="91">
        <v>0</v>
      </c>
      <c r="Y5" s="119">
        <v>0</v>
      </c>
      <c r="Z5" s="92">
        <f t="shared" ref="Z5:Z34" si="0">V5-Y5</f>
        <v>0</v>
      </c>
    </row>
    <row r="6" spans="1:26" x14ac:dyDescent="0.2">
      <c r="A6" s="89" t="s">
        <v>390</v>
      </c>
      <c r="B6" s="89" t="s">
        <v>391</v>
      </c>
      <c r="C6" s="89">
        <v>801</v>
      </c>
      <c r="D6" s="89" t="s">
        <v>650</v>
      </c>
      <c r="E6" s="67">
        <v>438</v>
      </c>
      <c r="F6" s="89" t="s">
        <v>86</v>
      </c>
      <c r="G6" s="90">
        <v>44226</v>
      </c>
      <c r="H6" s="90">
        <v>42936</v>
      </c>
      <c r="I6" s="91">
        <v>0</v>
      </c>
      <c r="J6" s="91">
        <v>0</v>
      </c>
      <c r="K6" s="91">
        <v>0</v>
      </c>
      <c r="L6" s="91">
        <v>0</v>
      </c>
      <c r="M6" s="91">
        <v>0</v>
      </c>
      <c r="N6" s="91">
        <v>0</v>
      </c>
      <c r="O6" s="91">
        <v>0</v>
      </c>
      <c r="P6" s="91">
        <v>0</v>
      </c>
      <c r="Q6" s="91">
        <v>0</v>
      </c>
      <c r="R6" s="91">
        <v>0</v>
      </c>
      <c r="S6" s="91">
        <v>0</v>
      </c>
      <c r="T6" s="91">
        <v>0</v>
      </c>
      <c r="U6" s="91">
        <v>0</v>
      </c>
      <c r="V6" s="91">
        <v>0</v>
      </c>
      <c r="W6" s="91">
        <v>0</v>
      </c>
      <c r="X6" s="91">
        <v>0</v>
      </c>
      <c r="Y6" s="119">
        <v>0</v>
      </c>
      <c r="Z6" s="92">
        <f t="shared" si="0"/>
        <v>0</v>
      </c>
    </row>
    <row r="7" spans="1:26" x14ac:dyDescent="0.2">
      <c r="A7" s="89" t="s">
        <v>388</v>
      </c>
      <c r="B7" s="89" t="s">
        <v>389</v>
      </c>
      <c r="C7" s="89">
        <v>801</v>
      </c>
      <c r="D7" s="89" t="s">
        <v>650</v>
      </c>
      <c r="E7" s="67">
        <v>438</v>
      </c>
      <c r="F7" s="89" t="s">
        <v>86</v>
      </c>
      <c r="G7" s="90">
        <v>44226</v>
      </c>
      <c r="H7" s="90">
        <v>42909</v>
      </c>
      <c r="I7" s="91">
        <v>6202000</v>
      </c>
      <c r="J7" s="91">
        <v>0</v>
      </c>
      <c r="K7" s="91">
        <v>0</v>
      </c>
      <c r="L7" s="91">
        <v>0</v>
      </c>
      <c r="M7" s="91">
        <v>0</v>
      </c>
      <c r="N7" s="91">
        <v>0</v>
      </c>
      <c r="O7" s="91">
        <v>0</v>
      </c>
      <c r="P7" s="91">
        <v>3270.48</v>
      </c>
      <c r="Q7" s="91">
        <v>0</v>
      </c>
      <c r="R7" s="91">
        <v>3857.89</v>
      </c>
      <c r="S7" s="91">
        <v>0</v>
      </c>
      <c r="T7" s="91">
        <v>0</v>
      </c>
      <c r="U7" s="91">
        <v>7128.37</v>
      </c>
      <c r="V7" s="91">
        <v>-7128.37</v>
      </c>
      <c r="W7" s="91">
        <v>0</v>
      </c>
      <c r="X7" s="91">
        <v>587.38</v>
      </c>
      <c r="Y7" s="119">
        <v>587.38</v>
      </c>
      <c r="Z7" s="92">
        <f t="shared" si="0"/>
        <v>-7715.75</v>
      </c>
    </row>
    <row r="8" spans="1:26" x14ac:dyDescent="0.2">
      <c r="A8" s="89" t="s">
        <v>386</v>
      </c>
      <c r="B8" s="89" t="s">
        <v>387</v>
      </c>
      <c r="C8" s="89">
        <v>801</v>
      </c>
      <c r="D8" s="89" t="s">
        <v>650</v>
      </c>
      <c r="E8" s="67">
        <v>438</v>
      </c>
      <c r="F8" s="89" t="s">
        <v>86</v>
      </c>
      <c r="G8" s="90">
        <v>44226</v>
      </c>
      <c r="H8" s="90">
        <v>43118</v>
      </c>
      <c r="I8" s="91">
        <v>0</v>
      </c>
      <c r="J8" s="91">
        <v>0</v>
      </c>
      <c r="K8" s="91">
        <v>0</v>
      </c>
      <c r="L8" s="91">
        <v>0</v>
      </c>
      <c r="M8" s="91">
        <v>0</v>
      </c>
      <c r="N8" s="91">
        <v>0</v>
      </c>
      <c r="O8" s="91">
        <v>0</v>
      </c>
      <c r="P8" s="91">
        <v>0</v>
      </c>
      <c r="Q8" s="91">
        <v>0</v>
      </c>
      <c r="R8" s="91">
        <v>70867.8</v>
      </c>
      <c r="S8" s="91">
        <v>0</v>
      </c>
      <c r="T8" s="91">
        <v>0</v>
      </c>
      <c r="U8" s="91">
        <v>70867.8</v>
      </c>
      <c r="V8" s="91">
        <v>-70867.8</v>
      </c>
      <c r="W8" s="91">
        <v>0</v>
      </c>
      <c r="X8" s="91">
        <v>5758.02</v>
      </c>
      <c r="Y8" s="119">
        <v>5758.02</v>
      </c>
      <c r="Z8" s="92">
        <f t="shared" si="0"/>
        <v>-76625.820000000007</v>
      </c>
    </row>
    <row r="9" spans="1:26" x14ac:dyDescent="0.2">
      <c r="A9" s="89" t="s">
        <v>818</v>
      </c>
      <c r="B9" s="89" t="s">
        <v>819</v>
      </c>
      <c r="C9" s="89">
        <v>801</v>
      </c>
      <c r="D9" s="89" t="s">
        <v>650</v>
      </c>
      <c r="E9" s="67">
        <v>438</v>
      </c>
      <c r="F9" s="89" t="s">
        <v>86</v>
      </c>
      <c r="G9" s="90">
        <v>44226</v>
      </c>
      <c r="H9" s="90">
        <v>42690</v>
      </c>
      <c r="I9" s="91">
        <v>0</v>
      </c>
      <c r="J9" s="91">
        <v>0</v>
      </c>
      <c r="K9" s="91">
        <v>0</v>
      </c>
      <c r="L9" s="91">
        <v>0</v>
      </c>
      <c r="M9" s="91">
        <v>0</v>
      </c>
      <c r="N9" s="91">
        <v>0</v>
      </c>
      <c r="O9" s="91">
        <v>0</v>
      </c>
      <c r="P9" s="91">
        <v>0</v>
      </c>
      <c r="Q9" s="91">
        <v>0</v>
      </c>
      <c r="R9" s="91">
        <v>0</v>
      </c>
      <c r="S9" s="91">
        <v>0</v>
      </c>
      <c r="T9" s="91">
        <v>0</v>
      </c>
      <c r="U9" s="91">
        <v>0</v>
      </c>
      <c r="V9" s="91">
        <v>0</v>
      </c>
      <c r="W9" s="91">
        <v>0</v>
      </c>
      <c r="X9" s="91">
        <v>0</v>
      </c>
      <c r="Y9" s="119">
        <v>0</v>
      </c>
      <c r="Z9" s="92">
        <f t="shared" si="0"/>
        <v>0</v>
      </c>
    </row>
    <row r="10" spans="1:26" x14ac:dyDescent="0.2">
      <c r="A10" s="89" t="s">
        <v>384</v>
      </c>
      <c r="B10" s="89" t="s">
        <v>385</v>
      </c>
      <c r="C10" s="89">
        <v>801</v>
      </c>
      <c r="D10" s="89" t="s">
        <v>650</v>
      </c>
      <c r="E10" s="67">
        <v>438</v>
      </c>
      <c r="F10" s="89" t="s">
        <v>86</v>
      </c>
      <c r="G10" s="90">
        <v>44226</v>
      </c>
      <c r="H10" s="90">
        <v>43124</v>
      </c>
      <c r="I10" s="91">
        <v>120006.6</v>
      </c>
      <c r="J10" s="91">
        <v>0</v>
      </c>
      <c r="K10" s="91">
        <v>0</v>
      </c>
      <c r="L10" s="91">
        <v>0</v>
      </c>
      <c r="M10" s="91">
        <v>0</v>
      </c>
      <c r="N10" s="91">
        <v>0</v>
      </c>
      <c r="O10" s="91">
        <v>0</v>
      </c>
      <c r="P10" s="91">
        <v>9208.8799999999992</v>
      </c>
      <c r="Q10" s="91">
        <v>0</v>
      </c>
      <c r="R10" s="91">
        <v>22590.2</v>
      </c>
      <c r="S10" s="91">
        <v>0</v>
      </c>
      <c r="T10" s="91">
        <v>0</v>
      </c>
      <c r="U10" s="91">
        <v>31799.079999999998</v>
      </c>
      <c r="V10" s="91">
        <v>-31799.079999999998</v>
      </c>
      <c r="W10" s="91">
        <v>0</v>
      </c>
      <c r="X10" s="91">
        <v>0</v>
      </c>
      <c r="Y10" s="119">
        <v>0</v>
      </c>
      <c r="Z10" s="92">
        <f t="shared" si="0"/>
        <v>-31799.079999999998</v>
      </c>
    </row>
    <row r="11" spans="1:26" x14ac:dyDescent="0.2">
      <c r="A11" s="89" t="s">
        <v>380</v>
      </c>
      <c r="B11" s="89" t="s">
        <v>381</v>
      </c>
      <c r="C11" s="89">
        <v>801</v>
      </c>
      <c r="D11" s="89" t="s">
        <v>650</v>
      </c>
      <c r="E11" s="67">
        <v>438</v>
      </c>
      <c r="F11" s="89" t="s">
        <v>86</v>
      </c>
      <c r="G11" s="90">
        <v>44226</v>
      </c>
      <c r="H11" s="90">
        <v>43420</v>
      </c>
      <c r="I11" s="91">
        <v>0</v>
      </c>
      <c r="J11" s="91">
        <v>0</v>
      </c>
      <c r="K11" s="91">
        <v>0</v>
      </c>
      <c r="L11" s="91">
        <v>0</v>
      </c>
      <c r="M11" s="91">
        <v>0</v>
      </c>
      <c r="N11" s="91">
        <v>0</v>
      </c>
      <c r="O11" s="91">
        <v>0</v>
      </c>
      <c r="P11" s="91">
        <v>0</v>
      </c>
      <c r="Q11" s="91">
        <v>0</v>
      </c>
      <c r="R11" s="91">
        <v>26399.090000000004</v>
      </c>
      <c r="S11" s="91">
        <v>0</v>
      </c>
      <c r="T11" s="91">
        <v>0</v>
      </c>
      <c r="U11" s="91">
        <v>26399.090000000004</v>
      </c>
      <c r="V11" s="91">
        <v>-26399.090000000004</v>
      </c>
      <c r="W11" s="91">
        <v>0</v>
      </c>
      <c r="X11" s="91">
        <v>0</v>
      </c>
      <c r="Y11" s="119">
        <v>0</v>
      </c>
      <c r="Z11" s="92">
        <f t="shared" si="0"/>
        <v>-26399.090000000004</v>
      </c>
    </row>
    <row r="12" spans="1:26" x14ac:dyDescent="0.2">
      <c r="A12" s="89" t="s">
        <v>376</v>
      </c>
      <c r="B12" s="89" t="s">
        <v>377</v>
      </c>
      <c r="C12" s="89">
        <v>801</v>
      </c>
      <c r="D12" s="89" t="s">
        <v>650</v>
      </c>
      <c r="E12" s="67">
        <v>438</v>
      </c>
      <c r="F12" s="89" t="s">
        <v>86</v>
      </c>
      <c r="G12" s="90">
        <v>44226</v>
      </c>
      <c r="H12" s="90">
        <v>44054</v>
      </c>
      <c r="I12" s="91">
        <v>0</v>
      </c>
      <c r="J12" s="91">
        <v>0</v>
      </c>
      <c r="K12" s="91">
        <v>0</v>
      </c>
      <c r="L12" s="91">
        <v>0</v>
      </c>
      <c r="M12" s="91">
        <v>0</v>
      </c>
      <c r="N12" s="91">
        <v>0</v>
      </c>
      <c r="O12" s="91">
        <v>0</v>
      </c>
      <c r="P12" s="91">
        <v>0</v>
      </c>
      <c r="Q12" s="91">
        <v>0</v>
      </c>
      <c r="R12" s="91">
        <v>18447.75</v>
      </c>
      <c r="S12" s="91">
        <v>0</v>
      </c>
      <c r="T12" s="91">
        <v>4282.82</v>
      </c>
      <c r="U12" s="91">
        <v>22730.57</v>
      </c>
      <c r="V12" s="91">
        <v>-22730.57</v>
      </c>
      <c r="W12" s="91">
        <v>0</v>
      </c>
      <c r="X12" s="91">
        <v>782.37</v>
      </c>
      <c r="Y12" s="119">
        <v>782.37</v>
      </c>
      <c r="Z12" s="92">
        <f t="shared" si="0"/>
        <v>-23512.94</v>
      </c>
    </row>
    <row r="13" spans="1:26" x14ac:dyDescent="0.2">
      <c r="A13" s="89" t="s">
        <v>126</v>
      </c>
      <c r="B13" s="89" t="s">
        <v>127</v>
      </c>
      <c r="C13" s="89">
        <v>801</v>
      </c>
      <c r="D13" s="89" t="s">
        <v>650</v>
      </c>
      <c r="E13" s="67">
        <v>438</v>
      </c>
      <c r="F13" s="89" t="s">
        <v>86</v>
      </c>
      <c r="G13" s="90">
        <v>44516</v>
      </c>
      <c r="H13" s="90">
        <v>44937</v>
      </c>
      <c r="I13" s="91">
        <v>7342600</v>
      </c>
      <c r="J13" s="91">
        <v>0</v>
      </c>
      <c r="K13" s="91">
        <v>0</v>
      </c>
      <c r="L13" s="91">
        <v>120388.34</v>
      </c>
      <c r="M13" s="91">
        <v>0</v>
      </c>
      <c r="N13" s="91">
        <v>0</v>
      </c>
      <c r="O13" s="91">
        <v>120388.34</v>
      </c>
      <c r="P13" s="91">
        <v>0</v>
      </c>
      <c r="Q13" s="91">
        <v>0</v>
      </c>
      <c r="R13" s="91">
        <v>0</v>
      </c>
      <c r="S13" s="91">
        <v>0</v>
      </c>
      <c r="T13" s="91">
        <v>0</v>
      </c>
      <c r="U13" s="91">
        <v>0</v>
      </c>
      <c r="V13" s="91">
        <v>120388.34</v>
      </c>
      <c r="W13" s="91">
        <v>0</v>
      </c>
      <c r="X13" s="91">
        <v>3166.03</v>
      </c>
      <c r="Y13" s="119">
        <v>3166.03</v>
      </c>
      <c r="Z13" s="92">
        <f t="shared" si="0"/>
        <v>117222.31</v>
      </c>
    </row>
    <row r="14" spans="1:26" x14ac:dyDescent="0.2">
      <c r="A14" s="89" t="s">
        <v>140</v>
      </c>
      <c r="B14" s="89" t="s">
        <v>141</v>
      </c>
      <c r="C14" s="89">
        <v>801</v>
      </c>
      <c r="D14" s="89" t="s">
        <v>650</v>
      </c>
      <c r="E14" s="67">
        <v>438</v>
      </c>
      <c r="F14" s="89" t="s">
        <v>86</v>
      </c>
      <c r="G14" s="90">
        <v>44706</v>
      </c>
      <c r="H14" s="90"/>
      <c r="I14" s="91">
        <v>25730568</v>
      </c>
      <c r="J14" s="91">
        <v>0</v>
      </c>
      <c r="K14" s="91">
        <v>0</v>
      </c>
      <c r="L14" s="91">
        <v>315522.76</v>
      </c>
      <c r="M14" s="91">
        <v>0</v>
      </c>
      <c r="N14" s="91">
        <v>0</v>
      </c>
      <c r="O14" s="91">
        <v>315522.76</v>
      </c>
      <c r="P14" s="91">
        <v>0</v>
      </c>
      <c r="Q14" s="91">
        <v>0</v>
      </c>
      <c r="R14" s="91">
        <v>2576.1499999999996</v>
      </c>
      <c r="S14" s="91">
        <v>0</v>
      </c>
      <c r="T14" s="91">
        <v>48234.58</v>
      </c>
      <c r="U14" s="91">
        <v>50810.729999999996</v>
      </c>
      <c r="V14" s="91">
        <v>264712.03000000003</v>
      </c>
      <c r="W14" s="91">
        <v>0</v>
      </c>
      <c r="X14" s="91">
        <v>0</v>
      </c>
      <c r="Y14" s="119">
        <v>0</v>
      </c>
      <c r="Z14" s="92">
        <f t="shared" si="0"/>
        <v>264712.03000000003</v>
      </c>
    </row>
    <row r="15" spans="1:26" x14ac:dyDescent="0.2">
      <c r="A15" s="89" t="s">
        <v>337</v>
      </c>
      <c r="B15" s="89" t="s">
        <v>338</v>
      </c>
      <c r="C15" s="89">
        <v>801</v>
      </c>
      <c r="D15" s="89" t="s">
        <v>650</v>
      </c>
      <c r="E15" s="67" t="s">
        <v>39</v>
      </c>
      <c r="F15" s="89" t="s">
        <v>40</v>
      </c>
      <c r="G15" s="90">
        <v>44226</v>
      </c>
      <c r="H15" s="90">
        <v>44362</v>
      </c>
      <c r="I15" s="91">
        <v>0</v>
      </c>
      <c r="J15" s="91">
        <v>82005</v>
      </c>
      <c r="K15" s="91">
        <v>0</v>
      </c>
      <c r="L15" s="91">
        <v>0</v>
      </c>
      <c r="M15" s="91">
        <v>0</v>
      </c>
      <c r="N15" s="91">
        <v>0</v>
      </c>
      <c r="O15" s="91">
        <v>82005</v>
      </c>
      <c r="P15" s="91">
        <v>50929.01</v>
      </c>
      <c r="Q15" s="91">
        <v>0</v>
      </c>
      <c r="R15" s="91">
        <v>13594.86</v>
      </c>
      <c r="S15" s="91">
        <v>0</v>
      </c>
      <c r="T15" s="91">
        <v>0</v>
      </c>
      <c r="U15" s="91">
        <v>64523.87000000001</v>
      </c>
      <c r="V15" s="91">
        <v>17481.129999999994</v>
      </c>
      <c r="W15" s="91">
        <v>0</v>
      </c>
      <c r="X15" s="91">
        <v>17586.16</v>
      </c>
      <c r="Y15" s="119">
        <v>17586.16</v>
      </c>
      <c r="Z15" s="92">
        <f t="shared" si="0"/>
        <v>-105.03000000000611</v>
      </c>
    </row>
    <row r="16" spans="1:26" x14ac:dyDescent="0.2">
      <c r="A16" s="89" t="s">
        <v>566</v>
      </c>
      <c r="B16" s="89" t="s">
        <v>567</v>
      </c>
      <c r="C16" s="89">
        <v>801</v>
      </c>
      <c r="D16" s="89" t="s">
        <v>650</v>
      </c>
      <c r="E16" s="67" t="s">
        <v>568</v>
      </c>
      <c r="F16" s="89" t="s">
        <v>569</v>
      </c>
      <c r="G16" s="90">
        <v>44226</v>
      </c>
      <c r="H16" s="90">
        <v>44088</v>
      </c>
      <c r="I16" s="91">
        <v>0</v>
      </c>
      <c r="J16" s="91">
        <v>0</v>
      </c>
      <c r="K16" s="91">
        <v>0</v>
      </c>
      <c r="L16" s="91">
        <v>0</v>
      </c>
      <c r="M16" s="91">
        <v>0</v>
      </c>
      <c r="N16" s="91">
        <v>26520</v>
      </c>
      <c r="O16" s="91">
        <v>26520</v>
      </c>
      <c r="P16" s="91">
        <v>0</v>
      </c>
      <c r="Q16" s="91">
        <v>0</v>
      </c>
      <c r="R16" s="91">
        <v>0</v>
      </c>
      <c r="S16" s="91">
        <v>0</v>
      </c>
      <c r="T16" s="91">
        <v>0</v>
      </c>
      <c r="U16" s="91">
        <v>0</v>
      </c>
      <c r="V16" s="91">
        <v>26520</v>
      </c>
      <c r="W16" s="91">
        <v>0</v>
      </c>
      <c r="X16" s="91">
        <v>0</v>
      </c>
      <c r="Y16" s="119">
        <v>0</v>
      </c>
      <c r="Z16" s="92">
        <f t="shared" si="0"/>
        <v>26520</v>
      </c>
    </row>
    <row r="17" spans="1:26" x14ac:dyDescent="0.2">
      <c r="A17" s="89" t="s">
        <v>472</v>
      </c>
      <c r="B17" s="89" t="s">
        <v>473</v>
      </c>
      <c r="C17" s="89">
        <v>801</v>
      </c>
      <c r="D17" s="89" t="s">
        <v>650</v>
      </c>
      <c r="E17" s="67" t="s">
        <v>9</v>
      </c>
      <c r="F17" s="89" t="s">
        <v>10</v>
      </c>
      <c r="G17" s="90">
        <v>44226</v>
      </c>
      <c r="H17" s="90">
        <v>44249</v>
      </c>
      <c r="I17" s="91">
        <v>0</v>
      </c>
      <c r="J17" s="91">
        <v>0</v>
      </c>
      <c r="K17" s="91">
        <v>0</v>
      </c>
      <c r="L17" s="91">
        <v>0</v>
      </c>
      <c r="M17" s="91">
        <v>0</v>
      </c>
      <c r="N17" s="91">
        <v>0</v>
      </c>
      <c r="O17" s="91">
        <v>0</v>
      </c>
      <c r="P17" s="91">
        <v>0</v>
      </c>
      <c r="Q17" s="91">
        <v>0</v>
      </c>
      <c r="R17" s="91">
        <v>1541.4599999999998</v>
      </c>
      <c r="S17" s="91">
        <v>0</v>
      </c>
      <c r="T17" s="91">
        <v>0</v>
      </c>
      <c r="U17" s="91">
        <v>1541.4599999999998</v>
      </c>
      <c r="V17" s="91">
        <v>-1541.4599999999998</v>
      </c>
      <c r="W17" s="91">
        <v>0</v>
      </c>
      <c r="X17" s="91">
        <v>0</v>
      </c>
      <c r="Y17" s="119">
        <v>0</v>
      </c>
      <c r="Z17" s="92">
        <f t="shared" si="0"/>
        <v>-1541.4599999999998</v>
      </c>
    </row>
    <row r="18" spans="1:26" x14ac:dyDescent="0.2">
      <c r="A18" s="89" t="s">
        <v>220</v>
      </c>
      <c r="B18" s="89" t="s">
        <v>221</v>
      </c>
      <c r="C18" s="89">
        <v>801</v>
      </c>
      <c r="D18" s="89" t="s">
        <v>650</v>
      </c>
      <c r="E18" s="67" t="s">
        <v>9</v>
      </c>
      <c r="F18" s="89" t="s">
        <v>10</v>
      </c>
      <c r="G18" s="90">
        <v>44226</v>
      </c>
      <c r="H18" s="90">
        <v>44195</v>
      </c>
      <c r="I18" s="91">
        <v>4630730.5</v>
      </c>
      <c r="J18" s="91">
        <v>0</v>
      </c>
      <c r="K18" s="91">
        <v>0</v>
      </c>
      <c r="L18" s="91">
        <v>0</v>
      </c>
      <c r="M18" s="91">
        <v>0</v>
      </c>
      <c r="N18" s="91">
        <v>0</v>
      </c>
      <c r="O18" s="91">
        <v>0</v>
      </c>
      <c r="P18" s="91">
        <v>0</v>
      </c>
      <c r="Q18" s="91">
        <v>0</v>
      </c>
      <c r="R18" s="91">
        <v>0</v>
      </c>
      <c r="S18" s="91">
        <v>0</v>
      </c>
      <c r="T18" s="91">
        <v>0</v>
      </c>
      <c r="U18" s="91">
        <v>0</v>
      </c>
      <c r="V18" s="91">
        <v>0</v>
      </c>
      <c r="W18" s="91">
        <v>0</v>
      </c>
      <c r="X18" s="91">
        <v>0</v>
      </c>
      <c r="Y18" s="119">
        <v>0</v>
      </c>
      <c r="Z18" s="92">
        <f t="shared" si="0"/>
        <v>0</v>
      </c>
    </row>
    <row r="19" spans="1:26" x14ac:dyDescent="0.2">
      <c r="A19" s="89" t="s">
        <v>374</v>
      </c>
      <c r="B19" s="89" t="s">
        <v>375</v>
      </c>
      <c r="C19" s="89">
        <v>801</v>
      </c>
      <c r="D19" s="89" t="s">
        <v>650</v>
      </c>
      <c r="E19" s="67">
        <v>438</v>
      </c>
      <c r="F19" s="89" t="s">
        <v>86</v>
      </c>
      <c r="G19" s="90">
        <v>44226</v>
      </c>
      <c r="H19" s="90">
        <v>44005</v>
      </c>
      <c r="I19" s="91">
        <v>0</v>
      </c>
      <c r="J19" s="91">
        <v>0</v>
      </c>
      <c r="K19" s="91">
        <v>0</v>
      </c>
      <c r="L19" s="91">
        <v>0</v>
      </c>
      <c r="M19" s="91">
        <v>0</v>
      </c>
      <c r="N19" s="91">
        <v>0</v>
      </c>
      <c r="O19" s="91">
        <v>0</v>
      </c>
      <c r="P19" s="91">
        <v>0</v>
      </c>
      <c r="Q19" s="91">
        <v>0</v>
      </c>
      <c r="R19" s="91">
        <v>873.68000000000006</v>
      </c>
      <c r="S19" s="91">
        <v>0</v>
      </c>
      <c r="T19" s="91">
        <v>0</v>
      </c>
      <c r="U19" s="91">
        <v>873.68000000000006</v>
      </c>
      <c r="V19" s="91">
        <v>-873.68000000000006</v>
      </c>
      <c r="W19" s="91">
        <v>0</v>
      </c>
      <c r="X19" s="91">
        <v>0</v>
      </c>
      <c r="Y19" s="119">
        <v>0</v>
      </c>
      <c r="Z19" s="92">
        <f t="shared" si="0"/>
        <v>-873.68000000000006</v>
      </c>
    </row>
    <row r="20" spans="1:26" x14ac:dyDescent="0.2">
      <c r="A20" s="89" t="s">
        <v>927</v>
      </c>
      <c r="B20" s="89" t="s">
        <v>928</v>
      </c>
      <c r="C20" s="89">
        <v>801</v>
      </c>
      <c r="D20" s="89" t="s">
        <v>650</v>
      </c>
      <c r="E20" s="67">
        <v>438</v>
      </c>
      <c r="F20" s="89" t="s">
        <v>86</v>
      </c>
      <c r="G20" s="90">
        <v>44226</v>
      </c>
      <c r="H20" s="90">
        <v>44252</v>
      </c>
      <c r="I20" s="91">
        <v>0</v>
      </c>
      <c r="J20" s="91">
        <v>0</v>
      </c>
      <c r="K20" s="91">
        <v>0</v>
      </c>
      <c r="L20" s="91">
        <v>0</v>
      </c>
      <c r="M20" s="91">
        <v>0</v>
      </c>
      <c r="N20" s="91">
        <v>0</v>
      </c>
      <c r="O20" s="91">
        <v>0</v>
      </c>
      <c r="P20" s="91">
        <v>0</v>
      </c>
      <c r="Q20" s="91">
        <v>0</v>
      </c>
      <c r="R20" s="91">
        <v>0</v>
      </c>
      <c r="S20" s="91">
        <v>0</v>
      </c>
      <c r="T20" s="91">
        <v>0</v>
      </c>
      <c r="U20" s="91">
        <v>0</v>
      </c>
      <c r="V20" s="91">
        <v>0</v>
      </c>
      <c r="W20" s="91">
        <v>0</v>
      </c>
      <c r="X20" s="91">
        <v>0</v>
      </c>
      <c r="Y20" s="119">
        <v>0</v>
      </c>
      <c r="Z20" s="92">
        <f t="shared" si="0"/>
        <v>0</v>
      </c>
    </row>
    <row r="21" spans="1:26" x14ac:dyDescent="0.2">
      <c r="A21" s="89" t="s">
        <v>929</v>
      </c>
      <c r="B21" s="89" t="s">
        <v>930</v>
      </c>
      <c r="C21" s="89">
        <v>801</v>
      </c>
      <c r="D21" s="89" t="s">
        <v>650</v>
      </c>
      <c r="E21" s="67" t="s">
        <v>762</v>
      </c>
      <c r="F21" s="89" t="s">
        <v>763</v>
      </c>
      <c r="G21" s="90">
        <v>44226</v>
      </c>
      <c r="H21" s="90">
        <v>43490</v>
      </c>
      <c r="I21" s="91">
        <v>0</v>
      </c>
      <c r="J21" s="91">
        <v>0</v>
      </c>
      <c r="K21" s="91">
        <v>0</v>
      </c>
      <c r="L21" s="91">
        <v>0</v>
      </c>
      <c r="M21" s="91">
        <v>0</v>
      </c>
      <c r="N21" s="91">
        <v>34320</v>
      </c>
      <c r="O21" s="91">
        <v>34320</v>
      </c>
      <c r="P21" s="91">
        <v>0</v>
      </c>
      <c r="Q21" s="91">
        <v>0</v>
      </c>
      <c r="R21" s="91">
        <v>0</v>
      </c>
      <c r="S21" s="91">
        <v>0</v>
      </c>
      <c r="T21" s="91">
        <v>0</v>
      </c>
      <c r="U21" s="91">
        <v>0</v>
      </c>
      <c r="V21" s="91">
        <v>34320</v>
      </c>
      <c r="W21" s="91">
        <v>0</v>
      </c>
      <c r="X21" s="91">
        <v>0</v>
      </c>
      <c r="Y21" s="119">
        <v>0</v>
      </c>
      <c r="Z21" s="92">
        <f t="shared" si="0"/>
        <v>34320</v>
      </c>
    </row>
    <row r="22" spans="1:26" x14ac:dyDescent="0.2">
      <c r="A22" s="89" t="s">
        <v>37</v>
      </c>
      <c r="B22" s="89" t="s">
        <v>38</v>
      </c>
      <c r="C22" s="89">
        <v>801</v>
      </c>
      <c r="D22" s="89" t="s">
        <v>650</v>
      </c>
      <c r="E22" s="67" t="s">
        <v>39</v>
      </c>
      <c r="F22" s="89" t="s">
        <v>40</v>
      </c>
      <c r="G22" s="90">
        <v>44446</v>
      </c>
      <c r="H22" s="90"/>
      <c r="I22" s="91">
        <v>2096100</v>
      </c>
      <c r="J22" s="91">
        <v>0</v>
      </c>
      <c r="K22" s="91">
        <v>0</v>
      </c>
      <c r="L22" s="91">
        <v>0</v>
      </c>
      <c r="M22" s="91">
        <v>0</v>
      </c>
      <c r="N22" s="91">
        <v>0</v>
      </c>
      <c r="O22" s="91">
        <v>0</v>
      </c>
      <c r="P22" s="91">
        <v>0</v>
      </c>
      <c r="Q22" s="91">
        <v>0</v>
      </c>
      <c r="R22" s="91">
        <v>0</v>
      </c>
      <c r="S22" s="91">
        <v>0</v>
      </c>
      <c r="T22" s="91">
        <v>0</v>
      </c>
      <c r="U22" s="91">
        <v>0</v>
      </c>
      <c r="V22" s="91">
        <v>0</v>
      </c>
      <c r="W22" s="91">
        <v>0</v>
      </c>
      <c r="X22" s="91">
        <v>0</v>
      </c>
      <c r="Y22" s="119">
        <v>0</v>
      </c>
      <c r="Z22" s="92">
        <f t="shared" si="0"/>
        <v>0</v>
      </c>
    </row>
    <row r="23" spans="1:26" x14ac:dyDescent="0.2">
      <c r="A23" s="89" t="s">
        <v>959</v>
      </c>
      <c r="B23" s="89" t="s">
        <v>960</v>
      </c>
      <c r="C23" s="89">
        <v>801</v>
      </c>
      <c r="D23" s="89" t="s">
        <v>650</v>
      </c>
      <c r="E23" s="67" t="s">
        <v>961</v>
      </c>
      <c r="F23" s="89" t="s">
        <v>962</v>
      </c>
      <c r="G23" s="90">
        <v>45068</v>
      </c>
      <c r="H23" s="90"/>
      <c r="I23" s="91">
        <v>834000</v>
      </c>
      <c r="J23" s="91">
        <v>0</v>
      </c>
      <c r="K23" s="91">
        <v>0</v>
      </c>
      <c r="L23" s="91">
        <v>0</v>
      </c>
      <c r="M23" s="91">
        <v>0</v>
      </c>
      <c r="N23" s="91">
        <v>0</v>
      </c>
      <c r="O23" s="91">
        <v>0</v>
      </c>
      <c r="P23" s="91">
        <v>0</v>
      </c>
      <c r="Q23" s="91">
        <v>0</v>
      </c>
      <c r="R23" s="91">
        <v>0</v>
      </c>
      <c r="S23" s="91">
        <v>10744.34</v>
      </c>
      <c r="T23" s="91">
        <v>43921.45</v>
      </c>
      <c r="U23" s="91">
        <v>54665.790000000008</v>
      </c>
      <c r="V23" s="91">
        <v>-54665.790000000008</v>
      </c>
      <c r="W23" s="91">
        <v>0</v>
      </c>
      <c r="X23" s="91">
        <v>0</v>
      </c>
      <c r="Y23" s="119">
        <v>0</v>
      </c>
      <c r="Z23" s="92">
        <f t="shared" si="0"/>
        <v>-54665.790000000008</v>
      </c>
    </row>
    <row r="24" spans="1:26" x14ac:dyDescent="0.2">
      <c r="A24" s="89" t="s">
        <v>967</v>
      </c>
      <c r="B24" s="89" t="s">
        <v>968</v>
      </c>
      <c r="C24" s="89">
        <v>801</v>
      </c>
      <c r="D24" s="89" t="s">
        <v>650</v>
      </c>
      <c r="E24" s="67" t="s">
        <v>762</v>
      </c>
      <c r="F24" s="89" t="s">
        <v>763</v>
      </c>
      <c r="G24" s="90">
        <v>44226</v>
      </c>
      <c r="H24" s="90">
        <v>42391</v>
      </c>
      <c r="I24" s="91">
        <v>0</v>
      </c>
      <c r="J24" s="91">
        <v>0</v>
      </c>
      <c r="K24" s="91">
        <v>0</v>
      </c>
      <c r="L24" s="91">
        <v>0</v>
      </c>
      <c r="M24" s="91">
        <v>0</v>
      </c>
      <c r="N24" s="91">
        <v>0</v>
      </c>
      <c r="O24" s="91">
        <v>0</v>
      </c>
      <c r="P24" s="91">
        <v>0</v>
      </c>
      <c r="Q24" s="91">
        <v>0</v>
      </c>
      <c r="R24" s="91">
        <v>0</v>
      </c>
      <c r="S24" s="91">
        <v>0</v>
      </c>
      <c r="T24" s="91">
        <v>0</v>
      </c>
      <c r="U24" s="91">
        <v>0</v>
      </c>
      <c r="V24" s="91">
        <v>0</v>
      </c>
      <c r="W24" s="91">
        <v>0</v>
      </c>
      <c r="X24" s="91">
        <v>0</v>
      </c>
      <c r="Y24" s="119">
        <v>0</v>
      </c>
      <c r="Z24" s="92">
        <f t="shared" si="0"/>
        <v>0</v>
      </c>
    </row>
    <row r="25" spans="1:26" x14ac:dyDescent="0.2">
      <c r="A25" s="89" t="s">
        <v>969</v>
      </c>
      <c r="B25" s="89" t="s">
        <v>970</v>
      </c>
      <c r="C25" s="89">
        <v>801</v>
      </c>
      <c r="D25" s="89" t="s">
        <v>650</v>
      </c>
      <c r="E25" s="67" t="s">
        <v>762</v>
      </c>
      <c r="F25" s="89" t="s">
        <v>763</v>
      </c>
      <c r="G25" s="90">
        <v>44226</v>
      </c>
      <c r="H25" s="90">
        <v>43763</v>
      </c>
      <c r="I25" s="91">
        <v>0</v>
      </c>
      <c r="J25" s="91">
        <v>0</v>
      </c>
      <c r="K25" s="91">
        <v>0</v>
      </c>
      <c r="L25" s="91">
        <v>0</v>
      </c>
      <c r="M25" s="91">
        <v>0</v>
      </c>
      <c r="N25" s="91">
        <v>0</v>
      </c>
      <c r="O25" s="91">
        <v>0</v>
      </c>
      <c r="P25" s="91">
        <v>0</v>
      </c>
      <c r="Q25" s="91">
        <v>0</v>
      </c>
      <c r="R25" s="91">
        <v>0</v>
      </c>
      <c r="S25" s="91">
        <v>0</v>
      </c>
      <c r="T25" s="91">
        <v>0</v>
      </c>
      <c r="U25" s="91">
        <v>0</v>
      </c>
      <c r="V25" s="91">
        <v>0</v>
      </c>
      <c r="W25" s="91">
        <v>0</v>
      </c>
      <c r="X25" s="91">
        <v>0</v>
      </c>
      <c r="Y25" s="119">
        <v>0</v>
      </c>
      <c r="Z25" s="92">
        <f t="shared" si="0"/>
        <v>0</v>
      </c>
    </row>
    <row r="26" spans="1:26" x14ac:dyDescent="0.2">
      <c r="A26" s="89" t="s">
        <v>839</v>
      </c>
      <c r="B26" s="89" t="s">
        <v>840</v>
      </c>
      <c r="C26" s="89">
        <v>801</v>
      </c>
      <c r="D26" s="89" t="s">
        <v>650</v>
      </c>
      <c r="E26" s="67" t="s">
        <v>841</v>
      </c>
      <c r="F26" s="89" t="s">
        <v>842</v>
      </c>
      <c r="G26" s="90">
        <v>44903</v>
      </c>
      <c r="H26" s="90"/>
      <c r="I26" s="91">
        <v>9660000</v>
      </c>
      <c r="J26" s="91">
        <v>0</v>
      </c>
      <c r="K26" s="91">
        <v>0</v>
      </c>
      <c r="L26" s="91">
        <v>0</v>
      </c>
      <c r="M26" s="91">
        <v>0</v>
      </c>
      <c r="N26" s="91">
        <v>0</v>
      </c>
      <c r="O26" s="91">
        <v>0</v>
      </c>
      <c r="P26" s="91">
        <v>1949.24</v>
      </c>
      <c r="Q26" s="91">
        <v>0</v>
      </c>
      <c r="R26" s="91">
        <v>2208.8900000000003</v>
      </c>
      <c r="S26" s="91">
        <v>0</v>
      </c>
      <c r="T26" s="91">
        <v>0</v>
      </c>
      <c r="U26" s="91">
        <v>4158.13</v>
      </c>
      <c r="V26" s="91">
        <v>-4158.13</v>
      </c>
      <c r="W26" s="91">
        <v>0</v>
      </c>
      <c r="X26" s="91">
        <v>3003.89</v>
      </c>
      <c r="Y26" s="119">
        <v>3003.89</v>
      </c>
      <c r="Z26" s="92">
        <f t="shared" si="0"/>
        <v>-7162.02</v>
      </c>
    </row>
    <row r="27" spans="1:26" x14ac:dyDescent="0.2">
      <c r="A27" s="89" t="s">
        <v>253</v>
      </c>
      <c r="B27" s="89" t="s">
        <v>254</v>
      </c>
      <c r="C27" s="89">
        <v>801</v>
      </c>
      <c r="D27" s="89" t="s">
        <v>650</v>
      </c>
      <c r="E27" s="67">
        <v>438</v>
      </c>
      <c r="F27" s="89" t="s">
        <v>86</v>
      </c>
      <c r="G27" s="90">
        <v>44302</v>
      </c>
      <c r="H27" s="90">
        <v>44364</v>
      </c>
      <c r="I27" s="91">
        <v>523426.2</v>
      </c>
      <c r="J27" s="91">
        <v>0</v>
      </c>
      <c r="K27" s="91">
        <v>0</v>
      </c>
      <c r="L27" s="91">
        <v>0</v>
      </c>
      <c r="M27" s="91">
        <v>0</v>
      </c>
      <c r="N27" s="91">
        <v>0</v>
      </c>
      <c r="O27" s="91">
        <v>0</v>
      </c>
      <c r="P27" s="91">
        <v>0</v>
      </c>
      <c r="Q27" s="91">
        <v>0</v>
      </c>
      <c r="R27" s="91">
        <v>0</v>
      </c>
      <c r="S27" s="91">
        <v>0</v>
      </c>
      <c r="T27" s="91">
        <v>0</v>
      </c>
      <c r="U27" s="91">
        <v>0</v>
      </c>
      <c r="V27" s="91">
        <v>0</v>
      </c>
      <c r="W27" s="91">
        <v>0</v>
      </c>
      <c r="X27" s="91">
        <v>0</v>
      </c>
      <c r="Y27" s="119">
        <v>0</v>
      </c>
      <c r="Z27" s="92">
        <f t="shared" si="0"/>
        <v>0</v>
      </c>
    </row>
    <row r="28" spans="1:26" x14ac:dyDescent="0.2">
      <c r="A28" s="89" t="s">
        <v>130</v>
      </c>
      <c r="B28" s="89" t="s">
        <v>131</v>
      </c>
      <c r="C28" s="89">
        <v>801</v>
      </c>
      <c r="D28" s="89" t="s">
        <v>650</v>
      </c>
      <c r="E28" s="67">
        <v>438</v>
      </c>
      <c r="F28" s="89" t="s">
        <v>86</v>
      </c>
      <c r="G28" s="90">
        <v>44442</v>
      </c>
      <c r="H28" s="90">
        <v>44873</v>
      </c>
      <c r="I28" s="91">
        <v>110000</v>
      </c>
      <c r="J28" s="91">
        <v>0</v>
      </c>
      <c r="K28" s="91">
        <v>0</v>
      </c>
      <c r="L28" s="91">
        <v>0</v>
      </c>
      <c r="M28" s="91">
        <v>0</v>
      </c>
      <c r="N28" s="91">
        <v>0</v>
      </c>
      <c r="O28" s="91">
        <v>0</v>
      </c>
      <c r="P28" s="91">
        <v>0</v>
      </c>
      <c r="Q28" s="91">
        <v>0</v>
      </c>
      <c r="R28" s="91">
        <v>0</v>
      </c>
      <c r="S28" s="91">
        <v>0</v>
      </c>
      <c r="T28" s="91">
        <v>0</v>
      </c>
      <c r="U28" s="91">
        <v>0</v>
      </c>
      <c r="V28" s="91">
        <v>0</v>
      </c>
      <c r="W28" s="91">
        <v>0</v>
      </c>
      <c r="X28" s="91">
        <v>0</v>
      </c>
      <c r="Y28" s="119">
        <v>0</v>
      </c>
      <c r="Z28" s="92">
        <f t="shared" si="0"/>
        <v>0</v>
      </c>
    </row>
    <row r="29" spans="1:26" x14ac:dyDescent="0.2">
      <c r="A29" s="89" t="s">
        <v>1124</v>
      </c>
      <c r="B29" s="89" t="s">
        <v>1125</v>
      </c>
      <c r="C29" s="89">
        <v>801</v>
      </c>
      <c r="D29" s="89" t="s">
        <v>650</v>
      </c>
      <c r="E29" s="67">
        <v>438</v>
      </c>
      <c r="F29" s="89" t="s">
        <v>86</v>
      </c>
      <c r="G29" s="90">
        <v>45301</v>
      </c>
      <c r="H29" s="90"/>
      <c r="I29" s="91">
        <v>78309</v>
      </c>
      <c r="J29" s="91">
        <v>8629.99</v>
      </c>
      <c r="K29" s="91">
        <v>0</v>
      </c>
      <c r="L29" s="91">
        <v>18619.2</v>
      </c>
      <c r="M29" s="91">
        <v>0</v>
      </c>
      <c r="N29" s="91">
        <v>0</v>
      </c>
      <c r="O29" s="91">
        <v>27249.19</v>
      </c>
      <c r="P29" s="91">
        <v>5366.81</v>
      </c>
      <c r="Q29" s="91">
        <v>0</v>
      </c>
      <c r="R29" s="91">
        <v>0</v>
      </c>
      <c r="S29" s="91">
        <v>2529.81</v>
      </c>
      <c r="T29" s="91">
        <v>10765.35</v>
      </c>
      <c r="U29" s="91">
        <v>18661.97</v>
      </c>
      <c r="V29" s="91">
        <v>8587.2199999999975</v>
      </c>
      <c r="W29" s="91">
        <v>0</v>
      </c>
      <c r="X29" s="91">
        <v>1013.03</v>
      </c>
      <c r="Y29" s="119">
        <v>1013.03</v>
      </c>
      <c r="Z29" s="92">
        <f t="shared" si="0"/>
        <v>7574.1899999999978</v>
      </c>
    </row>
    <row r="30" spans="1:26" x14ac:dyDescent="0.2">
      <c r="A30" s="89" t="s">
        <v>1272</v>
      </c>
      <c r="B30" s="89" t="s">
        <v>1273</v>
      </c>
      <c r="C30" s="89">
        <v>801</v>
      </c>
      <c r="D30" s="89" t="s">
        <v>650</v>
      </c>
      <c r="E30" s="67">
        <v>438</v>
      </c>
      <c r="F30" s="89" t="s">
        <v>86</v>
      </c>
      <c r="G30" s="90">
        <v>44298</v>
      </c>
      <c r="H30" s="90">
        <v>44405</v>
      </c>
      <c r="I30" s="91">
        <v>0</v>
      </c>
      <c r="J30" s="91">
        <v>0</v>
      </c>
      <c r="K30" s="91">
        <v>0</v>
      </c>
      <c r="L30" s="91">
        <v>2271.7399999999998</v>
      </c>
      <c r="M30" s="91">
        <v>0</v>
      </c>
      <c r="N30" s="91">
        <v>0</v>
      </c>
      <c r="O30" s="91">
        <v>2271.7399999999998</v>
      </c>
      <c r="P30" s="91">
        <v>0</v>
      </c>
      <c r="Q30" s="91">
        <v>0</v>
      </c>
      <c r="R30" s="91">
        <v>0</v>
      </c>
      <c r="S30" s="91">
        <v>0</v>
      </c>
      <c r="T30" s="91">
        <v>0</v>
      </c>
      <c r="U30" s="91">
        <v>0</v>
      </c>
      <c r="V30" s="91">
        <v>2271.7399999999998</v>
      </c>
      <c r="W30" s="91">
        <v>0</v>
      </c>
      <c r="X30" s="91">
        <v>1087.3900000000001</v>
      </c>
      <c r="Y30" s="119">
        <v>1087.3900000000001</v>
      </c>
      <c r="Z30" s="92">
        <f t="shared" si="0"/>
        <v>1184.3499999999997</v>
      </c>
    </row>
    <row r="31" spans="1:26" x14ac:dyDescent="0.2">
      <c r="A31" s="89" t="s">
        <v>1337</v>
      </c>
      <c r="B31" s="89" t="s">
        <v>1338</v>
      </c>
      <c r="C31" s="89">
        <v>801</v>
      </c>
      <c r="D31" s="89" t="s">
        <v>650</v>
      </c>
      <c r="E31" s="67" t="s">
        <v>1339</v>
      </c>
      <c r="F31" s="89" t="s">
        <v>1340</v>
      </c>
      <c r="G31" s="90">
        <v>45072</v>
      </c>
      <c r="H31" s="90"/>
      <c r="I31" s="91">
        <v>270000</v>
      </c>
      <c r="J31" s="91">
        <v>0</v>
      </c>
      <c r="K31" s="91">
        <v>0</v>
      </c>
      <c r="L31" s="91">
        <v>0</v>
      </c>
      <c r="M31" s="91">
        <v>0</v>
      </c>
      <c r="N31" s="91">
        <v>1275</v>
      </c>
      <c r="O31" s="91">
        <v>1275</v>
      </c>
      <c r="P31" s="91">
        <v>0</v>
      </c>
      <c r="Q31" s="91">
        <v>0</v>
      </c>
      <c r="R31" s="91">
        <v>0</v>
      </c>
      <c r="S31" s="91">
        <v>0</v>
      </c>
      <c r="T31" s="91">
        <v>0</v>
      </c>
      <c r="U31" s="91">
        <v>0</v>
      </c>
      <c r="V31" s="91">
        <v>1275</v>
      </c>
      <c r="W31" s="91">
        <v>0</v>
      </c>
      <c r="X31" s="91">
        <v>0</v>
      </c>
      <c r="Y31" s="119">
        <v>0</v>
      </c>
      <c r="Z31" s="92">
        <f t="shared" si="0"/>
        <v>1275</v>
      </c>
    </row>
    <row r="32" spans="1:26" x14ac:dyDescent="0.2">
      <c r="A32" s="89" t="s">
        <v>1386</v>
      </c>
      <c r="B32" s="89" t="s">
        <v>1387</v>
      </c>
      <c r="C32" s="89">
        <v>801</v>
      </c>
      <c r="D32" s="89" t="s">
        <v>650</v>
      </c>
      <c r="E32" s="67">
        <v>438</v>
      </c>
      <c r="F32" s="89" t="s">
        <v>86</v>
      </c>
      <c r="G32" s="90">
        <v>45254</v>
      </c>
      <c r="H32" s="90"/>
      <c r="I32" s="91">
        <v>0</v>
      </c>
      <c r="J32" s="91">
        <v>0</v>
      </c>
      <c r="K32" s="91">
        <v>0</v>
      </c>
      <c r="L32" s="91">
        <v>0</v>
      </c>
      <c r="M32" s="91">
        <v>0</v>
      </c>
      <c r="N32" s="91">
        <v>0</v>
      </c>
      <c r="O32" s="91">
        <v>0</v>
      </c>
      <c r="P32" s="91">
        <v>0</v>
      </c>
      <c r="Q32" s="91">
        <v>0</v>
      </c>
      <c r="R32" s="91">
        <v>0</v>
      </c>
      <c r="S32" s="91">
        <v>0</v>
      </c>
      <c r="T32" s="91">
        <v>4133.28</v>
      </c>
      <c r="U32" s="91">
        <v>4133.28</v>
      </c>
      <c r="V32" s="91">
        <v>-4133.28</v>
      </c>
      <c r="W32" s="91">
        <v>0</v>
      </c>
      <c r="X32" s="91">
        <v>0</v>
      </c>
      <c r="Y32" s="119">
        <v>0</v>
      </c>
      <c r="Z32" s="92">
        <f t="shared" si="0"/>
        <v>-4133.28</v>
      </c>
    </row>
    <row r="33" spans="1:26" x14ac:dyDescent="0.2">
      <c r="A33" s="89" t="s">
        <v>7</v>
      </c>
      <c r="B33" s="89" t="s">
        <v>8</v>
      </c>
      <c r="C33" s="89">
        <v>801</v>
      </c>
      <c r="D33" s="89" t="s">
        <v>650</v>
      </c>
      <c r="E33" s="67" t="s">
        <v>9</v>
      </c>
      <c r="F33" s="89" t="s">
        <v>10</v>
      </c>
      <c r="G33" s="90">
        <v>44616</v>
      </c>
      <c r="H33" s="90">
        <v>44848</v>
      </c>
      <c r="I33" s="91">
        <v>1749000</v>
      </c>
      <c r="J33" s="91">
        <v>0</v>
      </c>
      <c r="K33" s="91">
        <v>0</v>
      </c>
      <c r="L33" s="91">
        <v>0</v>
      </c>
      <c r="M33" s="91">
        <v>0</v>
      </c>
      <c r="N33" s="91">
        <v>0</v>
      </c>
      <c r="O33" s="91">
        <v>0</v>
      </c>
      <c r="P33" s="91">
        <v>0</v>
      </c>
      <c r="Q33" s="91">
        <v>0</v>
      </c>
      <c r="R33" s="91">
        <v>0</v>
      </c>
      <c r="S33" s="91">
        <v>0</v>
      </c>
      <c r="T33" s="91">
        <v>0</v>
      </c>
      <c r="U33" s="91">
        <v>0</v>
      </c>
      <c r="V33" s="91">
        <v>0</v>
      </c>
      <c r="W33" s="91">
        <v>0</v>
      </c>
      <c r="X33" s="91">
        <v>0</v>
      </c>
      <c r="Y33" s="119">
        <v>0</v>
      </c>
      <c r="Z33" s="92">
        <f t="shared" si="0"/>
        <v>0</v>
      </c>
    </row>
    <row r="34" spans="1:26" s="100" customFormat="1" x14ac:dyDescent="0.2">
      <c r="A34" s="93" t="s">
        <v>613</v>
      </c>
      <c r="B34" s="93"/>
      <c r="C34" s="93"/>
      <c r="D34" s="93"/>
      <c r="E34" s="94"/>
      <c r="F34" s="93"/>
      <c r="G34" s="93"/>
      <c r="H34" s="93"/>
      <c r="I34" s="93">
        <f t="shared" ref="I34:Y34" si="1">SUM(I4:I33)</f>
        <v>59346740.300000004</v>
      </c>
      <c r="J34" s="95">
        <f t="shared" si="1"/>
        <v>90634.99</v>
      </c>
      <c r="K34" s="95">
        <f t="shared" si="1"/>
        <v>0</v>
      </c>
      <c r="L34" s="95">
        <f t="shared" si="1"/>
        <v>456802.04</v>
      </c>
      <c r="M34" s="95">
        <f t="shared" si="1"/>
        <v>0</v>
      </c>
      <c r="N34" s="95">
        <f t="shared" si="1"/>
        <v>62115</v>
      </c>
      <c r="O34" s="96">
        <f t="shared" si="1"/>
        <v>609552.02999999991</v>
      </c>
      <c r="P34" s="95">
        <f t="shared" si="1"/>
        <v>70724.42</v>
      </c>
      <c r="Q34" s="95">
        <f t="shared" si="1"/>
        <v>0</v>
      </c>
      <c r="R34" s="95">
        <f t="shared" si="1"/>
        <v>162957.76999999999</v>
      </c>
      <c r="S34" s="97">
        <f t="shared" si="1"/>
        <v>13274.15</v>
      </c>
      <c r="T34" s="97">
        <f t="shared" si="1"/>
        <v>111337.48000000001</v>
      </c>
      <c r="U34" s="98">
        <f t="shared" si="1"/>
        <v>358293.82000000007</v>
      </c>
      <c r="V34" s="99">
        <f t="shared" si="1"/>
        <v>251258.21</v>
      </c>
      <c r="W34" s="95">
        <f t="shared" si="1"/>
        <v>0</v>
      </c>
      <c r="X34" s="95">
        <f t="shared" si="1"/>
        <v>32984.269999999997</v>
      </c>
      <c r="Y34" s="120">
        <f t="shared" si="1"/>
        <v>32984.269999999997</v>
      </c>
      <c r="Z34" s="122">
        <f t="shared" si="0"/>
        <v>218273.94</v>
      </c>
    </row>
  </sheetData>
  <phoneticPr fontId="10" type="noConversion"/>
  <conditionalFormatting sqref="A1">
    <cfRule type="duplicateValues" dxfId="35" priority="3"/>
  </conditionalFormatting>
  <conditionalFormatting sqref="A3">
    <cfRule type="duplicateValues" dxfId="34" priority="2"/>
  </conditionalFormatting>
  <conditionalFormatting sqref="A34">
    <cfRule type="duplicateValues" dxfId="33" priority="1"/>
  </conditionalFormatting>
  <conditionalFormatting sqref="A152">
    <cfRule type="duplicateValues" dxfId="32" priority="5"/>
  </conditionalFormatting>
  <conditionalFormatting sqref="A153:A1048576 A2 A35:A151 A4:A33">
    <cfRule type="duplicateValues" dxfId="31" priority="6"/>
  </conditionalFormatting>
  <pageMargins left="0.7" right="0.7" top="0.75" bottom="0.75" header="0.3" footer="0.3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00B0F0"/>
  </sheetPr>
  <dimension ref="A1:Z91"/>
  <sheetViews>
    <sheetView workbookViewId="0">
      <pane xSplit="6" ySplit="4" topLeftCell="G74" activePane="bottomRight" state="frozen"/>
      <selection activeCell="F56" sqref="E56:F57"/>
      <selection pane="topRight" activeCell="F56" sqref="E56:F57"/>
      <selection pane="bottomLeft" activeCell="F56" sqref="E56:F57"/>
      <selection pane="bottomRight" activeCell="A91" sqref="A91:XFD91"/>
    </sheetView>
  </sheetViews>
  <sheetFormatPr defaultRowHeight="12.75" outlineLevelCol="1" x14ac:dyDescent="0.2"/>
  <cols>
    <col min="1" max="1" width="10.140625" style="72" customWidth="1"/>
    <col min="2" max="2" width="8" style="72" bestFit="1" customWidth="1"/>
    <col min="3" max="3" width="9" style="72" bestFit="1" customWidth="1"/>
    <col min="4" max="4" width="12.5703125" style="72" customWidth="1"/>
    <col min="5" max="5" width="6" style="80" bestFit="1" customWidth="1"/>
    <col min="6" max="6" width="8.140625" style="72" customWidth="1"/>
    <col min="7" max="7" width="13" style="72" bestFit="1" customWidth="1"/>
    <col min="8" max="8" width="11.7109375" style="72" customWidth="1"/>
    <col min="9" max="9" width="12.85546875" style="72" customWidth="1"/>
    <col min="10" max="14" width="11.7109375" style="72" hidden="1" customWidth="1" outlineLevel="1"/>
    <col min="15" max="15" width="11.7109375" style="72" customWidth="1" collapsed="1"/>
    <col min="16" max="20" width="11.7109375" style="72" hidden="1" customWidth="1" outlineLevel="1"/>
    <col min="21" max="21" width="11.7109375" style="72" customWidth="1" collapsed="1"/>
    <col min="22" max="22" width="11.7109375" style="72" customWidth="1"/>
    <col min="23" max="24" width="11.7109375" style="72" hidden="1" customWidth="1" outlineLevel="1"/>
    <col min="25" max="25" width="11.7109375" style="72" customWidth="1" collapsed="1"/>
    <col min="26" max="26" width="12" style="72" customWidth="1"/>
    <col min="27" max="16384" width="9.140625" style="72"/>
  </cols>
  <sheetData>
    <row r="1" spans="1:26" ht="23.25" customHeight="1" x14ac:dyDescent="0.2">
      <c r="A1" s="79" t="s">
        <v>1408</v>
      </c>
    </row>
    <row r="2" spans="1:26" ht="15" customHeight="1" x14ac:dyDescent="0.2">
      <c r="A2" s="81" t="s">
        <v>1304</v>
      </c>
    </row>
    <row r="3" spans="1:26" s="88" customFormat="1" x14ac:dyDescent="0.2">
      <c r="A3" s="82" t="s">
        <v>1298</v>
      </c>
      <c r="B3" s="82" t="s">
        <v>577</v>
      </c>
      <c r="C3" s="82" t="s">
        <v>599</v>
      </c>
      <c r="D3" s="82" t="s">
        <v>600</v>
      </c>
      <c r="E3" s="83" t="s">
        <v>578</v>
      </c>
      <c r="F3" s="82" t="s">
        <v>579</v>
      </c>
      <c r="G3" s="82" t="s">
        <v>580</v>
      </c>
      <c r="H3" s="82" t="s">
        <v>581</v>
      </c>
      <c r="I3" s="82" t="s">
        <v>582</v>
      </c>
      <c r="J3" s="84" t="s">
        <v>583</v>
      </c>
      <c r="K3" s="84" t="s">
        <v>584</v>
      </c>
      <c r="L3" s="84" t="s">
        <v>601</v>
      </c>
      <c r="M3" s="84" t="s">
        <v>602</v>
      </c>
      <c r="N3" s="84" t="s">
        <v>587</v>
      </c>
      <c r="O3" s="85" t="s">
        <v>588</v>
      </c>
      <c r="P3" s="84" t="s">
        <v>603</v>
      </c>
      <c r="Q3" s="84" t="s">
        <v>590</v>
      </c>
      <c r="R3" s="84" t="s">
        <v>604</v>
      </c>
      <c r="S3" s="84" t="s">
        <v>673</v>
      </c>
      <c r="T3" s="84" t="s">
        <v>606</v>
      </c>
      <c r="U3" s="85" t="s">
        <v>594</v>
      </c>
      <c r="V3" s="86" t="s">
        <v>595</v>
      </c>
      <c r="W3" s="84" t="s">
        <v>607</v>
      </c>
      <c r="X3" s="84" t="s">
        <v>608</v>
      </c>
      <c r="Y3" s="118" t="s">
        <v>598</v>
      </c>
      <c r="Z3" s="87" t="s">
        <v>1145</v>
      </c>
    </row>
    <row r="4" spans="1:26" x14ac:dyDescent="0.2">
      <c r="A4" s="89" t="s">
        <v>452</v>
      </c>
      <c r="B4" s="89" t="s">
        <v>453</v>
      </c>
      <c r="C4" s="89" t="s">
        <v>609</v>
      </c>
      <c r="D4" s="89" t="s">
        <v>1357</v>
      </c>
      <c r="E4" s="67" t="s">
        <v>208</v>
      </c>
      <c r="F4" s="89" t="s">
        <v>209</v>
      </c>
      <c r="G4" s="90">
        <v>44226</v>
      </c>
      <c r="H4" s="90">
        <v>43259</v>
      </c>
      <c r="I4" s="91">
        <v>4700000</v>
      </c>
      <c r="J4" s="91">
        <v>0</v>
      </c>
      <c r="K4" s="91">
        <v>0</v>
      </c>
      <c r="L4" s="91">
        <v>0</v>
      </c>
      <c r="M4" s="91">
        <v>0</v>
      </c>
      <c r="N4" s="91">
        <v>0</v>
      </c>
      <c r="O4" s="91">
        <v>0</v>
      </c>
      <c r="P4" s="91">
        <v>9651.119999999999</v>
      </c>
      <c r="Q4" s="91">
        <v>0</v>
      </c>
      <c r="R4" s="91">
        <v>0</v>
      </c>
      <c r="S4" s="91">
        <v>0</v>
      </c>
      <c r="T4" s="91">
        <v>0</v>
      </c>
      <c r="U4" s="91">
        <v>9651.119999999999</v>
      </c>
      <c r="V4" s="91">
        <v>-9651.119999999999</v>
      </c>
      <c r="W4" s="91">
        <v>0</v>
      </c>
      <c r="X4" s="91">
        <v>6094.9299999999994</v>
      </c>
      <c r="Y4" s="119">
        <v>6094.9299999999994</v>
      </c>
      <c r="Z4" s="92">
        <f>V4-Y4</f>
        <v>-15746.05</v>
      </c>
    </row>
    <row r="5" spans="1:26" x14ac:dyDescent="0.2">
      <c r="A5" s="89" t="s">
        <v>462</v>
      </c>
      <c r="B5" s="89" t="s">
        <v>463</v>
      </c>
      <c r="C5" s="89" t="s">
        <v>609</v>
      </c>
      <c r="D5" s="89" t="s">
        <v>1357</v>
      </c>
      <c r="E5" s="67" t="s">
        <v>208</v>
      </c>
      <c r="F5" s="89" t="s">
        <v>209</v>
      </c>
      <c r="G5" s="90">
        <v>44226</v>
      </c>
      <c r="H5" s="90">
        <v>43922</v>
      </c>
      <c r="I5" s="91">
        <v>1156250</v>
      </c>
      <c r="J5" s="91">
        <v>0</v>
      </c>
      <c r="K5" s="91">
        <v>0</v>
      </c>
      <c r="L5" s="91">
        <v>0</v>
      </c>
      <c r="M5" s="91">
        <v>0</v>
      </c>
      <c r="N5" s="91">
        <v>0</v>
      </c>
      <c r="O5" s="91">
        <v>0</v>
      </c>
      <c r="P5" s="91">
        <v>27151.34</v>
      </c>
      <c r="Q5" s="91">
        <v>0</v>
      </c>
      <c r="R5" s="91">
        <v>5402.56</v>
      </c>
      <c r="S5" s="91">
        <v>0</v>
      </c>
      <c r="T5" s="91">
        <v>0</v>
      </c>
      <c r="U5" s="91">
        <v>32553.9</v>
      </c>
      <c r="V5" s="91">
        <v>-32553.9</v>
      </c>
      <c r="W5" s="91">
        <v>0</v>
      </c>
      <c r="X5" s="91">
        <v>0</v>
      </c>
      <c r="Y5" s="119">
        <v>0</v>
      </c>
      <c r="Z5" s="92">
        <f t="shared" ref="Z5:Z68" si="0">V5-Y5</f>
        <v>-32553.9</v>
      </c>
    </row>
    <row r="6" spans="1:26" x14ac:dyDescent="0.2">
      <c r="A6" s="89" t="s">
        <v>464</v>
      </c>
      <c r="B6" s="89" t="s">
        <v>465</v>
      </c>
      <c r="C6" s="89" t="s">
        <v>609</v>
      </c>
      <c r="D6" s="89" t="s">
        <v>1357</v>
      </c>
      <c r="E6" s="67" t="s">
        <v>208</v>
      </c>
      <c r="F6" s="89" t="s">
        <v>209</v>
      </c>
      <c r="G6" s="90">
        <v>44226</v>
      </c>
      <c r="H6" s="90">
        <v>44375</v>
      </c>
      <c r="I6" s="91">
        <v>0</v>
      </c>
      <c r="J6" s="91">
        <v>0</v>
      </c>
      <c r="K6" s="91">
        <v>0</v>
      </c>
      <c r="L6" s="91">
        <v>374400</v>
      </c>
      <c r="M6" s="91">
        <v>0</v>
      </c>
      <c r="N6" s="91">
        <v>0</v>
      </c>
      <c r="O6" s="91">
        <v>374400</v>
      </c>
      <c r="P6" s="91">
        <v>189194.25999999998</v>
      </c>
      <c r="Q6" s="91">
        <v>0</v>
      </c>
      <c r="R6" s="91">
        <v>2984.41</v>
      </c>
      <c r="S6" s="91">
        <v>0</v>
      </c>
      <c r="T6" s="91">
        <v>0</v>
      </c>
      <c r="U6" s="91">
        <v>192178.67</v>
      </c>
      <c r="V6" s="91">
        <v>182221.33000000002</v>
      </c>
      <c r="W6" s="91">
        <v>0</v>
      </c>
      <c r="X6" s="91">
        <v>62932.71</v>
      </c>
      <c r="Y6" s="119">
        <v>62932.71</v>
      </c>
      <c r="Z6" s="92">
        <f t="shared" si="0"/>
        <v>119288.62000000002</v>
      </c>
    </row>
    <row r="7" spans="1:26" x14ac:dyDescent="0.2">
      <c r="A7" s="89" t="s">
        <v>751</v>
      </c>
      <c r="B7" s="89" t="s">
        <v>752</v>
      </c>
      <c r="C7" s="89" t="s">
        <v>609</v>
      </c>
      <c r="D7" s="89" t="s">
        <v>1357</v>
      </c>
      <c r="E7" s="67">
        <v>28</v>
      </c>
      <c r="F7" s="89" t="s">
        <v>753</v>
      </c>
      <c r="G7" s="90">
        <v>44817</v>
      </c>
      <c r="H7" s="90"/>
      <c r="I7" s="91">
        <v>7833000</v>
      </c>
      <c r="J7" s="91">
        <v>0</v>
      </c>
      <c r="K7" s="91">
        <v>0</v>
      </c>
      <c r="L7" s="91">
        <v>0</v>
      </c>
      <c r="M7" s="91">
        <v>0</v>
      </c>
      <c r="N7" s="91">
        <v>0</v>
      </c>
      <c r="O7" s="91">
        <v>0</v>
      </c>
      <c r="P7" s="91">
        <v>0</v>
      </c>
      <c r="Q7" s="91">
        <v>0</v>
      </c>
      <c r="R7" s="91">
        <v>0</v>
      </c>
      <c r="S7" s="91">
        <v>0</v>
      </c>
      <c r="T7" s="91">
        <v>65927.03</v>
      </c>
      <c r="U7" s="91">
        <v>65927.03</v>
      </c>
      <c r="V7" s="91">
        <v>-65927.03</v>
      </c>
      <c r="W7" s="91">
        <v>4974.4799999999996</v>
      </c>
      <c r="X7" s="91">
        <v>112313.56</v>
      </c>
      <c r="Y7" s="119">
        <v>117288.03999999998</v>
      </c>
      <c r="Z7" s="92">
        <f t="shared" si="0"/>
        <v>-183215.06999999998</v>
      </c>
    </row>
    <row r="8" spans="1:26" x14ac:dyDescent="0.2">
      <c r="A8" s="89" t="s">
        <v>774</v>
      </c>
      <c r="B8" s="89" t="s">
        <v>775</v>
      </c>
      <c r="C8" s="89" t="s">
        <v>609</v>
      </c>
      <c r="D8" s="89" t="s">
        <v>1357</v>
      </c>
      <c r="E8" s="67">
        <v>28</v>
      </c>
      <c r="F8" s="89" t="s">
        <v>753</v>
      </c>
      <c r="G8" s="90">
        <v>44859</v>
      </c>
      <c r="H8" s="90"/>
      <c r="I8" s="91">
        <v>3972000</v>
      </c>
      <c r="J8" s="91">
        <v>0</v>
      </c>
      <c r="K8" s="91">
        <v>0</v>
      </c>
      <c r="L8" s="91">
        <v>0</v>
      </c>
      <c r="M8" s="91">
        <v>0</v>
      </c>
      <c r="N8" s="91">
        <v>0</v>
      </c>
      <c r="O8" s="91">
        <v>0</v>
      </c>
      <c r="P8" s="91">
        <v>0</v>
      </c>
      <c r="Q8" s="91">
        <v>0</v>
      </c>
      <c r="R8" s="91">
        <v>0</v>
      </c>
      <c r="S8" s="91">
        <v>12611.779999999999</v>
      </c>
      <c r="T8" s="91">
        <v>0</v>
      </c>
      <c r="U8" s="91">
        <v>12611.779999999999</v>
      </c>
      <c r="V8" s="91">
        <v>-12611.779999999999</v>
      </c>
      <c r="W8" s="91">
        <v>9763.48</v>
      </c>
      <c r="X8" s="91">
        <v>3147.41</v>
      </c>
      <c r="Y8" s="119">
        <v>12910.89</v>
      </c>
      <c r="Z8" s="92">
        <f t="shared" si="0"/>
        <v>-25522.67</v>
      </c>
    </row>
    <row r="9" spans="1:26" x14ac:dyDescent="0.2">
      <c r="A9" s="89" t="s">
        <v>222</v>
      </c>
      <c r="B9" s="89" t="s">
        <v>223</v>
      </c>
      <c r="C9" s="89" t="s">
        <v>609</v>
      </c>
      <c r="D9" s="89" t="s">
        <v>1357</v>
      </c>
      <c r="E9" s="67">
        <v>207</v>
      </c>
      <c r="F9" s="89" t="s">
        <v>224</v>
      </c>
      <c r="G9" s="90">
        <v>44226</v>
      </c>
      <c r="H9" s="90">
        <v>42198</v>
      </c>
      <c r="I9" s="91">
        <v>0</v>
      </c>
      <c r="J9" s="91">
        <v>0</v>
      </c>
      <c r="K9" s="91">
        <v>0</v>
      </c>
      <c r="L9" s="91">
        <v>283.56</v>
      </c>
      <c r="M9" s="91">
        <v>0</v>
      </c>
      <c r="N9" s="91">
        <v>0</v>
      </c>
      <c r="O9" s="91">
        <v>283.56</v>
      </c>
      <c r="P9" s="91">
        <v>2144.17</v>
      </c>
      <c r="Q9" s="91">
        <v>0</v>
      </c>
      <c r="R9" s="91">
        <v>0</v>
      </c>
      <c r="S9" s="91">
        <v>0</v>
      </c>
      <c r="T9" s="91">
        <v>0</v>
      </c>
      <c r="U9" s="91">
        <v>2144.17</v>
      </c>
      <c r="V9" s="91">
        <v>-1860.6100000000001</v>
      </c>
      <c r="W9" s="91">
        <v>0</v>
      </c>
      <c r="X9" s="91">
        <v>8688.5499999999993</v>
      </c>
      <c r="Y9" s="119">
        <v>8688.5499999999993</v>
      </c>
      <c r="Z9" s="92">
        <f t="shared" si="0"/>
        <v>-10549.16</v>
      </c>
    </row>
    <row r="10" spans="1:26" x14ac:dyDescent="0.2">
      <c r="A10" s="89" t="s">
        <v>485</v>
      </c>
      <c r="B10" s="89" t="s">
        <v>486</v>
      </c>
      <c r="C10" s="89" t="s">
        <v>609</v>
      </c>
      <c r="D10" s="89" t="s">
        <v>1357</v>
      </c>
      <c r="E10" s="67">
        <v>207</v>
      </c>
      <c r="F10" s="89" t="s">
        <v>224</v>
      </c>
      <c r="G10" s="90">
        <v>44226</v>
      </c>
      <c r="H10" s="90">
        <v>41820</v>
      </c>
      <c r="I10" s="91">
        <v>0</v>
      </c>
      <c r="J10" s="91">
        <v>0</v>
      </c>
      <c r="K10" s="91">
        <v>0</v>
      </c>
      <c r="L10" s="91">
        <v>227.19</v>
      </c>
      <c r="M10" s="91">
        <v>0</v>
      </c>
      <c r="N10" s="91">
        <v>0</v>
      </c>
      <c r="O10" s="91">
        <v>227.19</v>
      </c>
      <c r="P10" s="91">
        <v>1162.47</v>
      </c>
      <c r="Q10" s="91">
        <v>0</v>
      </c>
      <c r="R10" s="91">
        <v>0</v>
      </c>
      <c r="S10" s="91">
        <v>2696.28</v>
      </c>
      <c r="T10" s="91">
        <v>0</v>
      </c>
      <c r="U10" s="91">
        <v>3858.75</v>
      </c>
      <c r="V10" s="91">
        <v>-3631.56</v>
      </c>
      <c r="W10" s="91">
        <v>40808.76</v>
      </c>
      <c r="X10" s="91">
        <v>1364.02</v>
      </c>
      <c r="Y10" s="119">
        <v>42172.78</v>
      </c>
      <c r="Z10" s="92">
        <f t="shared" si="0"/>
        <v>-45804.34</v>
      </c>
    </row>
    <row r="11" spans="1:26" x14ac:dyDescent="0.2">
      <c r="A11" s="89" t="s">
        <v>227</v>
      </c>
      <c r="B11" s="89" t="s">
        <v>228</v>
      </c>
      <c r="C11" s="89" t="s">
        <v>609</v>
      </c>
      <c r="D11" s="89" t="s">
        <v>1357</v>
      </c>
      <c r="E11" s="67" t="s">
        <v>166</v>
      </c>
      <c r="F11" s="89" t="s">
        <v>167</v>
      </c>
      <c r="G11" s="90">
        <v>44306</v>
      </c>
      <c r="H11" s="90">
        <v>44403</v>
      </c>
      <c r="I11" s="91">
        <v>0</v>
      </c>
      <c r="J11" s="91">
        <v>0</v>
      </c>
      <c r="K11" s="91">
        <v>0</v>
      </c>
      <c r="L11" s="91">
        <v>0</v>
      </c>
      <c r="M11" s="91">
        <v>0</v>
      </c>
      <c r="N11" s="91">
        <v>0</v>
      </c>
      <c r="O11" s="91">
        <v>0</v>
      </c>
      <c r="P11" s="91">
        <v>0</v>
      </c>
      <c r="Q11" s="91">
        <v>0</v>
      </c>
      <c r="R11" s="91">
        <v>0</v>
      </c>
      <c r="S11" s="91">
        <v>0</v>
      </c>
      <c r="T11" s="91">
        <v>0</v>
      </c>
      <c r="U11" s="91">
        <v>0</v>
      </c>
      <c r="V11" s="91">
        <v>0</v>
      </c>
      <c r="W11" s="91">
        <v>0</v>
      </c>
      <c r="X11" s="91">
        <v>0</v>
      </c>
      <c r="Y11" s="119">
        <v>0</v>
      </c>
      <c r="Z11" s="92">
        <f t="shared" si="0"/>
        <v>0</v>
      </c>
    </row>
    <row r="12" spans="1:26" x14ac:dyDescent="0.2">
      <c r="A12" s="89" t="s">
        <v>707</v>
      </c>
      <c r="B12" s="89" t="s">
        <v>708</v>
      </c>
      <c r="C12" s="89" t="s">
        <v>609</v>
      </c>
      <c r="D12" s="89" t="s">
        <v>1357</v>
      </c>
      <c r="E12" s="67" t="s">
        <v>166</v>
      </c>
      <c r="F12" s="89" t="s">
        <v>167</v>
      </c>
      <c r="G12" s="90">
        <v>44799</v>
      </c>
      <c r="H12" s="90"/>
      <c r="I12" s="91">
        <v>958000</v>
      </c>
      <c r="J12" s="91">
        <v>0</v>
      </c>
      <c r="K12" s="91">
        <v>0</v>
      </c>
      <c r="L12" s="91">
        <v>0</v>
      </c>
      <c r="M12" s="91">
        <v>0</v>
      </c>
      <c r="N12" s="91">
        <v>0</v>
      </c>
      <c r="O12" s="91">
        <v>0</v>
      </c>
      <c r="P12" s="91">
        <v>0</v>
      </c>
      <c r="Q12" s="91">
        <v>0</v>
      </c>
      <c r="R12" s="91">
        <v>0</v>
      </c>
      <c r="S12" s="91">
        <v>0</v>
      </c>
      <c r="T12" s="91">
        <v>0</v>
      </c>
      <c r="U12" s="91">
        <v>0</v>
      </c>
      <c r="V12" s="91">
        <v>0</v>
      </c>
      <c r="W12" s="91">
        <v>0</v>
      </c>
      <c r="X12" s="91">
        <v>16592.96</v>
      </c>
      <c r="Y12" s="119">
        <v>16592.96</v>
      </c>
      <c r="Z12" s="92">
        <f t="shared" si="0"/>
        <v>-16592.96</v>
      </c>
    </row>
    <row r="13" spans="1:26" x14ac:dyDescent="0.2">
      <c r="A13" s="89" t="s">
        <v>847</v>
      </c>
      <c r="B13" s="89" t="s">
        <v>848</v>
      </c>
      <c r="C13" s="89" t="s">
        <v>609</v>
      </c>
      <c r="D13" s="89" t="s">
        <v>1357</v>
      </c>
      <c r="E13" s="67" t="s">
        <v>166</v>
      </c>
      <c r="F13" s="89" t="s">
        <v>167</v>
      </c>
      <c r="G13" s="90">
        <v>44883</v>
      </c>
      <c r="H13" s="90">
        <v>45064</v>
      </c>
      <c r="I13" s="91">
        <v>3077800</v>
      </c>
      <c r="J13" s="91">
        <v>0</v>
      </c>
      <c r="K13" s="91">
        <v>0</v>
      </c>
      <c r="L13" s="91">
        <v>0</v>
      </c>
      <c r="M13" s="91">
        <v>10527.79</v>
      </c>
      <c r="N13" s="91">
        <v>0</v>
      </c>
      <c r="O13" s="91">
        <v>10527.79</v>
      </c>
      <c r="P13" s="91">
        <v>0</v>
      </c>
      <c r="Q13" s="91">
        <v>0</v>
      </c>
      <c r="R13" s="91">
        <v>4801.97</v>
      </c>
      <c r="S13" s="91">
        <v>418.43</v>
      </c>
      <c r="T13" s="91">
        <v>0</v>
      </c>
      <c r="U13" s="91">
        <v>5220.3999999999996</v>
      </c>
      <c r="V13" s="91">
        <v>5307.3900000000012</v>
      </c>
      <c r="W13" s="91">
        <v>13751.579999999998</v>
      </c>
      <c r="X13" s="91">
        <v>115784.01</v>
      </c>
      <c r="Y13" s="119">
        <v>129535.58999999998</v>
      </c>
      <c r="Z13" s="92">
        <f t="shared" si="0"/>
        <v>-124228.19999999998</v>
      </c>
    </row>
    <row r="14" spans="1:26" x14ac:dyDescent="0.2">
      <c r="A14" s="89" t="s">
        <v>235</v>
      </c>
      <c r="B14" s="89" t="s">
        <v>236</v>
      </c>
      <c r="C14" s="89" t="s">
        <v>609</v>
      </c>
      <c r="D14" s="89" t="s">
        <v>1357</v>
      </c>
      <c r="E14" s="67">
        <v>404</v>
      </c>
      <c r="F14" s="89" t="s">
        <v>237</v>
      </c>
      <c r="G14" s="90">
        <v>44226</v>
      </c>
      <c r="H14" s="90">
        <v>42198</v>
      </c>
      <c r="I14" s="91">
        <v>462000</v>
      </c>
      <c r="J14" s="91">
        <v>0</v>
      </c>
      <c r="K14" s="91">
        <v>0</v>
      </c>
      <c r="L14" s="91">
        <v>0</v>
      </c>
      <c r="M14" s="91">
        <v>0</v>
      </c>
      <c r="N14" s="91">
        <v>0</v>
      </c>
      <c r="O14" s="91">
        <v>0</v>
      </c>
      <c r="P14" s="91">
        <v>60554.25</v>
      </c>
      <c r="Q14" s="91">
        <v>0</v>
      </c>
      <c r="R14" s="91">
        <v>0</v>
      </c>
      <c r="S14" s="91">
        <v>0</v>
      </c>
      <c r="T14" s="91">
        <v>0</v>
      </c>
      <c r="U14" s="91">
        <v>60554.25</v>
      </c>
      <c r="V14" s="91">
        <v>-60554.25</v>
      </c>
      <c r="W14" s="91">
        <v>0</v>
      </c>
      <c r="X14" s="91">
        <v>1428.43</v>
      </c>
      <c r="Y14" s="119">
        <v>1428.43</v>
      </c>
      <c r="Z14" s="92">
        <f t="shared" si="0"/>
        <v>-61982.68</v>
      </c>
    </row>
    <row r="15" spans="1:26" x14ac:dyDescent="0.2">
      <c r="A15" s="89" t="s">
        <v>374</v>
      </c>
      <c r="B15" s="89" t="s">
        <v>375</v>
      </c>
      <c r="C15" s="89" t="s">
        <v>609</v>
      </c>
      <c r="D15" s="89" t="s">
        <v>1357</v>
      </c>
      <c r="E15" s="67">
        <v>438</v>
      </c>
      <c r="F15" s="89" t="s">
        <v>86</v>
      </c>
      <c r="G15" s="90">
        <v>44226</v>
      </c>
      <c r="H15" s="90">
        <v>44005</v>
      </c>
      <c r="I15" s="91">
        <v>0</v>
      </c>
      <c r="J15" s="91">
        <v>0</v>
      </c>
      <c r="K15" s="91">
        <v>0</v>
      </c>
      <c r="L15" s="91">
        <v>0</v>
      </c>
      <c r="M15" s="91">
        <v>0</v>
      </c>
      <c r="N15" s="91">
        <v>0</v>
      </c>
      <c r="O15" s="91">
        <v>0</v>
      </c>
      <c r="P15" s="91">
        <v>8010.38</v>
      </c>
      <c r="Q15" s="91">
        <v>0</v>
      </c>
      <c r="R15" s="91">
        <v>2641.1299999999997</v>
      </c>
      <c r="S15" s="91">
        <v>0</v>
      </c>
      <c r="T15" s="91">
        <v>0</v>
      </c>
      <c r="U15" s="91">
        <v>10651.51</v>
      </c>
      <c r="V15" s="91">
        <v>-10651.51</v>
      </c>
      <c r="W15" s="91">
        <v>0</v>
      </c>
      <c r="X15" s="91">
        <v>10650.4</v>
      </c>
      <c r="Y15" s="119">
        <v>10650.4</v>
      </c>
      <c r="Z15" s="92">
        <f t="shared" si="0"/>
        <v>-21301.91</v>
      </c>
    </row>
    <row r="16" spans="1:26" x14ac:dyDescent="0.2">
      <c r="A16" s="89" t="s">
        <v>130</v>
      </c>
      <c r="B16" s="89" t="s">
        <v>131</v>
      </c>
      <c r="C16" s="89" t="s">
        <v>609</v>
      </c>
      <c r="D16" s="89" t="s">
        <v>1357</v>
      </c>
      <c r="E16" s="67">
        <v>438</v>
      </c>
      <c r="F16" s="89" t="s">
        <v>86</v>
      </c>
      <c r="G16" s="90">
        <v>44442</v>
      </c>
      <c r="H16" s="90">
        <v>44873</v>
      </c>
      <c r="I16" s="91">
        <v>770000</v>
      </c>
      <c r="J16" s="91">
        <v>0</v>
      </c>
      <c r="K16" s="91">
        <v>0</v>
      </c>
      <c r="L16" s="91">
        <v>41007.480000000003</v>
      </c>
      <c r="M16" s="91">
        <v>172.38000000000102</v>
      </c>
      <c r="N16" s="91">
        <v>0</v>
      </c>
      <c r="O16" s="91">
        <v>41179.86</v>
      </c>
      <c r="P16" s="91">
        <v>5698.3899999999994</v>
      </c>
      <c r="Q16" s="91">
        <v>0</v>
      </c>
      <c r="R16" s="91">
        <v>6663.15</v>
      </c>
      <c r="S16" s="91">
        <v>0</v>
      </c>
      <c r="T16" s="91">
        <v>34528.65</v>
      </c>
      <c r="U16" s="91">
        <v>46890.189999999995</v>
      </c>
      <c r="V16" s="91">
        <v>-5710.3299999999972</v>
      </c>
      <c r="W16" s="91">
        <v>0</v>
      </c>
      <c r="X16" s="91">
        <v>53736.090000000004</v>
      </c>
      <c r="Y16" s="119">
        <v>53736.090000000004</v>
      </c>
      <c r="Z16" s="92">
        <f t="shared" si="0"/>
        <v>-59446.42</v>
      </c>
    </row>
    <row r="17" spans="1:26" x14ac:dyDescent="0.2">
      <c r="A17" s="89" t="s">
        <v>138</v>
      </c>
      <c r="B17" s="89" t="s">
        <v>139</v>
      </c>
      <c r="C17" s="89" t="s">
        <v>609</v>
      </c>
      <c r="D17" s="89" t="s">
        <v>1357</v>
      </c>
      <c r="E17" s="67">
        <v>438</v>
      </c>
      <c r="F17" s="89" t="s">
        <v>86</v>
      </c>
      <c r="G17" s="90">
        <v>44677</v>
      </c>
      <c r="H17" s="90">
        <v>44873</v>
      </c>
      <c r="I17" s="91">
        <v>0</v>
      </c>
      <c r="J17" s="91">
        <v>0</v>
      </c>
      <c r="K17" s="91">
        <v>0</v>
      </c>
      <c r="L17" s="91">
        <v>0</v>
      </c>
      <c r="M17" s="91">
        <v>0</v>
      </c>
      <c r="N17" s="91">
        <v>0</v>
      </c>
      <c r="O17" s="91">
        <v>0</v>
      </c>
      <c r="P17" s="91">
        <v>0</v>
      </c>
      <c r="Q17" s="91">
        <v>0</v>
      </c>
      <c r="R17" s="91">
        <v>0</v>
      </c>
      <c r="S17" s="91">
        <v>0</v>
      </c>
      <c r="T17" s="91">
        <v>0</v>
      </c>
      <c r="U17" s="91">
        <v>0</v>
      </c>
      <c r="V17" s="91">
        <v>0</v>
      </c>
      <c r="W17" s="91">
        <v>0</v>
      </c>
      <c r="X17" s="91">
        <v>0</v>
      </c>
      <c r="Y17" s="119">
        <v>0</v>
      </c>
      <c r="Z17" s="92">
        <f t="shared" si="0"/>
        <v>0</v>
      </c>
    </row>
    <row r="18" spans="1:26" x14ac:dyDescent="0.2">
      <c r="A18" s="89" t="s">
        <v>721</v>
      </c>
      <c r="B18" s="89" t="s">
        <v>722</v>
      </c>
      <c r="C18" s="89" t="s">
        <v>609</v>
      </c>
      <c r="D18" s="89" t="s">
        <v>1357</v>
      </c>
      <c r="E18" s="67" t="s">
        <v>56</v>
      </c>
      <c r="F18" s="89" t="s">
        <v>57</v>
      </c>
      <c r="G18" s="90">
        <v>44226</v>
      </c>
      <c r="H18" s="90">
        <v>44076</v>
      </c>
      <c r="I18" s="91">
        <v>0</v>
      </c>
      <c r="J18" s="91">
        <v>0</v>
      </c>
      <c r="K18" s="91">
        <v>0</v>
      </c>
      <c r="L18" s="91">
        <v>0</v>
      </c>
      <c r="M18" s="91">
        <v>0</v>
      </c>
      <c r="N18" s="91">
        <v>0</v>
      </c>
      <c r="O18" s="91">
        <v>0</v>
      </c>
      <c r="P18" s="91">
        <v>0</v>
      </c>
      <c r="Q18" s="91">
        <v>0</v>
      </c>
      <c r="R18" s="91">
        <v>0</v>
      </c>
      <c r="S18" s="91">
        <v>0</v>
      </c>
      <c r="T18" s="91">
        <v>0</v>
      </c>
      <c r="U18" s="91">
        <v>0</v>
      </c>
      <c r="V18" s="91">
        <v>0</v>
      </c>
      <c r="W18" s="91">
        <v>0</v>
      </c>
      <c r="X18" s="91">
        <v>0</v>
      </c>
      <c r="Y18" s="119">
        <v>0</v>
      </c>
      <c r="Z18" s="92">
        <f t="shared" si="0"/>
        <v>0</v>
      </c>
    </row>
    <row r="19" spans="1:26" x14ac:dyDescent="0.2">
      <c r="A19" s="89" t="s">
        <v>146</v>
      </c>
      <c r="B19" s="89" t="s">
        <v>147</v>
      </c>
      <c r="C19" s="89" t="s">
        <v>609</v>
      </c>
      <c r="D19" s="89" t="s">
        <v>1357</v>
      </c>
      <c r="E19" s="67" t="s">
        <v>56</v>
      </c>
      <c r="F19" s="89" t="s">
        <v>57</v>
      </c>
      <c r="G19" s="90">
        <v>44670</v>
      </c>
      <c r="H19" s="90">
        <v>45009</v>
      </c>
      <c r="I19" s="91">
        <v>31275160</v>
      </c>
      <c r="J19" s="91">
        <v>0</v>
      </c>
      <c r="K19" s="91">
        <v>0</v>
      </c>
      <c r="L19" s="91">
        <v>76914.16</v>
      </c>
      <c r="M19" s="91">
        <v>0</v>
      </c>
      <c r="N19" s="91">
        <v>0</v>
      </c>
      <c r="O19" s="91">
        <v>76914.16</v>
      </c>
      <c r="P19" s="91">
        <v>25916.440000000002</v>
      </c>
      <c r="Q19" s="91">
        <v>0</v>
      </c>
      <c r="R19" s="91">
        <v>4167.6899999999996</v>
      </c>
      <c r="S19" s="91">
        <v>3053.06</v>
      </c>
      <c r="T19" s="91">
        <v>259.47000000000003</v>
      </c>
      <c r="U19" s="91">
        <v>33396.660000000003</v>
      </c>
      <c r="V19" s="91">
        <v>43517.500000000007</v>
      </c>
      <c r="W19" s="91">
        <v>0</v>
      </c>
      <c r="X19" s="91">
        <v>870.09</v>
      </c>
      <c r="Y19" s="119">
        <v>870.09</v>
      </c>
      <c r="Z19" s="92">
        <f t="shared" si="0"/>
        <v>42647.410000000011</v>
      </c>
    </row>
    <row r="20" spans="1:26" x14ac:dyDescent="0.2">
      <c r="A20" s="89" t="s">
        <v>794</v>
      </c>
      <c r="B20" s="89" t="s">
        <v>795</v>
      </c>
      <c r="C20" s="89" t="s">
        <v>609</v>
      </c>
      <c r="D20" s="89" t="s">
        <v>1357</v>
      </c>
      <c r="E20" s="67" t="s">
        <v>56</v>
      </c>
      <c r="F20" s="89" t="s">
        <v>57</v>
      </c>
      <c r="G20" s="90">
        <v>44848</v>
      </c>
      <c r="H20" s="90"/>
      <c r="I20" s="91">
        <v>0</v>
      </c>
      <c r="J20" s="91">
        <v>0</v>
      </c>
      <c r="K20" s="91">
        <v>0</v>
      </c>
      <c r="L20" s="91">
        <v>0</v>
      </c>
      <c r="M20" s="91">
        <v>0</v>
      </c>
      <c r="N20" s="91">
        <v>0</v>
      </c>
      <c r="O20" s="91">
        <v>0</v>
      </c>
      <c r="P20" s="91">
        <v>0</v>
      </c>
      <c r="Q20" s="91">
        <v>0</v>
      </c>
      <c r="R20" s="91">
        <v>0</v>
      </c>
      <c r="S20" s="91">
        <v>0</v>
      </c>
      <c r="T20" s="91">
        <v>0</v>
      </c>
      <c r="U20" s="91">
        <v>0</v>
      </c>
      <c r="V20" s="91">
        <v>0</v>
      </c>
      <c r="W20" s="91">
        <v>0</v>
      </c>
      <c r="X20" s="91">
        <v>0</v>
      </c>
      <c r="Y20" s="119">
        <v>0</v>
      </c>
      <c r="Z20" s="92">
        <f t="shared" si="0"/>
        <v>0</v>
      </c>
    </row>
    <row r="21" spans="1:26" x14ac:dyDescent="0.2">
      <c r="A21" s="89" t="s">
        <v>339</v>
      </c>
      <c r="B21" s="89" t="s">
        <v>340</v>
      </c>
      <c r="C21" s="89" t="s">
        <v>609</v>
      </c>
      <c r="D21" s="89" t="s">
        <v>1357</v>
      </c>
      <c r="E21" s="67" t="s">
        <v>341</v>
      </c>
      <c r="F21" s="89" t="s">
        <v>342</v>
      </c>
      <c r="G21" s="90">
        <v>44226</v>
      </c>
      <c r="H21" s="90">
        <v>43950</v>
      </c>
      <c r="I21" s="91">
        <v>0</v>
      </c>
      <c r="J21" s="91">
        <v>0</v>
      </c>
      <c r="K21" s="91">
        <v>0</v>
      </c>
      <c r="L21" s="91">
        <v>0</v>
      </c>
      <c r="M21" s="91">
        <v>0</v>
      </c>
      <c r="N21" s="91">
        <v>0</v>
      </c>
      <c r="O21" s="91">
        <v>0</v>
      </c>
      <c r="P21" s="91">
        <v>53159.13</v>
      </c>
      <c r="Q21" s="91">
        <v>0</v>
      </c>
      <c r="R21" s="91">
        <v>0</v>
      </c>
      <c r="S21" s="91">
        <v>0</v>
      </c>
      <c r="T21" s="91">
        <v>0</v>
      </c>
      <c r="U21" s="91">
        <v>53159.13</v>
      </c>
      <c r="V21" s="91">
        <v>-53159.13</v>
      </c>
      <c r="W21" s="91">
        <v>0</v>
      </c>
      <c r="X21" s="91">
        <v>0</v>
      </c>
      <c r="Y21" s="119">
        <v>0</v>
      </c>
      <c r="Z21" s="92">
        <f t="shared" si="0"/>
        <v>-53159.13</v>
      </c>
    </row>
    <row r="22" spans="1:26" x14ac:dyDescent="0.2">
      <c r="A22" s="89" t="s">
        <v>534</v>
      </c>
      <c r="B22" s="89" t="s">
        <v>535</v>
      </c>
      <c r="C22" s="89" t="s">
        <v>609</v>
      </c>
      <c r="D22" s="89" t="s">
        <v>1357</v>
      </c>
      <c r="E22" s="67" t="s">
        <v>158</v>
      </c>
      <c r="F22" s="89" t="s">
        <v>159</v>
      </c>
      <c r="G22" s="90">
        <v>44226</v>
      </c>
      <c r="H22" s="90">
        <v>44103</v>
      </c>
      <c r="I22" s="91">
        <v>0</v>
      </c>
      <c r="J22" s="91">
        <v>0</v>
      </c>
      <c r="K22" s="91">
        <v>0</v>
      </c>
      <c r="L22" s="91">
        <v>0</v>
      </c>
      <c r="M22" s="91">
        <v>0</v>
      </c>
      <c r="N22" s="91">
        <v>0</v>
      </c>
      <c r="O22" s="91">
        <v>0</v>
      </c>
      <c r="P22" s="91">
        <v>916.46</v>
      </c>
      <c r="Q22" s="91">
        <v>0</v>
      </c>
      <c r="R22" s="91">
        <v>0</v>
      </c>
      <c r="S22" s="91">
        <v>0</v>
      </c>
      <c r="T22" s="91">
        <v>0</v>
      </c>
      <c r="U22" s="91">
        <v>916.46</v>
      </c>
      <c r="V22" s="91">
        <v>-916.46</v>
      </c>
      <c r="W22" s="91">
        <v>0</v>
      </c>
      <c r="X22" s="91">
        <v>672.93000000000006</v>
      </c>
      <c r="Y22" s="119">
        <v>672.93000000000006</v>
      </c>
      <c r="Z22" s="92">
        <f t="shared" si="0"/>
        <v>-1589.39</v>
      </c>
    </row>
    <row r="23" spans="1:26" x14ac:dyDescent="0.2">
      <c r="A23" s="89" t="s">
        <v>156</v>
      </c>
      <c r="B23" s="89" t="s">
        <v>157</v>
      </c>
      <c r="C23" s="89" t="s">
        <v>609</v>
      </c>
      <c r="D23" s="89" t="s">
        <v>1357</v>
      </c>
      <c r="E23" s="67" t="s">
        <v>158</v>
      </c>
      <c r="F23" s="89" t="s">
        <v>159</v>
      </c>
      <c r="G23" s="90">
        <v>44629</v>
      </c>
      <c r="H23" s="90"/>
      <c r="I23" s="91">
        <v>5427000</v>
      </c>
      <c r="J23" s="91">
        <v>0</v>
      </c>
      <c r="K23" s="91">
        <v>0</v>
      </c>
      <c r="L23" s="91">
        <v>0</v>
      </c>
      <c r="M23" s="91">
        <v>0</v>
      </c>
      <c r="N23" s="91">
        <v>0</v>
      </c>
      <c r="O23" s="91">
        <v>0</v>
      </c>
      <c r="P23" s="91">
        <v>2815.2200000000003</v>
      </c>
      <c r="Q23" s="91">
        <v>0</v>
      </c>
      <c r="R23" s="91">
        <v>8093.37</v>
      </c>
      <c r="S23" s="91">
        <v>0</v>
      </c>
      <c r="T23" s="91">
        <v>0</v>
      </c>
      <c r="U23" s="91">
        <v>10908.59</v>
      </c>
      <c r="V23" s="91">
        <v>-10908.59</v>
      </c>
      <c r="W23" s="91">
        <v>2291.14</v>
      </c>
      <c r="X23" s="91">
        <v>141.25</v>
      </c>
      <c r="Y23" s="119">
        <v>2432.39</v>
      </c>
      <c r="Z23" s="92">
        <f t="shared" si="0"/>
        <v>-13340.98</v>
      </c>
    </row>
    <row r="24" spans="1:26" x14ac:dyDescent="0.2">
      <c r="A24" s="89" t="s">
        <v>333</v>
      </c>
      <c r="B24" s="89" t="s">
        <v>334</v>
      </c>
      <c r="C24" s="89" t="s">
        <v>609</v>
      </c>
      <c r="D24" s="89" t="s">
        <v>1357</v>
      </c>
      <c r="E24" s="67" t="s">
        <v>62</v>
      </c>
      <c r="F24" s="89" t="s">
        <v>63</v>
      </c>
      <c r="G24" s="90">
        <v>44588</v>
      </c>
      <c r="H24" s="90">
        <v>44791</v>
      </c>
      <c r="I24" s="91">
        <v>32574420</v>
      </c>
      <c r="J24" s="91">
        <v>47905.55</v>
      </c>
      <c r="K24" s="91">
        <v>0</v>
      </c>
      <c r="L24" s="91">
        <v>0</v>
      </c>
      <c r="M24" s="91">
        <v>0</v>
      </c>
      <c r="N24" s="91">
        <v>0</v>
      </c>
      <c r="O24" s="91">
        <v>47905.55</v>
      </c>
      <c r="P24" s="91">
        <v>2230150.98</v>
      </c>
      <c r="Q24" s="91">
        <v>0</v>
      </c>
      <c r="R24" s="91">
        <v>117430.35999999999</v>
      </c>
      <c r="S24" s="91">
        <v>0</v>
      </c>
      <c r="T24" s="91">
        <v>0</v>
      </c>
      <c r="U24" s="91">
        <v>2347581.34</v>
      </c>
      <c r="V24" s="91">
        <v>-2299675.79</v>
      </c>
      <c r="W24" s="91">
        <v>0</v>
      </c>
      <c r="X24" s="91">
        <v>0</v>
      </c>
      <c r="Y24" s="119">
        <v>0</v>
      </c>
      <c r="Z24" s="92">
        <f t="shared" si="0"/>
        <v>-2299675.79</v>
      </c>
    </row>
    <row r="25" spans="1:26" x14ac:dyDescent="0.2">
      <c r="A25" s="89" t="s">
        <v>152</v>
      </c>
      <c r="B25" s="89" t="s">
        <v>153</v>
      </c>
      <c r="C25" s="89" t="s">
        <v>609</v>
      </c>
      <c r="D25" s="89" t="s">
        <v>1357</v>
      </c>
      <c r="E25" s="67" t="s">
        <v>62</v>
      </c>
      <c r="F25" s="89" t="s">
        <v>63</v>
      </c>
      <c r="G25" s="90">
        <v>44729</v>
      </c>
      <c r="H25" s="90"/>
      <c r="I25" s="91">
        <v>4796000</v>
      </c>
      <c r="J25" s="91">
        <v>0</v>
      </c>
      <c r="K25" s="91">
        <v>0</v>
      </c>
      <c r="L25" s="91">
        <v>0</v>
      </c>
      <c r="M25" s="91">
        <v>0</v>
      </c>
      <c r="N25" s="91">
        <v>0</v>
      </c>
      <c r="O25" s="91">
        <v>0</v>
      </c>
      <c r="P25" s="91">
        <v>0</v>
      </c>
      <c r="Q25" s="91">
        <v>0</v>
      </c>
      <c r="R25" s="91">
        <v>21775.83</v>
      </c>
      <c r="S25" s="91">
        <v>0</v>
      </c>
      <c r="T25" s="91">
        <v>0</v>
      </c>
      <c r="U25" s="91">
        <v>21775.83</v>
      </c>
      <c r="V25" s="91">
        <v>-21775.83</v>
      </c>
      <c r="W25" s="91">
        <v>0</v>
      </c>
      <c r="X25" s="91">
        <v>0</v>
      </c>
      <c r="Y25" s="119">
        <v>0</v>
      </c>
      <c r="Z25" s="92">
        <f t="shared" si="0"/>
        <v>-21775.83</v>
      </c>
    </row>
    <row r="26" spans="1:26" x14ac:dyDescent="0.2">
      <c r="A26" s="89" t="s">
        <v>293</v>
      </c>
      <c r="B26" s="89" t="s">
        <v>294</v>
      </c>
      <c r="C26" s="89" t="s">
        <v>609</v>
      </c>
      <c r="D26" s="89" t="s">
        <v>1357</v>
      </c>
      <c r="E26" s="67" t="s">
        <v>295</v>
      </c>
      <c r="F26" s="89" t="s">
        <v>296</v>
      </c>
      <c r="G26" s="90">
        <v>44226</v>
      </c>
      <c r="H26" s="90">
        <v>44316</v>
      </c>
      <c r="I26" s="91">
        <v>0</v>
      </c>
      <c r="J26" s="91">
        <v>0</v>
      </c>
      <c r="K26" s="91">
        <v>0</v>
      </c>
      <c r="L26" s="91">
        <v>0</v>
      </c>
      <c r="M26" s="91">
        <v>0</v>
      </c>
      <c r="N26" s="91">
        <v>0</v>
      </c>
      <c r="O26" s="91">
        <v>0</v>
      </c>
      <c r="P26" s="91">
        <v>0</v>
      </c>
      <c r="Q26" s="91">
        <v>0</v>
      </c>
      <c r="R26" s="91">
        <v>0</v>
      </c>
      <c r="S26" s="91">
        <v>0</v>
      </c>
      <c r="T26" s="91">
        <v>0</v>
      </c>
      <c r="U26" s="91">
        <v>0</v>
      </c>
      <c r="V26" s="91">
        <v>0</v>
      </c>
      <c r="W26" s="91">
        <v>0</v>
      </c>
      <c r="X26" s="91">
        <v>0</v>
      </c>
      <c r="Y26" s="119">
        <v>0</v>
      </c>
      <c r="Z26" s="92">
        <f t="shared" si="0"/>
        <v>0</v>
      </c>
    </row>
    <row r="27" spans="1:26" x14ac:dyDescent="0.2">
      <c r="A27" s="89" t="s">
        <v>162</v>
      </c>
      <c r="B27" s="89" t="s">
        <v>163</v>
      </c>
      <c r="C27" s="89" t="s">
        <v>609</v>
      </c>
      <c r="D27" s="89" t="s">
        <v>1357</v>
      </c>
      <c r="E27" s="67" t="s">
        <v>5</v>
      </c>
      <c r="F27" s="89" t="s">
        <v>6</v>
      </c>
      <c r="G27" s="90">
        <v>44411</v>
      </c>
      <c r="H27" s="90"/>
      <c r="I27" s="91">
        <v>8056400</v>
      </c>
      <c r="J27" s="91">
        <v>0</v>
      </c>
      <c r="K27" s="91">
        <v>0</v>
      </c>
      <c r="L27" s="91">
        <v>0</v>
      </c>
      <c r="M27" s="91">
        <v>0</v>
      </c>
      <c r="N27" s="91">
        <v>0</v>
      </c>
      <c r="O27" s="91">
        <v>0</v>
      </c>
      <c r="P27" s="91">
        <v>0</v>
      </c>
      <c r="Q27" s="91">
        <v>0</v>
      </c>
      <c r="R27" s="91">
        <v>13584.779999999999</v>
      </c>
      <c r="S27" s="91">
        <v>0</v>
      </c>
      <c r="T27" s="91">
        <v>0</v>
      </c>
      <c r="U27" s="91">
        <v>13584.779999999999</v>
      </c>
      <c r="V27" s="91">
        <v>-13584.779999999999</v>
      </c>
      <c r="W27" s="91">
        <v>0</v>
      </c>
      <c r="X27" s="91">
        <v>0</v>
      </c>
      <c r="Y27" s="119">
        <v>0</v>
      </c>
      <c r="Z27" s="92">
        <f t="shared" si="0"/>
        <v>-13584.779999999999</v>
      </c>
    </row>
    <row r="28" spans="1:26" x14ac:dyDescent="0.2">
      <c r="A28" s="89" t="s">
        <v>3</v>
      </c>
      <c r="B28" s="89" t="s">
        <v>4</v>
      </c>
      <c r="C28" s="89" t="s">
        <v>609</v>
      </c>
      <c r="D28" s="89" t="s">
        <v>1357</v>
      </c>
      <c r="E28" s="67" t="s">
        <v>5</v>
      </c>
      <c r="F28" s="89" t="s">
        <v>6</v>
      </c>
      <c r="G28" s="90">
        <v>44503</v>
      </c>
      <c r="H28" s="90"/>
      <c r="I28" s="91">
        <v>2249280</v>
      </c>
      <c r="J28" s="91">
        <v>730384.2</v>
      </c>
      <c r="K28" s="91">
        <v>0</v>
      </c>
      <c r="L28" s="91">
        <v>2962.88</v>
      </c>
      <c r="M28" s="91">
        <v>0</v>
      </c>
      <c r="N28" s="91">
        <v>0</v>
      </c>
      <c r="O28" s="91">
        <v>733347.08</v>
      </c>
      <c r="P28" s="91">
        <v>747658.93</v>
      </c>
      <c r="Q28" s="91">
        <v>0</v>
      </c>
      <c r="R28" s="91">
        <v>0</v>
      </c>
      <c r="S28" s="91">
        <v>0</v>
      </c>
      <c r="T28" s="91">
        <v>5596.7699999999995</v>
      </c>
      <c r="U28" s="91">
        <v>753255.7</v>
      </c>
      <c r="V28" s="91">
        <v>-19908.620000000043</v>
      </c>
      <c r="W28" s="91">
        <v>0</v>
      </c>
      <c r="X28" s="91">
        <v>47.65</v>
      </c>
      <c r="Y28" s="119">
        <v>47.65</v>
      </c>
      <c r="Z28" s="92">
        <f t="shared" si="0"/>
        <v>-19956.270000000044</v>
      </c>
    </row>
    <row r="29" spans="1:26" x14ac:dyDescent="0.2">
      <c r="A29" s="89" t="s">
        <v>102</v>
      </c>
      <c r="B29" s="89" t="s">
        <v>103</v>
      </c>
      <c r="C29" s="89" t="s">
        <v>609</v>
      </c>
      <c r="D29" s="89" t="s">
        <v>1357</v>
      </c>
      <c r="E29" s="67" t="s">
        <v>5</v>
      </c>
      <c r="F29" s="89" t="s">
        <v>6</v>
      </c>
      <c r="G29" s="90">
        <v>44607</v>
      </c>
      <c r="H29" s="90"/>
      <c r="I29" s="91">
        <v>4711014</v>
      </c>
      <c r="J29" s="91">
        <v>0</v>
      </c>
      <c r="K29" s="91">
        <v>0</v>
      </c>
      <c r="L29" s="91">
        <v>0</v>
      </c>
      <c r="M29" s="91">
        <v>0</v>
      </c>
      <c r="N29" s="91">
        <v>0</v>
      </c>
      <c r="O29" s="91">
        <v>0</v>
      </c>
      <c r="P29" s="91">
        <v>190.93</v>
      </c>
      <c r="Q29" s="91">
        <v>0</v>
      </c>
      <c r="R29" s="91">
        <v>6982.1600000000017</v>
      </c>
      <c r="S29" s="91">
        <v>2516.4</v>
      </c>
      <c r="T29" s="91">
        <v>1950.13</v>
      </c>
      <c r="U29" s="91">
        <v>11639.62</v>
      </c>
      <c r="V29" s="91">
        <v>-11639.62</v>
      </c>
      <c r="W29" s="91">
        <v>12036.72</v>
      </c>
      <c r="X29" s="91">
        <v>62837.670000000006</v>
      </c>
      <c r="Y29" s="119">
        <v>74874.390000000014</v>
      </c>
      <c r="Z29" s="92">
        <f t="shared" si="0"/>
        <v>-86514.010000000009</v>
      </c>
    </row>
    <row r="30" spans="1:26" x14ac:dyDescent="0.2">
      <c r="A30" s="89" t="s">
        <v>717</v>
      </c>
      <c r="B30" s="89" t="s">
        <v>300</v>
      </c>
      <c r="C30" s="89" t="s">
        <v>609</v>
      </c>
      <c r="D30" s="89" t="s">
        <v>1357</v>
      </c>
      <c r="E30" s="67" t="s">
        <v>5</v>
      </c>
      <c r="F30" s="89" t="s">
        <v>6</v>
      </c>
      <c r="G30" s="90">
        <v>44770</v>
      </c>
      <c r="H30" s="90"/>
      <c r="I30" s="91">
        <v>3018400</v>
      </c>
      <c r="J30" s="91">
        <v>0</v>
      </c>
      <c r="K30" s="91">
        <v>0</v>
      </c>
      <c r="L30" s="91">
        <v>0</v>
      </c>
      <c r="M30" s="91">
        <v>0</v>
      </c>
      <c r="N30" s="91">
        <v>0</v>
      </c>
      <c r="O30" s="91">
        <v>0</v>
      </c>
      <c r="P30" s="91">
        <v>0</v>
      </c>
      <c r="Q30" s="91">
        <v>0</v>
      </c>
      <c r="R30" s="91">
        <v>0</v>
      </c>
      <c r="S30" s="91">
        <v>0</v>
      </c>
      <c r="T30" s="91">
        <v>0</v>
      </c>
      <c r="U30" s="91">
        <v>0</v>
      </c>
      <c r="V30" s="91">
        <v>0</v>
      </c>
      <c r="W30" s="91">
        <v>0</v>
      </c>
      <c r="X30" s="91">
        <v>7426.87</v>
      </c>
      <c r="Y30" s="119">
        <v>7426.87</v>
      </c>
      <c r="Z30" s="92">
        <f t="shared" si="0"/>
        <v>-7426.87</v>
      </c>
    </row>
    <row r="31" spans="1:26" x14ac:dyDescent="0.2">
      <c r="A31" s="89" t="s">
        <v>711</v>
      </c>
      <c r="B31" s="89" t="s">
        <v>712</v>
      </c>
      <c r="C31" s="89" t="s">
        <v>609</v>
      </c>
      <c r="D31" s="89" t="s">
        <v>1357</v>
      </c>
      <c r="E31" s="67" t="s">
        <v>713</v>
      </c>
      <c r="F31" s="89" t="s">
        <v>714</v>
      </c>
      <c r="G31" s="90">
        <v>44767</v>
      </c>
      <c r="H31" s="90"/>
      <c r="I31" s="91">
        <v>9158310</v>
      </c>
      <c r="J31" s="91">
        <v>0</v>
      </c>
      <c r="K31" s="91">
        <v>0</v>
      </c>
      <c r="L31" s="91">
        <v>0</v>
      </c>
      <c r="M31" s="91">
        <v>0</v>
      </c>
      <c r="N31" s="91">
        <v>0</v>
      </c>
      <c r="O31" s="91">
        <v>0</v>
      </c>
      <c r="P31" s="91">
        <v>0</v>
      </c>
      <c r="Q31" s="91">
        <v>0</v>
      </c>
      <c r="R31" s="91">
        <v>0</v>
      </c>
      <c r="S31" s="91">
        <v>1238.24</v>
      </c>
      <c r="T31" s="91">
        <v>20385.68</v>
      </c>
      <c r="U31" s="91">
        <v>21623.920000000002</v>
      </c>
      <c r="V31" s="91">
        <v>-21623.920000000002</v>
      </c>
      <c r="W31" s="91">
        <v>0</v>
      </c>
      <c r="X31" s="91">
        <v>0</v>
      </c>
      <c r="Y31" s="119">
        <v>0</v>
      </c>
      <c r="Z31" s="92">
        <f t="shared" si="0"/>
        <v>-21623.920000000002</v>
      </c>
    </row>
    <row r="32" spans="1:26" x14ac:dyDescent="0.2">
      <c r="A32" s="89" t="s">
        <v>72</v>
      </c>
      <c r="B32" s="89" t="s">
        <v>73</v>
      </c>
      <c r="C32" s="89" t="s">
        <v>609</v>
      </c>
      <c r="D32" s="89" t="s">
        <v>1357</v>
      </c>
      <c r="E32" s="67" t="s">
        <v>74</v>
      </c>
      <c r="F32" s="89" t="s">
        <v>75</v>
      </c>
      <c r="G32" s="90">
        <v>44461</v>
      </c>
      <c r="H32" s="90">
        <v>44944</v>
      </c>
      <c r="I32" s="91">
        <v>1900000</v>
      </c>
      <c r="J32" s="91">
        <v>0</v>
      </c>
      <c r="K32" s="91">
        <v>0</v>
      </c>
      <c r="L32" s="91">
        <v>0</v>
      </c>
      <c r="M32" s="91">
        <v>0</v>
      </c>
      <c r="N32" s="91">
        <v>0</v>
      </c>
      <c r="O32" s="91">
        <v>0</v>
      </c>
      <c r="P32" s="91">
        <v>0</v>
      </c>
      <c r="Q32" s="91">
        <v>0</v>
      </c>
      <c r="R32" s="91">
        <v>0</v>
      </c>
      <c r="S32" s="91">
        <v>0</v>
      </c>
      <c r="T32" s="91">
        <v>0</v>
      </c>
      <c r="U32" s="91">
        <v>0</v>
      </c>
      <c r="V32" s="91">
        <v>0</v>
      </c>
      <c r="W32" s="91">
        <v>0</v>
      </c>
      <c r="X32" s="91">
        <v>12178.5</v>
      </c>
      <c r="Y32" s="119">
        <v>12178.5</v>
      </c>
      <c r="Z32" s="92">
        <f t="shared" si="0"/>
        <v>-12178.5</v>
      </c>
    </row>
    <row r="33" spans="1:26" x14ac:dyDescent="0.2">
      <c r="A33" s="89" t="s">
        <v>749</v>
      </c>
      <c r="B33" s="89" t="s">
        <v>750</v>
      </c>
      <c r="C33" s="89" t="s">
        <v>609</v>
      </c>
      <c r="D33" s="89" t="s">
        <v>1357</v>
      </c>
      <c r="E33" s="67" t="s">
        <v>96</v>
      </c>
      <c r="F33" s="89" t="s">
        <v>97</v>
      </c>
      <c r="G33" s="90">
        <v>44767</v>
      </c>
      <c r="H33" s="90">
        <v>45028</v>
      </c>
      <c r="I33" s="91">
        <v>14100000</v>
      </c>
      <c r="J33" s="91">
        <v>64724.91</v>
      </c>
      <c r="K33" s="91">
        <v>0</v>
      </c>
      <c r="L33" s="91">
        <v>0</v>
      </c>
      <c r="M33" s="91">
        <v>0</v>
      </c>
      <c r="N33" s="91">
        <v>0</v>
      </c>
      <c r="O33" s="91">
        <v>64724.91</v>
      </c>
      <c r="P33" s="91">
        <v>46957.58</v>
      </c>
      <c r="Q33" s="91">
        <v>0</v>
      </c>
      <c r="R33" s="91">
        <v>33602.720000000001</v>
      </c>
      <c r="S33" s="91">
        <v>0</v>
      </c>
      <c r="T33" s="91">
        <v>132559.25</v>
      </c>
      <c r="U33" s="91">
        <v>213119.55</v>
      </c>
      <c r="V33" s="91">
        <v>-148394.63999999998</v>
      </c>
      <c r="W33" s="91">
        <v>19088.310000000001</v>
      </c>
      <c r="X33" s="91">
        <v>20124.919999999998</v>
      </c>
      <c r="Y33" s="119">
        <v>39213.230000000003</v>
      </c>
      <c r="Z33" s="92">
        <f t="shared" si="0"/>
        <v>-187607.87</v>
      </c>
    </row>
    <row r="34" spans="1:26" x14ac:dyDescent="0.2">
      <c r="A34" s="89" t="s">
        <v>106</v>
      </c>
      <c r="B34" s="89" t="s">
        <v>107</v>
      </c>
      <c r="C34" s="89" t="s">
        <v>609</v>
      </c>
      <c r="D34" s="89" t="s">
        <v>1357</v>
      </c>
      <c r="E34" s="67" t="s">
        <v>108</v>
      </c>
      <c r="F34" s="89" t="s">
        <v>109</v>
      </c>
      <c r="G34" s="90">
        <v>44678</v>
      </c>
      <c r="H34" s="90"/>
      <c r="I34" s="91">
        <v>0</v>
      </c>
      <c r="J34" s="91">
        <v>0</v>
      </c>
      <c r="K34" s="91">
        <v>0</v>
      </c>
      <c r="L34" s="91">
        <v>0</v>
      </c>
      <c r="M34" s="91">
        <v>0</v>
      </c>
      <c r="N34" s="91">
        <v>0</v>
      </c>
      <c r="O34" s="91">
        <v>0</v>
      </c>
      <c r="P34" s="91">
        <v>0</v>
      </c>
      <c r="Q34" s="91">
        <v>0</v>
      </c>
      <c r="R34" s="91">
        <v>0</v>
      </c>
      <c r="S34" s="91">
        <v>0</v>
      </c>
      <c r="T34" s="91">
        <v>0</v>
      </c>
      <c r="U34" s="91">
        <v>0</v>
      </c>
      <c r="V34" s="91">
        <v>0</v>
      </c>
      <c r="W34" s="91">
        <v>0</v>
      </c>
      <c r="X34" s="91">
        <v>0</v>
      </c>
      <c r="Y34" s="119">
        <v>0</v>
      </c>
      <c r="Z34" s="92">
        <f t="shared" si="0"/>
        <v>0</v>
      </c>
    </row>
    <row r="35" spans="1:26" x14ac:dyDescent="0.2">
      <c r="A35" s="89" t="s">
        <v>727</v>
      </c>
      <c r="B35" s="89" t="s">
        <v>728</v>
      </c>
      <c r="C35" s="89" t="s">
        <v>609</v>
      </c>
      <c r="D35" s="89" t="s">
        <v>1357</v>
      </c>
      <c r="E35" s="67" t="s">
        <v>729</v>
      </c>
      <c r="F35" s="89" t="s">
        <v>730</v>
      </c>
      <c r="G35" s="90">
        <v>44799</v>
      </c>
      <c r="H35" s="90"/>
      <c r="I35" s="91">
        <v>8004000</v>
      </c>
      <c r="J35" s="91">
        <v>0</v>
      </c>
      <c r="K35" s="91">
        <v>0</v>
      </c>
      <c r="L35" s="91">
        <v>0</v>
      </c>
      <c r="M35" s="91">
        <v>0</v>
      </c>
      <c r="N35" s="91">
        <v>0</v>
      </c>
      <c r="O35" s="91">
        <v>0</v>
      </c>
      <c r="P35" s="91">
        <v>9461.2799999999988</v>
      </c>
      <c r="Q35" s="91">
        <v>0</v>
      </c>
      <c r="R35" s="91">
        <v>7104.4400000000005</v>
      </c>
      <c r="S35" s="91">
        <v>779.69</v>
      </c>
      <c r="T35" s="91">
        <v>3328.1000000000004</v>
      </c>
      <c r="U35" s="91">
        <v>20673.510000000002</v>
      </c>
      <c r="V35" s="91">
        <v>-20673.510000000002</v>
      </c>
      <c r="W35" s="91">
        <v>3177.75</v>
      </c>
      <c r="X35" s="91">
        <v>18513.339999999997</v>
      </c>
      <c r="Y35" s="119">
        <v>21691.089999999997</v>
      </c>
      <c r="Z35" s="92">
        <f t="shared" si="0"/>
        <v>-42364.6</v>
      </c>
    </row>
    <row r="36" spans="1:26" x14ac:dyDescent="0.2">
      <c r="A36" s="89" t="s">
        <v>831</v>
      </c>
      <c r="B36" s="89" t="s">
        <v>832</v>
      </c>
      <c r="C36" s="89" t="s">
        <v>609</v>
      </c>
      <c r="D36" s="89" t="s">
        <v>1357</v>
      </c>
      <c r="E36" s="67" t="s">
        <v>729</v>
      </c>
      <c r="F36" s="89" t="s">
        <v>730</v>
      </c>
      <c r="G36" s="90">
        <v>44895</v>
      </c>
      <c r="H36" s="90"/>
      <c r="I36" s="91">
        <v>3045000</v>
      </c>
      <c r="J36" s="91">
        <v>0</v>
      </c>
      <c r="K36" s="91">
        <v>0</v>
      </c>
      <c r="L36" s="91">
        <v>0</v>
      </c>
      <c r="M36" s="91">
        <v>0</v>
      </c>
      <c r="N36" s="91">
        <v>0</v>
      </c>
      <c r="O36" s="91">
        <v>0</v>
      </c>
      <c r="P36" s="91">
        <v>0</v>
      </c>
      <c r="Q36" s="91">
        <v>0</v>
      </c>
      <c r="R36" s="91">
        <v>0</v>
      </c>
      <c r="S36" s="91">
        <v>0</v>
      </c>
      <c r="T36" s="91">
        <v>0</v>
      </c>
      <c r="U36" s="91">
        <v>0</v>
      </c>
      <c r="V36" s="91">
        <v>0</v>
      </c>
      <c r="W36" s="91">
        <v>0</v>
      </c>
      <c r="X36" s="91">
        <v>2198.54</v>
      </c>
      <c r="Y36" s="119">
        <v>2198.54</v>
      </c>
      <c r="Z36" s="92">
        <f t="shared" si="0"/>
        <v>-2198.54</v>
      </c>
    </row>
    <row r="37" spans="1:26" x14ac:dyDescent="0.2">
      <c r="A37" s="89" t="s">
        <v>768</v>
      </c>
      <c r="B37" s="89" t="s">
        <v>769</v>
      </c>
      <c r="C37" s="89" t="s">
        <v>609</v>
      </c>
      <c r="D37" s="89" t="s">
        <v>1357</v>
      </c>
      <c r="E37" s="67" t="s">
        <v>770</v>
      </c>
      <c r="F37" s="89" t="s">
        <v>771</v>
      </c>
      <c r="G37" s="90">
        <v>44826</v>
      </c>
      <c r="H37" s="90"/>
      <c r="I37" s="91">
        <v>6006000</v>
      </c>
      <c r="J37" s="91">
        <v>15326.09</v>
      </c>
      <c r="K37" s="91">
        <v>0</v>
      </c>
      <c r="L37" s="91">
        <v>0</v>
      </c>
      <c r="M37" s="91">
        <v>0</v>
      </c>
      <c r="N37" s="91">
        <v>0</v>
      </c>
      <c r="O37" s="91">
        <v>15326.09</v>
      </c>
      <c r="P37" s="91">
        <v>11005.31</v>
      </c>
      <c r="Q37" s="91">
        <v>0</v>
      </c>
      <c r="R37" s="91">
        <v>3468.08</v>
      </c>
      <c r="S37" s="91">
        <v>24365.52</v>
      </c>
      <c r="T37" s="91">
        <v>0</v>
      </c>
      <c r="U37" s="91">
        <v>38838.910000000003</v>
      </c>
      <c r="V37" s="91">
        <v>-23512.820000000003</v>
      </c>
      <c r="W37" s="91">
        <v>0</v>
      </c>
      <c r="X37" s="91">
        <v>0</v>
      </c>
      <c r="Y37" s="119">
        <v>0</v>
      </c>
      <c r="Z37" s="92">
        <f t="shared" si="0"/>
        <v>-23512.820000000003</v>
      </c>
    </row>
    <row r="38" spans="1:26" x14ac:dyDescent="0.2">
      <c r="A38" s="89" t="s">
        <v>742</v>
      </c>
      <c r="B38" s="89" t="s">
        <v>743</v>
      </c>
      <c r="C38" s="89" t="s">
        <v>609</v>
      </c>
      <c r="D38" s="89" t="s">
        <v>1357</v>
      </c>
      <c r="E38" s="67" t="s">
        <v>744</v>
      </c>
      <c r="F38" s="89" t="s">
        <v>745</v>
      </c>
      <c r="G38" s="90">
        <v>44830</v>
      </c>
      <c r="H38" s="90"/>
      <c r="I38" s="91">
        <v>130488000</v>
      </c>
      <c r="J38" s="91">
        <v>10260459.83</v>
      </c>
      <c r="K38" s="91">
        <v>0</v>
      </c>
      <c r="L38" s="91">
        <v>400127.16</v>
      </c>
      <c r="M38" s="91">
        <v>362453.03</v>
      </c>
      <c r="N38" s="91">
        <v>0</v>
      </c>
      <c r="O38" s="91">
        <v>11023040.020000001</v>
      </c>
      <c r="P38" s="91">
        <v>11307721.800000001</v>
      </c>
      <c r="Q38" s="91">
        <v>0</v>
      </c>
      <c r="R38" s="91">
        <v>97195.74</v>
      </c>
      <c r="S38" s="91">
        <v>564869.81000000006</v>
      </c>
      <c r="T38" s="91">
        <v>285911.44</v>
      </c>
      <c r="U38" s="91">
        <v>12255698.790000001</v>
      </c>
      <c r="V38" s="91">
        <v>-1232658.77</v>
      </c>
      <c r="W38" s="91">
        <v>636172.49</v>
      </c>
      <c r="X38" s="91">
        <v>487622.28</v>
      </c>
      <c r="Y38" s="119">
        <v>1123794.77</v>
      </c>
      <c r="Z38" s="92">
        <f t="shared" si="0"/>
        <v>-2356453.54</v>
      </c>
    </row>
    <row r="39" spans="1:26" x14ac:dyDescent="0.2">
      <c r="A39" s="89" t="s">
        <v>788</v>
      </c>
      <c r="B39" s="89" t="s">
        <v>789</v>
      </c>
      <c r="C39" s="89" t="s">
        <v>609</v>
      </c>
      <c r="D39" s="89" t="s">
        <v>1357</v>
      </c>
      <c r="E39" s="67" t="s">
        <v>790</v>
      </c>
      <c r="F39" s="89" t="s">
        <v>791</v>
      </c>
      <c r="G39" s="90">
        <v>44860</v>
      </c>
      <c r="H39" s="90"/>
      <c r="I39" s="91">
        <v>8344501</v>
      </c>
      <c r="J39" s="91">
        <v>0</v>
      </c>
      <c r="K39" s="91">
        <v>0</v>
      </c>
      <c r="L39" s="91">
        <v>20229.3</v>
      </c>
      <c r="M39" s="91">
        <v>0</v>
      </c>
      <c r="N39" s="91">
        <v>0</v>
      </c>
      <c r="O39" s="91">
        <v>20229.3</v>
      </c>
      <c r="P39" s="91">
        <v>9267.57</v>
      </c>
      <c r="Q39" s="91">
        <v>0</v>
      </c>
      <c r="R39" s="91">
        <v>0</v>
      </c>
      <c r="S39" s="91">
        <v>1891.15</v>
      </c>
      <c r="T39" s="91">
        <v>23536.92</v>
      </c>
      <c r="U39" s="91">
        <v>34695.64</v>
      </c>
      <c r="V39" s="91">
        <v>-14466.34</v>
      </c>
      <c r="W39" s="91">
        <v>3629.9300000000003</v>
      </c>
      <c r="X39" s="91">
        <v>2111.29</v>
      </c>
      <c r="Y39" s="119">
        <v>5741.22</v>
      </c>
      <c r="Z39" s="92">
        <f t="shared" si="0"/>
        <v>-20207.560000000001</v>
      </c>
    </row>
    <row r="40" spans="1:26" x14ac:dyDescent="0.2">
      <c r="A40" s="89" t="s">
        <v>352</v>
      </c>
      <c r="B40" s="89" t="s">
        <v>353</v>
      </c>
      <c r="C40" s="89" t="s">
        <v>609</v>
      </c>
      <c r="D40" s="89" t="s">
        <v>1357</v>
      </c>
      <c r="E40" s="67">
        <v>800</v>
      </c>
      <c r="F40" s="89" t="s">
        <v>354</v>
      </c>
      <c r="G40" s="90">
        <v>44226</v>
      </c>
      <c r="H40" s="90">
        <v>43767</v>
      </c>
      <c r="I40" s="91">
        <v>0</v>
      </c>
      <c r="J40" s="91">
        <v>0</v>
      </c>
      <c r="K40" s="91">
        <v>0</v>
      </c>
      <c r="L40" s="91">
        <v>83176.5</v>
      </c>
      <c r="M40" s="91">
        <v>0</v>
      </c>
      <c r="N40" s="91">
        <v>0</v>
      </c>
      <c r="O40" s="91">
        <v>83176.5</v>
      </c>
      <c r="P40" s="91">
        <v>837.86</v>
      </c>
      <c r="Q40" s="91">
        <v>0</v>
      </c>
      <c r="R40" s="91">
        <v>0</v>
      </c>
      <c r="S40" s="91">
        <v>0</v>
      </c>
      <c r="T40" s="91">
        <v>0</v>
      </c>
      <c r="U40" s="91">
        <v>837.86</v>
      </c>
      <c r="V40" s="91">
        <v>82338.64</v>
      </c>
      <c r="W40" s="91">
        <v>0</v>
      </c>
      <c r="X40" s="91">
        <v>26511.200000000001</v>
      </c>
      <c r="Y40" s="119">
        <v>26511.200000000001</v>
      </c>
      <c r="Z40" s="92">
        <f t="shared" si="0"/>
        <v>55827.44</v>
      </c>
    </row>
    <row r="41" spans="1:26" x14ac:dyDescent="0.2">
      <c r="A41" s="89" t="s">
        <v>454</v>
      </c>
      <c r="B41" s="89" t="s">
        <v>455</v>
      </c>
      <c r="C41" s="89" t="s">
        <v>609</v>
      </c>
      <c r="D41" s="89" t="s">
        <v>1357</v>
      </c>
      <c r="E41" s="67" t="s">
        <v>208</v>
      </c>
      <c r="F41" s="89" t="s">
        <v>209</v>
      </c>
      <c r="G41" s="90">
        <v>44226</v>
      </c>
      <c r="H41" s="90">
        <v>42811</v>
      </c>
      <c r="I41" s="91">
        <v>0</v>
      </c>
      <c r="J41" s="91">
        <v>0</v>
      </c>
      <c r="K41" s="91">
        <v>0</v>
      </c>
      <c r="L41" s="91">
        <v>0</v>
      </c>
      <c r="M41" s="91">
        <v>0</v>
      </c>
      <c r="N41" s="91">
        <v>0</v>
      </c>
      <c r="O41" s="91">
        <v>0</v>
      </c>
      <c r="P41" s="91">
        <v>0</v>
      </c>
      <c r="Q41" s="91">
        <v>0</v>
      </c>
      <c r="R41" s="91">
        <v>0</v>
      </c>
      <c r="S41" s="91">
        <v>0</v>
      </c>
      <c r="T41" s="91">
        <v>0</v>
      </c>
      <c r="U41" s="91">
        <v>0</v>
      </c>
      <c r="V41" s="91">
        <v>0</v>
      </c>
      <c r="W41" s="91">
        <v>0</v>
      </c>
      <c r="X41" s="91">
        <v>0</v>
      </c>
      <c r="Y41" s="119">
        <v>0</v>
      </c>
      <c r="Z41" s="92">
        <f t="shared" si="0"/>
        <v>0</v>
      </c>
    </row>
    <row r="42" spans="1:26" x14ac:dyDescent="0.2">
      <c r="A42" s="89" t="s">
        <v>335</v>
      </c>
      <c r="B42" s="89" t="s">
        <v>336</v>
      </c>
      <c r="C42" s="89" t="s">
        <v>609</v>
      </c>
      <c r="D42" s="89" t="s">
        <v>1357</v>
      </c>
      <c r="E42" s="67" t="s">
        <v>158</v>
      </c>
      <c r="F42" s="89" t="s">
        <v>159</v>
      </c>
      <c r="G42" s="90">
        <v>44226</v>
      </c>
      <c r="H42" s="90">
        <v>44459</v>
      </c>
      <c r="I42" s="91">
        <v>0</v>
      </c>
      <c r="J42" s="91">
        <v>0</v>
      </c>
      <c r="K42" s="91">
        <v>0</v>
      </c>
      <c r="L42" s="91">
        <v>0</v>
      </c>
      <c r="M42" s="91">
        <v>0</v>
      </c>
      <c r="N42" s="91">
        <v>0</v>
      </c>
      <c r="O42" s="91">
        <v>0</v>
      </c>
      <c r="P42" s="91">
        <v>1985.66</v>
      </c>
      <c r="Q42" s="91">
        <v>0</v>
      </c>
      <c r="R42" s="91">
        <v>0</v>
      </c>
      <c r="S42" s="91">
        <v>0</v>
      </c>
      <c r="T42" s="91">
        <v>0</v>
      </c>
      <c r="U42" s="91">
        <v>1985.66</v>
      </c>
      <c r="V42" s="91">
        <v>-1985.66</v>
      </c>
      <c r="W42" s="91">
        <v>0</v>
      </c>
      <c r="X42" s="91">
        <v>779.45</v>
      </c>
      <c r="Y42" s="119">
        <v>779.45</v>
      </c>
      <c r="Z42" s="92">
        <f t="shared" si="0"/>
        <v>-2765.11</v>
      </c>
    </row>
    <row r="43" spans="1:26" x14ac:dyDescent="0.2">
      <c r="A43" s="89" t="s">
        <v>548</v>
      </c>
      <c r="B43" s="89" t="s">
        <v>549</v>
      </c>
      <c r="C43" s="89" t="s">
        <v>609</v>
      </c>
      <c r="D43" s="89" t="s">
        <v>1357</v>
      </c>
      <c r="E43" s="67" t="s">
        <v>158</v>
      </c>
      <c r="F43" s="89" t="s">
        <v>159</v>
      </c>
      <c r="G43" s="90">
        <v>44466</v>
      </c>
      <c r="H43" s="90">
        <v>44708</v>
      </c>
      <c r="I43" s="91">
        <v>226000</v>
      </c>
      <c r="J43" s="91">
        <v>0</v>
      </c>
      <c r="K43" s="91">
        <v>0</v>
      </c>
      <c r="L43" s="91">
        <v>0</v>
      </c>
      <c r="M43" s="91">
        <v>0</v>
      </c>
      <c r="N43" s="91">
        <v>0</v>
      </c>
      <c r="O43" s="91">
        <v>0</v>
      </c>
      <c r="P43" s="91">
        <v>286.39999999999998</v>
      </c>
      <c r="Q43" s="91">
        <v>0</v>
      </c>
      <c r="R43" s="91">
        <v>0</v>
      </c>
      <c r="S43" s="91">
        <v>0</v>
      </c>
      <c r="T43" s="91">
        <v>0</v>
      </c>
      <c r="U43" s="91">
        <v>286.39999999999998</v>
      </c>
      <c r="V43" s="91">
        <v>-286.39999999999998</v>
      </c>
      <c r="W43" s="91">
        <v>0</v>
      </c>
      <c r="X43" s="91">
        <v>0</v>
      </c>
      <c r="Y43" s="119">
        <v>0</v>
      </c>
      <c r="Z43" s="92">
        <f t="shared" si="0"/>
        <v>-286.39999999999998</v>
      </c>
    </row>
    <row r="44" spans="1:26" x14ac:dyDescent="0.2">
      <c r="A44" s="89" t="s">
        <v>756</v>
      </c>
      <c r="B44" s="89" t="s">
        <v>757</v>
      </c>
      <c r="C44" s="89" t="s">
        <v>609</v>
      </c>
      <c r="D44" s="89" t="s">
        <v>1357</v>
      </c>
      <c r="E44" s="67" t="s">
        <v>96</v>
      </c>
      <c r="F44" s="89" t="s">
        <v>97</v>
      </c>
      <c r="G44" s="90">
        <v>44818</v>
      </c>
      <c r="H44" s="90"/>
      <c r="I44" s="91">
        <v>870100</v>
      </c>
      <c r="J44" s="91">
        <v>0</v>
      </c>
      <c r="K44" s="91">
        <v>0</v>
      </c>
      <c r="L44" s="91">
        <v>0</v>
      </c>
      <c r="M44" s="91">
        <v>0</v>
      </c>
      <c r="N44" s="91">
        <v>0</v>
      </c>
      <c r="O44" s="91">
        <v>0</v>
      </c>
      <c r="P44" s="91">
        <v>0</v>
      </c>
      <c r="Q44" s="91">
        <v>0</v>
      </c>
      <c r="R44" s="91">
        <v>0</v>
      </c>
      <c r="S44" s="91">
        <v>0</v>
      </c>
      <c r="T44" s="91">
        <v>0</v>
      </c>
      <c r="U44" s="91">
        <v>0</v>
      </c>
      <c r="V44" s="91">
        <v>0</v>
      </c>
      <c r="W44" s="91">
        <v>0</v>
      </c>
      <c r="X44" s="91">
        <v>0</v>
      </c>
      <c r="Y44" s="119">
        <v>0</v>
      </c>
      <c r="Z44" s="92">
        <f t="shared" si="0"/>
        <v>0</v>
      </c>
    </row>
    <row r="45" spans="1:26" x14ac:dyDescent="0.2">
      <c r="A45" s="89" t="s">
        <v>839</v>
      </c>
      <c r="B45" s="89" t="s">
        <v>840</v>
      </c>
      <c r="C45" s="89" t="s">
        <v>609</v>
      </c>
      <c r="D45" s="89" t="s">
        <v>1357</v>
      </c>
      <c r="E45" s="67" t="s">
        <v>841</v>
      </c>
      <c r="F45" s="89" t="s">
        <v>842</v>
      </c>
      <c r="G45" s="90">
        <v>44903</v>
      </c>
      <c r="H45" s="90"/>
      <c r="I45" s="91">
        <v>1610000</v>
      </c>
      <c r="J45" s="91">
        <v>0</v>
      </c>
      <c r="K45" s="91">
        <v>0</v>
      </c>
      <c r="L45" s="91">
        <v>0</v>
      </c>
      <c r="M45" s="91">
        <v>0</v>
      </c>
      <c r="N45" s="91">
        <v>0</v>
      </c>
      <c r="O45" s="91">
        <v>0</v>
      </c>
      <c r="P45" s="91">
        <v>0</v>
      </c>
      <c r="Q45" s="91">
        <v>0</v>
      </c>
      <c r="R45" s="91">
        <v>0</v>
      </c>
      <c r="S45" s="91">
        <v>0</v>
      </c>
      <c r="T45" s="91">
        <v>0</v>
      </c>
      <c r="U45" s="91">
        <v>0</v>
      </c>
      <c r="V45" s="91">
        <v>0</v>
      </c>
      <c r="W45" s="91">
        <v>0</v>
      </c>
      <c r="X45" s="91">
        <v>0</v>
      </c>
      <c r="Y45" s="119">
        <v>0</v>
      </c>
      <c r="Z45" s="92">
        <f t="shared" si="0"/>
        <v>0</v>
      </c>
    </row>
    <row r="46" spans="1:26" x14ac:dyDescent="0.2">
      <c r="A46" s="89" t="s">
        <v>170</v>
      </c>
      <c r="B46" s="89" t="s">
        <v>171</v>
      </c>
      <c r="C46" s="89" t="s">
        <v>609</v>
      </c>
      <c r="D46" s="89" t="s">
        <v>1357</v>
      </c>
      <c r="E46" s="67" t="s">
        <v>172</v>
      </c>
      <c r="F46" s="89" t="s">
        <v>173</v>
      </c>
      <c r="G46" s="90">
        <v>44757</v>
      </c>
      <c r="H46" s="90"/>
      <c r="I46" s="91">
        <v>3571600</v>
      </c>
      <c r="J46" s="91">
        <v>0</v>
      </c>
      <c r="K46" s="91">
        <v>0</v>
      </c>
      <c r="L46" s="91">
        <v>0</v>
      </c>
      <c r="M46" s="91">
        <v>0</v>
      </c>
      <c r="N46" s="91">
        <v>0</v>
      </c>
      <c r="O46" s="91">
        <v>0</v>
      </c>
      <c r="P46" s="91">
        <v>0</v>
      </c>
      <c r="Q46" s="91">
        <v>0</v>
      </c>
      <c r="R46" s="91">
        <v>0</v>
      </c>
      <c r="S46" s="91">
        <v>0</v>
      </c>
      <c r="T46" s="91">
        <v>0</v>
      </c>
      <c r="U46" s="91">
        <v>0</v>
      </c>
      <c r="V46" s="91">
        <v>0</v>
      </c>
      <c r="W46" s="91">
        <v>0</v>
      </c>
      <c r="X46" s="91">
        <v>26379.27</v>
      </c>
      <c r="Y46" s="119">
        <v>26379.27</v>
      </c>
      <c r="Z46" s="92">
        <f t="shared" si="0"/>
        <v>-26379.27</v>
      </c>
    </row>
    <row r="47" spans="1:26" x14ac:dyDescent="0.2">
      <c r="A47" s="89" t="s">
        <v>84</v>
      </c>
      <c r="B47" s="89" t="s">
        <v>85</v>
      </c>
      <c r="C47" s="89" t="s">
        <v>609</v>
      </c>
      <c r="D47" s="89" t="s">
        <v>1357</v>
      </c>
      <c r="E47" s="67">
        <v>438</v>
      </c>
      <c r="F47" s="89" t="s">
        <v>86</v>
      </c>
      <c r="G47" s="90">
        <v>44615</v>
      </c>
      <c r="H47" s="90">
        <v>45001</v>
      </c>
      <c r="I47" s="91">
        <v>40000</v>
      </c>
      <c r="J47" s="91">
        <v>36660</v>
      </c>
      <c r="K47" s="91">
        <v>0</v>
      </c>
      <c r="L47" s="91">
        <v>-394.09</v>
      </c>
      <c r="M47" s="91">
        <v>0</v>
      </c>
      <c r="N47" s="91">
        <v>0</v>
      </c>
      <c r="O47" s="91">
        <v>36265.910000000003</v>
      </c>
      <c r="P47" s="91">
        <v>30275.72</v>
      </c>
      <c r="Q47" s="91">
        <v>0</v>
      </c>
      <c r="R47" s="91">
        <v>0</v>
      </c>
      <c r="S47" s="91">
        <v>0</v>
      </c>
      <c r="T47" s="91">
        <v>0</v>
      </c>
      <c r="U47" s="91">
        <v>30275.72</v>
      </c>
      <c r="V47" s="91">
        <v>5990.19</v>
      </c>
      <c r="W47" s="91">
        <v>0</v>
      </c>
      <c r="X47" s="91">
        <v>209.63</v>
      </c>
      <c r="Y47" s="119">
        <v>209.63</v>
      </c>
      <c r="Z47" s="92">
        <f t="shared" si="0"/>
        <v>5780.5599999999995</v>
      </c>
    </row>
    <row r="48" spans="1:26" x14ac:dyDescent="0.2">
      <c r="A48" s="89" t="s">
        <v>898</v>
      </c>
      <c r="B48" s="89" t="s">
        <v>899</v>
      </c>
      <c r="C48" s="89" t="s">
        <v>609</v>
      </c>
      <c r="D48" s="89" t="s">
        <v>1357</v>
      </c>
      <c r="E48" s="67">
        <v>438</v>
      </c>
      <c r="F48" s="89" t="s">
        <v>86</v>
      </c>
      <c r="G48" s="90">
        <v>44226</v>
      </c>
      <c r="H48" s="90">
        <v>42909</v>
      </c>
      <c r="I48" s="91">
        <v>0</v>
      </c>
      <c r="J48" s="91">
        <v>0</v>
      </c>
      <c r="K48" s="91">
        <v>0</v>
      </c>
      <c r="L48" s="91">
        <v>0</v>
      </c>
      <c r="M48" s="91">
        <v>0</v>
      </c>
      <c r="N48" s="91">
        <v>0</v>
      </c>
      <c r="O48" s="91">
        <v>0</v>
      </c>
      <c r="P48" s="91">
        <v>0</v>
      </c>
      <c r="Q48" s="91">
        <v>0</v>
      </c>
      <c r="R48" s="91">
        <v>0</v>
      </c>
      <c r="S48" s="91">
        <v>0</v>
      </c>
      <c r="T48" s="91">
        <v>0</v>
      </c>
      <c r="U48" s="91">
        <v>0</v>
      </c>
      <c r="V48" s="91">
        <v>0</v>
      </c>
      <c r="W48" s="91">
        <v>0</v>
      </c>
      <c r="X48" s="91">
        <v>0</v>
      </c>
      <c r="Y48" s="119">
        <v>0</v>
      </c>
      <c r="Z48" s="92">
        <f t="shared" si="0"/>
        <v>0</v>
      </c>
    </row>
    <row r="49" spans="1:26" x14ac:dyDescent="0.2">
      <c r="A49" s="89" t="s">
        <v>388</v>
      </c>
      <c r="B49" s="89" t="s">
        <v>389</v>
      </c>
      <c r="C49" s="89" t="s">
        <v>609</v>
      </c>
      <c r="D49" s="89" t="s">
        <v>1357</v>
      </c>
      <c r="E49" s="67">
        <v>438</v>
      </c>
      <c r="F49" s="89" t="s">
        <v>86</v>
      </c>
      <c r="G49" s="90">
        <v>44226</v>
      </c>
      <c r="H49" s="90">
        <v>42909</v>
      </c>
      <c r="I49" s="91">
        <v>1240400</v>
      </c>
      <c r="J49" s="91">
        <v>0</v>
      </c>
      <c r="K49" s="91">
        <v>0</v>
      </c>
      <c r="L49" s="91">
        <v>0</v>
      </c>
      <c r="M49" s="91">
        <v>0</v>
      </c>
      <c r="N49" s="91">
        <v>0</v>
      </c>
      <c r="O49" s="91">
        <v>0</v>
      </c>
      <c r="P49" s="91">
        <v>0</v>
      </c>
      <c r="Q49" s="91">
        <v>0</v>
      </c>
      <c r="R49" s="91">
        <v>0</v>
      </c>
      <c r="S49" s="91">
        <v>0</v>
      </c>
      <c r="T49" s="91">
        <v>0</v>
      </c>
      <c r="U49" s="91">
        <v>0</v>
      </c>
      <c r="V49" s="91">
        <v>0</v>
      </c>
      <c r="W49" s="91">
        <v>86338.09</v>
      </c>
      <c r="X49" s="91">
        <v>291.26</v>
      </c>
      <c r="Y49" s="119">
        <v>86629.35</v>
      </c>
      <c r="Z49" s="92">
        <f t="shared" si="0"/>
        <v>-86629.35</v>
      </c>
    </row>
    <row r="50" spans="1:26" x14ac:dyDescent="0.2">
      <c r="A50" s="89" t="s">
        <v>251</v>
      </c>
      <c r="B50" s="89" t="s">
        <v>252</v>
      </c>
      <c r="C50" s="89" t="s">
        <v>609</v>
      </c>
      <c r="D50" s="89" t="s">
        <v>1357</v>
      </c>
      <c r="E50" s="67">
        <v>438</v>
      </c>
      <c r="F50" s="89" t="s">
        <v>86</v>
      </c>
      <c r="G50" s="90">
        <v>44226</v>
      </c>
      <c r="H50" s="90">
        <v>42391</v>
      </c>
      <c r="I50" s="91">
        <v>0</v>
      </c>
      <c r="J50" s="91">
        <v>0</v>
      </c>
      <c r="K50" s="91">
        <v>0</v>
      </c>
      <c r="L50" s="91">
        <v>0</v>
      </c>
      <c r="M50" s="91">
        <v>0</v>
      </c>
      <c r="N50" s="91">
        <v>0</v>
      </c>
      <c r="O50" s="91">
        <v>0</v>
      </c>
      <c r="P50" s="91">
        <v>0</v>
      </c>
      <c r="Q50" s="91">
        <v>0</v>
      </c>
      <c r="R50" s="91">
        <v>0</v>
      </c>
      <c r="S50" s="91">
        <v>0</v>
      </c>
      <c r="T50" s="91">
        <v>0</v>
      </c>
      <c r="U50" s="91">
        <v>0</v>
      </c>
      <c r="V50" s="91">
        <v>0</v>
      </c>
      <c r="W50" s="91">
        <v>0</v>
      </c>
      <c r="X50" s="91">
        <v>0</v>
      </c>
      <c r="Y50" s="119">
        <v>0</v>
      </c>
      <c r="Z50" s="92">
        <f t="shared" si="0"/>
        <v>0</v>
      </c>
    </row>
    <row r="51" spans="1:26" x14ac:dyDescent="0.2">
      <c r="A51" s="89" t="s">
        <v>92</v>
      </c>
      <c r="B51" s="89" t="s">
        <v>93</v>
      </c>
      <c r="C51" s="89" t="s">
        <v>609</v>
      </c>
      <c r="D51" s="89" t="s">
        <v>1357</v>
      </c>
      <c r="E51" s="67">
        <v>438</v>
      </c>
      <c r="F51" s="89" t="s">
        <v>86</v>
      </c>
      <c r="G51" s="90">
        <v>44531</v>
      </c>
      <c r="H51" s="90"/>
      <c r="I51" s="91">
        <v>271600</v>
      </c>
      <c r="J51" s="91">
        <v>0</v>
      </c>
      <c r="K51" s="91">
        <v>0</v>
      </c>
      <c r="L51" s="91">
        <v>0</v>
      </c>
      <c r="M51" s="91">
        <v>0</v>
      </c>
      <c r="N51" s="91">
        <v>0</v>
      </c>
      <c r="O51" s="91">
        <v>0</v>
      </c>
      <c r="P51" s="91">
        <v>0</v>
      </c>
      <c r="Q51" s="91">
        <v>0</v>
      </c>
      <c r="R51" s="91">
        <v>0</v>
      </c>
      <c r="S51" s="91">
        <v>0</v>
      </c>
      <c r="T51" s="91">
        <v>0</v>
      </c>
      <c r="U51" s="91">
        <v>0</v>
      </c>
      <c r="V51" s="91">
        <v>0</v>
      </c>
      <c r="W51" s="91">
        <v>0</v>
      </c>
      <c r="X51" s="91">
        <v>0</v>
      </c>
      <c r="Y51" s="119">
        <v>0</v>
      </c>
      <c r="Z51" s="92">
        <f t="shared" si="0"/>
        <v>0</v>
      </c>
    </row>
    <row r="52" spans="1:26" x14ac:dyDescent="0.2">
      <c r="A52" s="89" t="s">
        <v>273</v>
      </c>
      <c r="B52" s="89" t="s">
        <v>274</v>
      </c>
      <c r="C52" s="89" t="s">
        <v>609</v>
      </c>
      <c r="D52" s="89" t="s">
        <v>1357</v>
      </c>
      <c r="E52" s="67" t="s">
        <v>56</v>
      </c>
      <c r="F52" s="89" t="s">
        <v>57</v>
      </c>
      <c r="G52" s="90">
        <v>44229</v>
      </c>
      <c r="H52" s="90">
        <v>44251</v>
      </c>
      <c r="I52" s="91">
        <v>291500</v>
      </c>
      <c r="J52" s="91">
        <v>0</v>
      </c>
      <c r="K52" s="91">
        <v>0</v>
      </c>
      <c r="L52" s="91">
        <v>0</v>
      </c>
      <c r="M52" s="91">
        <v>0</v>
      </c>
      <c r="N52" s="91">
        <v>0</v>
      </c>
      <c r="O52" s="91">
        <v>0</v>
      </c>
      <c r="P52" s="91">
        <v>27925.7</v>
      </c>
      <c r="Q52" s="91">
        <v>0</v>
      </c>
      <c r="R52" s="91">
        <v>0</v>
      </c>
      <c r="S52" s="91">
        <v>1461.93</v>
      </c>
      <c r="T52" s="91">
        <v>0</v>
      </c>
      <c r="U52" s="91">
        <v>29387.63</v>
      </c>
      <c r="V52" s="91">
        <v>-29387.63</v>
      </c>
      <c r="W52" s="91">
        <v>0</v>
      </c>
      <c r="X52" s="91">
        <v>0</v>
      </c>
      <c r="Y52" s="119">
        <v>0</v>
      </c>
      <c r="Z52" s="92">
        <f t="shared" si="0"/>
        <v>-29387.63</v>
      </c>
    </row>
    <row r="53" spans="1:26" x14ac:dyDescent="0.2">
      <c r="A53" s="89" t="s">
        <v>313</v>
      </c>
      <c r="B53" s="89" t="s">
        <v>314</v>
      </c>
      <c r="C53" s="89" t="s">
        <v>609</v>
      </c>
      <c r="D53" s="89" t="s">
        <v>1357</v>
      </c>
      <c r="E53" s="67" t="s">
        <v>208</v>
      </c>
      <c r="F53" s="89" t="s">
        <v>209</v>
      </c>
      <c r="G53" s="90">
        <v>44226</v>
      </c>
      <c r="H53" s="90">
        <v>42551</v>
      </c>
      <c r="I53" s="91">
        <v>0</v>
      </c>
      <c r="J53" s="91">
        <v>0</v>
      </c>
      <c r="K53" s="91">
        <v>0</v>
      </c>
      <c r="L53" s="91">
        <v>0</v>
      </c>
      <c r="M53" s="91">
        <v>0</v>
      </c>
      <c r="N53" s="91">
        <v>0</v>
      </c>
      <c r="O53" s="91">
        <v>0</v>
      </c>
      <c r="P53" s="91">
        <v>0</v>
      </c>
      <c r="Q53" s="91">
        <v>0</v>
      </c>
      <c r="R53" s="91">
        <v>0</v>
      </c>
      <c r="S53" s="91">
        <v>0</v>
      </c>
      <c r="T53" s="91">
        <v>0</v>
      </c>
      <c r="U53" s="91">
        <v>0</v>
      </c>
      <c r="V53" s="91">
        <v>0</v>
      </c>
      <c r="W53" s="91">
        <v>0</v>
      </c>
      <c r="X53" s="91">
        <v>195.17</v>
      </c>
      <c r="Y53" s="119">
        <v>195.17</v>
      </c>
      <c r="Z53" s="92">
        <f t="shared" si="0"/>
        <v>-195.17</v>
      </c>
    </row>
    <row r="54" spans="1:26" x14ac:dyDescent="0.2">
      <c r="A54" s="89" t="s">
        <v>126</v>
      </c>
      <c r="B54" s="89" t="s">
        <v>127</v>
      </c>
      <c r="C54" s="89" t="s">
        <v>609</v>
      </c>
      <c r="D54" s="89" t="s">
        <v>1357</v>
      </c>
      <c r="E54" s="67">
        <v>438</v>
      </c>
      <c r="F54" s="89" t="s">
        <v>86</v>
      </c>
      <c r="G54" s="90">
        <v>44516</v>
      </c>
      <c r="H54" s="90">
        <v>44937</v>
      </c>
      <c r="I54" s="91">
        <v>3671300</v>
      </c>
      <c r="J54" s="91">
        <v>0</v>
      </c>
      <c r="K54" s="91">
        <v>0</v>
      </c>
      <c r="L54" s="91">
        <v>0</v>
      </c>
      <c r="M54" s="91">
        <v>0</v>
      </c>
      <c r="N54" s="91">
        <v>0</v>
      </c>
      <c r="O54" s="91">
        <v>0</v>
      </c>
      <c r="P54" s="91">
        <v>0</v>
      </c>
      <c r="Q54" s="91">
        <v>0</v>
      </c>
      <c r="R54" s="91">
        <v>0</v>
      </c>
      <c r="S54" s="91">
        <v>0</v>
      </c>
      <c r="T54" s="91">
        <v>0</v>
      </c>
      <c r="U54" s="91">
        <v>0</v>
      </c>
      <c r="V54" s="91">
        <v>0</v>
      </c>
      <c r="W54" s="91">
        <v>0</v>
      </c>
      <c r="X54" s="91">
        <v>0</v>
      </c>
      <c r="Y54" s="119">
        <v>0</v>
      </c>
      <c r="Z54" s="92">
        <f t="shared" si="0"/>
        <v>0</v>
      </c>
    </row>
    <row r="55" spans="1:26" x14ac:dyDescent="0.2">
      <c r="A55" s="89" t="s">
        <v>723</v>
      </c>
      <c r="B55" s="89" t="s">
        <v>724</v>
      </c>
      <c r="C55" s="89" t="s">
        <v>609</v>
      </c>
      <c r="D55" s="89" t="s">
        <v>1357</v>
      </c>
      <c r="E55" s="67">
        <v>437</v>
      </c>
      <c r="F55" s="89" t="s">
        <v>246</v>
      </c>
      <c r="G55" s="90">
        <v>44628</v>
      </c>
      <c r="H55" s="90"/>
      <c r="I55" s="91">
        <v>1218353.6000000001</v>
      </c>
      <c r="J55" s="91">
        <v>0</v>
      </c>
      <c r="K55" s="91">
        <v>0</v>
      </c>
      <c r="L55" s="91">
        <v>0</v>
      </c>
      <c r="M55" s="91">
        <v>0</v>
      </c>
      <c r="N55" s="91">
        <v>0</v>
      </c>
      <c r="O55" s="91">
        <v>0</v>
      </c>
      <c r="P55" s="91">
        <v>0</v>
      </c>
      <c r="Q55" s="91">
        <v>0</v>
      </c>
      <c r="R55" s="91">
        <v>0</v>
      </c>
      <c r="S55" s="91">
        <v>0</v>
      </c>
      <c r="T55" s="91">
        <v>0</v>
      </c>
      <c r="U55" s="91">
        <v>0</v>
      </c>
      <c r="V55" s="91">
        <v>0</v>
      </c>
      <c r="W55" s="91">
        <v>0</v>
      </c>
      <c r="X55" s="91">
        <v>0</v>
      </c>
      <c r="Y55" s="119">
        <v>0</v>
      </c>
      <c r="Z55" s="92">
        <f t="shared" si="0"/>
        <v>0</v>
      </c>
    </row>
    <row r="56" spans="1:26" x14ac:dyDescent="0.2">
      <c r="A56" s="89" t="s">
        <v>225</v>
      </c>
      <c r="B56" s="89" t="s">
        <v>226</v>
      </c>
      <c r="C56" s="89" t="s">
        <v>609</v>
      </c>
      <c r="D56" s="89" t="s">
        <v>1357</v>
      </c>
      <c r="E56" s="67" t="s">
        <v>166</v>
      </c>
      <c r="F56" s="89" t="s">
        <v>167</v>
      </c>
      <c r="G56" s="90">
        <v>44226</v>
      </c>
      <c r="H56" s="90">
        <v>44223</v>
      </c>
      <c r="I56" s="91">
        <v>1484000</v>
      </c>
      <c r="J56" s="91">
        <v>0</v>
      </c>
      <c r="K56" s="91">
        <v>0</v>
      </c>
      <c r="L56" s="91">
        <v>0</v>
      </c>
      <c r="M56" s="91">
        <v>0</v>
      </c>
      <c r="N56" s="91">
        <v>0</v>
      </c>
      <c r="O56" s="91">
        <v>0</v>
      </c>
      <c r="P56" s="91">
        <v>0</v>
      </c>
      <c r="Q56" s="91">
        <v>0</v>
      </c>
      <c r="R56" s="91">
        <v>0</v>
      </c>
      <c r="S56" s="91">
        <v>0</v>
      </c>
      <c r="T56" s="91">
        <v>0</v>
      </c>
      <c r="U56" s="91">
        <v>0</v>
      </c>
      <c r="V56" s="91">
        <v>0</v>
      </c>
      <c r="W56" s="91">
        <v>0</v>
      </c>
      <c r="X56" s="91">
        <v>53464.270000000004</v>
      </c>
      <c r="Y56" s="119">
        <v>53464.270000000004</v>
      </c>
      <c r="Z56" s="92">
        <f t="shared" si="0"/>
        <v>-53464.270000000004</v>
      </c>
    </row>
    <row r="57" spans="1:26" x14ac:dyDescent="0.2">
      <c r="A57" s="89" t="s">
        <v>931</v>
      </c>
      <c r="B57" s="89" t="s">
        <v>932</v>
      </c>
      <c r="C57" s="89" t="s">
        <v>609</v>
      </c>
      <c r="D57" s="89" t="s">
        <v>1357</v>
      </c>
      <c r="E57" s="67" t="s">
        <v>933</v>
      </c>
      <c r="F57" s="89" t="s">
        <v>934</v>
      </c>
      <c r="G57" s="90">
        <v>45057</v>
      </c>
      <c r="H57" s="90"/>
      <c r="I57" s="91">
        <v>24860</v>
      </c>
      <c r="J57" s="91">
        <v>0</v>
      </c>
      <c r="K57" s="91">
        <v>0</v>
      </c>
      <c r="L57" s="91">
        <v>0</v>
      </c>
      <c r="M57" s="91">
        <v>0</v>
      </c>
      <c r="N57" s="91">
        <v>0</v>
      </c>
      <c r="O57" s="91">
        <v>0</v>
      </c>
      <c r="P57" s="91">
        <v>0</v>
      </c>
      <c r="Q57" s="91">
        <v>0</v>
      </c>
      <c r="R57" s="91">
        <v>0</v>
      </c>
      <c r="S57" s="91">
        <v>0</v>
      </c>
      <c r="T57" s="91">
        <v>0</v>
      </c>
      <c r="U57" s="91">
        <v>0</v>
      </c>
      <c r="V57" s="91">
        <v>0</v>
      </c>
      <c r="W57" s="91">
        <v>0</v>
      </c>
      <c r="X57" s="91">
        <v>0</v>
      </c>
      <c r="Y57" s="119">
        <v>0</v>
      </c>
      <c r="Z57" s="92">
        <f t="shared" si="0"/>
        <v>0</v>
      </c>
    </row>
    <row r="58" spans="1:26" x14ac:dyDescent="0.2">
      <c r="A58" s="89" t="s">
        <v>971</v>
      </c>
      <c r="B58" s="89" t="s">
        <v>972</v>
      </c>
      <c r="C58" s="89" t="s">
        <v>609</v>
      </c>
      <c r="D58" s="89" t="s">
        <v>1357</v>
      </c>
      <c r="E58" s="67" t="s">
        <v>933</v>
      </c>
      <c r="F58" s="89" t="s">
        <v>934</v>
      </c>
      <c r="G58" s="90">
        <v>45105</v>
      </c>
      <c r="H58" s="90"/>
      <c r="I58" s="91">
        <v>79200</v>
      </c>
      <c r="J58" s="91">
        <v>0</v>
      </c>
      <c r="K58" s="91">
        <v>0</v>
      </c>
      <c r="L58" s="91">
        <v>0</v>
      </c>
      <c r="M58" s="91">
        <v>0</v>
      </c>
      <c r="N58" s="91">
        <v>0</v>
      </c>
      <c r="O58" s="91">
        <v>0</v>
      </c>
      <c r="P58" s="91">
        <v>21518.720000000001</v>
      </c>
      <c r="Q58" s="91">
        <v>0</v>
      </c>
      <c r="R58" s="91">
        <v>0</v>
      </c>
      <c r="S58" s="91">
        <v>0</v>
      </c>
      <c r="T58" s="91">
        <v>1880.56</v>
      </c>
      <c r="U58" s="91">
        <v>23399.279999999999</v>
      </c>
      <c r="V58" s="91">
        <v>-23399.279999999999</v>
      </c>
      <c r="W58" s="91">
        <v>0</v>
      </c>
      <c r="X58" s="91">
        <v>0</v>
      </c>
      <c r="Y58" s="119">
        <v>0</v>
      </c>
      <c r="Z58" s="92">
        <f t="shared" si="0"/>
        <v>-23399.279999999999</v>
      </c>
    </row>
    <row r="59" spans="1:26" x14ac:dyDescent="0.2">
      <c r="A59" s="89" t="s">
        <v>212</v>
      </c>
      <c r="B59" s="89" t="s">
        <v>213</v>
      </c>
      <c r="C59" s="89" t="s">
        <v>609</v>
      </c>
      <c r="D59" s="89" t="s">
        <v>1357</v>
      </c>
      <c r="E59" s="67" t="s">
        <v>208</v>
      </c>
      <c r="F59" s="89" t="s">
        <v>209</v>
      </c>
      <c r="G59" s="90">
        <v>44245</v>
      </c>
      <c r="H59" s="90">
        <v>44271</v>
      </c>
      <c r="I59" s="91">
        <v>13075015</v>
      </c>
      <c r="J59" s="91">
        <v>0</v>
      </c>
      <c r="K59" s="91">
        <v>0</v>
      </c>
      <c r="L59" s="91">
        <v>0</v>
      </c>
      <c r="M59" s="91">
        <v>0</v>
      </c>
      <c r="N59" s="91">
        <v>0</v>
      </c>
      <c r="O59" s="91">
        <v>0</v>
      </c>
      <c r="P59" s="91">
        <v>0</v>
      </c>
      <c r="Q59" s="91">
        <v>0</v>
      </c>
      <c r="R59" s="91">
        <v>0</v>
      </c>
      <c r="S59" s="91">
        <v>0</v>
      </c>
      <c r="T59" s="91">
        <v>0</v>
      </c>
      <c r="U59" s="91">
        <v>0</v>
      </c>
      <c r="V59" s="91">
        <v>0</v>
      </c>
      <c r="W59" s="91">
        <v>0</v>
      </c>
      <c r="X59" s="91">
        <v>0</v>
      </c>
      <c r="Y59" s="119">
        <v>0</v>
      </c>
      <c r="Z59" s="92">
        <f t="shared" si="0"/>
        <v>0</v>
      </c>
    </row>
    <row r="60" spans="1:26" x14ac:dyDescent="0.2">
      <c r="A60" s="89" t="s">
        <v>885</v>
      </c>
      <c r="B60" s="89" t="s">
        <v>886</v>
      </c>
      <c r="C60" s="89" t="s">
        <v>609</v>
      </c>
      <c r="D60" s="89" t="s">
        <v>1357</v>
      </c>
      <c r="E60" s="67">
        <v>330</v>
      </c>
      <c r="F60" s="89" t="s">
        <v>49</v>
      </c>
      <c r="G60" s="90">
        <v>44973</v>
      </c>
      <c r="H60" s="90"/>
      <c r="I60" s="91">
        <v>44000</v>
      </c>
      <c r="J60" s="91">
        <v>0</v>
      </c>
      <c r="K60" s="91">
        <v>0</v>
      </c>
      <c r="L60" s="91">
        <v>0</v>
      </c>
      <c r="M60" s="91">
        <v>0</v>
      </c>
      <c r="N60" s="91">
        <v>0</v>
      </c>
      <c r="O60" s="91">
        <v>0</v>
      </c>
      <c r="P60" s="91">
        <v>0</v>
      </c>
      <c r="Q60" s="91">
        <v>0</v>
      </c>
      <c r="R60" s="91">
        <v>0</v>
      </c>
      <c r="S60" s="91">
        <v>0</v>
      </c>
      <c r="T60" s="91">
        <v>0</v>
      </c>
      <c r="U60" s="91">
        <v>0</v>
      </c>
      <c r="V60" s="91">
        <v>0</v>
      </c>
      <c r="W60" s="91">
        <v>0</v>
      </c>
      <c r="X60" s="91">
        <v>0</v>
      </c>
      <c r="Y60" s="119">
        <v>0</v>
      </c>
      <c r="Z60" s="92">
        <f t="shared" si="0"/>
        <v>0</v>
      </c>
    </row>
    <row r="61" spans="1:26" x14ac:dyDescent="0.2">
      <c r="A61" s="89" t="s">
        <v>476</v>
      </c>
      <c r="B61" s="89" t="s">
        <v>477</v>
      </c>
      <c r="C61" s="89" t="s">
        <v>609</v>
      </c>
      <c r="D61" s="89" t="s">
        <v>1357</v>
      </c>
      <c r="E61" s="67" t="s">
        <v>166</v>
      </c>
      <c r="F61" s="89" t="s">
        <v>167</v>
      </c>
      <c r="G61" s="90">
        <v>44226</v>
      </c>
      <c r="H61" s="90">
        <v>43888</v>
      </c>
      <c r="I61" s="91">
        <v>444114</v>
      </c>
      <c r="J61" s="91">
        <v>0</v>
      </c>
      <c r="K61" s="91">
        <v>0</v>
      </c>
      <c r="L61" s="91">
        <v>0</v>
      </c>
      <c r="M61" s="91">
        <v>0</v>
      </c>
      <c r="N61" s="91">
        <v>0</v>
      </c>
      <c r="O61" s="91">
        <v>0</v>
      </c>
      <c r="P61" s="91">
        <v>0</v>
      </c>
      <c r="Q61" s="91">
        <v>0</v>
      </c>
      <c r="R61" s="91">
        <v>0</v>
      </c>
      <c r="S61" s="91">
        <v>0</v>
      </c>
      <c r="T61" s="91">
        <v>0</v>
      </c>
      <c r="U61" s="91">
        <v>0</v>
      </c>
      <c r="V61" s="91">
        <v>0</v>
      </c>
      <c r="W61" s="91">
        <v>0</v>
      </c>
      <c r="X61" s="91">
        <v>0</v>
      </c>
      <c r="Y61" s="119">
        <v>0</v>
      </c>
      <c r="Z61" s="92">
        <f t="shared" si="0"/>
        <v>0</v>
      </c>
    </row>
    <row r="62" spans="1:26" x14ac:dyDescent="0.2">
      <c r="A62" s="89" t="s">
        <v>512</v>
      </c>
      <c r="B62" s="89" t="s">
        <v>513</v>
      </c>
      <c r="C62" s="89" t="s">
        <v>609</v>
      </c>
      <c r="D62" s="89" t="s">
        <v>1357</v>
      </c>
      <c r="E62" s="67">
        <v>330</v>
      </c>
      <c r="F62" s="89" t="s">
        <v>49</v>
      </c>
      <c r="G62" s="90">
        <v>44226</v>
      </c>
      <c r="H62" s="90">
        <v>42306</v>
      </c>
      <c r="I62" s="91">
        <v>0</v>
      </c>
      <c r="J62" s="91">
        <v>0</v>
      </c>
      <c r="K62" s="91">
        <v>0</v>
      </c>
      <c r="L62" s="91">
        <v>0</v>
      </c>
      <c r="M62" s="91">
        <v>0</v>
      </c>
      <c r="N62" s="91">
        <v>0</v>
      </c>
      <c r="O62" s="91">
        <v>0</v>
      </c>
      <c r="P62" s="91">
        <v>0</v>
      </c>
      <c r="Q62" s="91">
        <v>0</v>
      </c>
      <c r="R62" s="91">
        <v>0</v>
      </c>
      <c r="S62" s="91">
        <v>0</v>
      </c>
      <c r="T62" s="91">
        <v>0</v>
      </c>
      <c r="U62" s="91">
        <v>0</v>
      </c>
      <c r="V62" s="91">
        <v>0</v>
      </c>
      <c r="W62" s="91">
        <v>0</v>
      </c>
      <c r="X62" s="91">
        <v>0</v>
      </c>
      <c r="Y62" s="119">
        <v>0</v>
      </c>
      <c r="Z62" s="92">
        <f t="shared" si="0"/>
        <v>0</v>
      </c>
    </row>
    <row r="63" spans="1:26" x14ac:dyDescent="0.2">
      <c r="A63" s="89" t="s">
        <v>1013</v>
      </c>
      <c r="B63" s="89" t="s">
        <v>1014</v>
      </c>
      <c r="C63" s="89" t="s">
        <v>609</v>
      </c>
      <c r="D63" s="89" t="s">
        <v>1357</v>
      </c>
      <c r="E63" s="67">
        <v>297</v>
      </c>
      <c r="F63" s="89" t="s">
        <v>1015</v>
      </c>
      <c r="G63" s="90">
        <v>0</v>
      </c>
      <c r="H63" s="90">
        <v>0</v>
      </c>
      <c r="I63" s="91">
        <v>0</v>
      </c>
      <c r="J63" s="91">
        <v>0</v>
      </c>
      <c r="K63" s="91">
        <v>0</v>
      </c>
      <c r="L63" s="91">
        <v>0</v>
      </c>
      <c r="M63" s="91">
        <v>0</v>
      </c>
      <c r="N63" s="91">
        <v>0</v>
      </c>
      <c r="O63" s="91">
        <v>0</v>
      </c>
      <c r="P63" s="91">
        <v>0</v>
      </c>
      <c r="Q63" s="91">
        <v>0</v>
      </c>
      <c r="R63" s="91">
        <v>0</v>
      </c>
      <c r="S63" s="91">
        <v>0</v>
      </c>
      <c r="T63" s="91">
        <v>0</v>
      </c>
      <c r="U63" s="91">
        <v>0</v>
      </c>
      <c r="V63" s="91">
        <v>0</v>
      </c>
      <c r="W63" s="91">
        <v>0</v>
      </c>
      <c r="X63" s="91">
        <v>0</v>
      </c>
      <c r="Y63" s="119">
        <v>0</v>
      </c>
      <c r="Z63" s="92">
        <f t="shared" si="0"/>
        <v>0</v>
      </c>
    </row>
    <row r="64" spans="1:26" x14ac:dyDescent="0.2">
      <c r="A64" s="89" t="s">
        <v>491</v>
      </c>
      <c r="B64" s="89" t="s">
        <v>492</v>
      </c>
      <c r="C64" s="89" t="s">
        <v>609</v>
      </c>
      <c r="D64" s="89" t="s">
        <v>1357</v>
      </c>
      <c r="E64" s="67">
        <v>330</v>
      </c>
      <c r="F64" s="89" t="s">
        <v>49</v>
      </c>
      <c r="G64" s="90">
        <v>44226</v>
      </c>
      <c r="H64" s="90">
        <v>42198</v>
      </c>
      <c r="I64" s="91">
        <v>913000</v>
      </c>
      <c r="J64" s="91">
        <v>0</v>
      </c>
      <c r="K64" s="91">
        <v>0</v>
      </c>
      <c r="L64" s="91">
        <v>0</v>
      </c>
      <c r="M64" s="91">
        <v>0</v>
      </c>
      <c r="N64" s="91">
        <v>0</v>
      </c>
      <c r="O64" s="91">
        <v>0</v>
      </c>
      <c r="P64" s="91">
        <v>0</v>
      </c>
      <c r="Q64" s="91">
        <v>0</v>
      </c>
      <c r="R64" s="91">
        <v>0</v>
      </c>
      <c r="S64" s="91">
        <v>0</v>
      </c>
      <c r="T64" s="91">
        <v>0</v>
      </c>
      <c r="U64" s="91">
        <v>0</v>
      </c>
      <c r="V64" s="91">
        <v>0</v>
      </c>
      <c r="W64" s="91">
        <v>0</v>
      </c>
      <c r="X64" s="91">
        <v>0</v>
      </c>
      <c r="Y64" s="119">
        <v>0</v>
      </c>
      <c r="Z64" s="92">
        <f t="shared" si="0"/>
        <v>0</v>
      </c>
    </row>
    <row r="65" spans="1:26" x14ac:dyDescent="0.2">
      <c r="A65" s="89" t="s">
        <v>1079</v>
      </c>
      <c r="B65" s="89" t="s">
        <v>1080</v>
      </c>
      <c r="C65" s="89" t="s">
        <v>609</v>
      </c>
      <c r="D65" s="89" t="s">
        <v>1357</v>
      </c>
      <c r="E65" s="67">
        <v>330</v>
      </c>
      <c r="F65" s="89" t="s">
        <v>49</v>
      </c>
      <c r="G65" s="90">
        <v>45133</v>
      </c>
      <c r="H65" s="90"/>
      <c r="I65" s="91">
        <v>1815592.9</v>
      </c>
      <c r="J65" s="91">
        <v>0</v>
      </c>
      <c r="K65" s="91">
        <v>0</v>
      </c>
      <c r="L65" s="91">
        <v>0</v>
      </c>
      <c r="M65" s="91">
        <v>0</v>
      </c>
      <c r="N65" s="91">
        <v>0</v>
      </c>
      <c r="O65" s="91">
        <v>0</v>
      </c>
      <c r="P65" s="91">
        <v>0</v>
      </c>
      <c r="Q65" s="91">
        <v>0</v>
      </c>
      <c r="R65" s="91">
        <v>0</v>
      </c>
      <c r="S65" s="91">
        <v>0</v>
      </c>
      <c r="T65" s="91">
        <v>13142.27</v>
      </c>
      <c r="U65" s="91">
        <v>13142.27</v>
      </c>
      <c r="V65" s="91">
        <v>-13142.27</v>
      </c>
      <c r="W65" s="91">
        <v>0</v>
      </c>
      <c r="X65" s="91">
        <v>7294.81</v>
      </c>
      <c r="Y65" s="119">
        <v>7294.81</v>
      </c>
      <c r="Z65" s="92">
        <f t="shared" si="0"/>
        <v>-20437.080000000002</v>
      </c>
    </row>
    <row r="66" spans="1:26" x14ac:dyDescent="0.2">
      <c r="A66" s="89" t="s">
        <v>959</v>
      </c>
      <c r="B66" s="89" t="s">
        <v>960</v>
      </c>
      <c r="C66" s="89" t="s">
        <v>609</v>
      </c>
      <c r="D66" s="89" t="s">
        <v>1357</v>
      </c>
      <c r="E66" s="67" t="s">
        <v>961</v>
      </c>
      <c r="F66" s="89" t="s">
        <v>962</v>
      </c>
      <c r="G66" s="90">
        <v>45068</v>
      </c>
      <c r="H66" s="90"/>
      <c r="I66" s="91">
        <v>884000</v>
      </c>
      <c r="J66" s="91">
        <v>0</v>
      </c>
      <c r="K66" s="91">
        <v>0</v>
      </c>
      <c r="L66" s="91">
        <v>0</v>
      </c>
      <c r="M66" s="91">
        <v>0</v>
      </c>
      <c r="N66" s="91">
        <v>0</v>
      </c>
      <c r="O66" s="91">
        <v>0</v>
      </c>
      <c r="P66" s="91">
        <v>0</v>
      </c>
      <c r="Q66" s="91">
        <v>0</v>
      </c>
      <c r="R66" s="91">
        <v>0</v>
      </c>
      <c r="S66" s="91">
        <v>11108.68</v>
      </c>
      <c r="T66" s="91">
        <v>53015.839999999997</v>
      </c>
      <c r="U66" s="91">
        <v>64124.520000000004</v>
      </c>
      <c r="V66" s="91">
        <v>-64124.520000000004</v>
      </c>
      <c r="W66" s="91">
        <v>0</v>
      </c>
      <c r="X66" s="91">
        <v>0</v>
      </c>
      <c r="Y66" s="119">
        <v>0</v>
      </c>
      <c r="Z66" s="92">
        <f t="shared" si="0"/>
        <v>-64124.520000000004</v>
      </c>
    </row>
    <row r="67" spans="1:26" x14ac:dyDescent="0.2">
      <c r="A67" s="89" t="s">
        <v>1044</v>
      </c>
      <c r="B67" s="89" t="s">
        <v>1045</v>
      </c>
      <c r="C67" s="89" t="s">
        <v>609</v>
      </c>
      <c r="D67" s="89" t="s">
        <v>1357</v>
      </c>
      <c r="E67" s="67" t="s">
        <v>56</v>
      </c>
      <c r="F67" s="89" t="s">
        <v>57</v>
      </c>
      <c r="G67" s="90">
        <v>45226</v>
      </c>
      <c r="H67" s="90"/>
      <c r="I67" s="91">
        <v>267800</v>
      </c>
      <c r="J67" s="91">
        <v>0</v>
      </c>
      <c r="K67" s="91">
        <v>0</v>
      </c>
      <c r="L67" s="91">
        <v>1934.7199999999998</v>
      </c>
      <c r="M67" s="91">
        <v>0</v>
      </c>
      <c r="N67" s="91">
        <v>0</v>
      </c>
      <c r="O67" s="91">
        <v>1934.7199999999998</v>
      </c>
      <c r="P67" s="91">
        <v>0</v>
      </c>
      <c r="Q67" s="91">
        <v>0</v>
      </c>
      <c r="R67" s="91">
        <v>0</v>
      </c>
      <c r="S67" s="91">
        <v>0</v>
      </c>
      <c r="T67" s="91">
        <v>12883.140000000001</v>
      </c>
      <c r="U67" s="91">
        <v>12883.140000000001</v>
      </c>
      <c r="V67" s="91">
        <v>-10948.420000000002</v>
      </c>
      <c r="W67" s="91">
        <v>0</v>
      </c>
      <c r="X67" s="91">
        <v>0</v>
      </c>
      <c r="Y67" s="119">
        <v>0</v>
      </c>
      <c r="Z67" s="92">
        <f t="shared" si="0"/>
        <v>-10948.420000000002</v>
      </c>
    </row>
    <row r="68" spans="1:26" x14ac:dyDescent="0.2">
      <c r="A68" s="89" t="s">
        <v>1097</v>
      </c>
      <c r="B68" s="89" t="s">
        <v>1098</v>
      </c>
      <c r="C68" s="89" t="s">
        <v>609</v>
      </c>
      <c r="D68" s="89" t="s">
        <v>1357</v>
      </c>
      <c r="E68" s="67" t="s">
        <v>166</v>
      </c>
      <c r="F68" s="89" t="s">
        <v>167</v>
      </c>
      <c r="G68" s="90">
        <v>45212</v>
      </c>
      <c r="H68" s="90"/>
      <c r="I68" s="91">
        <v>1554800</v>
      </c>
      <c r="J68" s="91">
        <v>0</v>
      </c>
      <c r="K68" s="91">
        <v>0</v>
      </c>
      <c r="L68" s="91">
        <v>0</v>
      </c>
      <c r="M68" s="91">
        <v>0</v>
      </c>
      <c r="N68" s="91">
        <v>0</v>
      </c>
      <c r="O68" s="91">
        <v>0</v>
      </c>
      <c r="P68" s="91">
        <v>0</v>
      </c>
      <c r="Q68" s="91">
        <v>0</v>
      </c>
      <c r="R68" s="91">
        <v>0</v>
      </c>
      <c r="S68" s="91">
        <v>21717.11</v>
      </c>
      <c r="T68" s="91">
        <v>713795.92</v>
      </c>
      <c r="U68" s="91">
        <v>735513.03</v>
      </c>
      <c r="V68" s="91">
        <v>-735513.03</v>
      </c>
      <c r="W68" s="91">
        <v>0</v>
      </c>
      <c r="X68" s="91">
        <v>0</v>
      </c>
      <c r="Y68" s="119">
        <v>0</v>
      </c>
      <c r="Z68" s="92">
        <f t="shared" si="0"/>
        <v>-735513.03</v>
      </c>
    </row>
    <row r="69" spans="1:26" x14ac:dyDescent="0.2">
      <c r="A69" s="89" t="s">
        <v>1099</v>
      </c>
      <c r="B69" s="89" t="s">
        <v>1100</v>
      </c>
      <c r="C69" s="89" t="s">
        <v>609</v>
      </c>
      <c r="D69" s="89" t="s">
        <v>1357</v>
      </c>
      <c r="E69" s="67" t="s">
        <v>166</v>
      </c>
      <c r="F69" s="89" t="s">
        <v>167</v>
      </c>
      <c r="G69" s="90">
        <v>45212</v>
      </c>
      <c r="H69" s="90"/>
      <c r="I69" s="91">
        <v>188500</v>
      </c>
      <c r="J69" s="91">
        <v>0</v>
      </c>
      <c r="K69" s="91">
        <v>0</v>
      </c>
      <c r="L69" s="91">
        <v>0</v>
      </c>
      <c r="M69" s="91">
        <v>0</v>
      </c>
      <c r="N69" s="91">
        <v>0</v>
      </c>
      <c r="O69" s="91">
        <v>0</v>
      </c>
      <c r="P69" s="91">
        <v>0</v>
      </c>
      <c r="Q69" s="91">
        <v>0</v>
      </c>
      <c r="R69" s="91">
        <v>0</v>
      </c>
      <c r="S69" s="91">
        <v>1059.25</v>
      </c>
      <c r="T69" s="91">
        <v>38245.300000000003</v>
      </c>
      <c r="U69" s="91">
        <v>39304.550000000003</v>
      </c>
      <c r="V69" s="91">
        <v>-39304.550000000003</v>
      </c>
      <c r="W69" s="91">
        <v>0</v>
      </c>
      <c r="X69" s="91">
        <v>5388.42</v>
      </c>
      <c r="Y69" s="119">
        <v>5388.42</v>
      </c>
      <c r="Z69" s="92">
        <f t="shared" ref="Z69:Z90" si="1">V69-Y69</f>
        <v>-44692.97</v>
      </c>
    </row>
    <row r="70" spans="1:26" x14ac:dyDescent="0.2">
      <c r="A70" s="89" t="s">
        <v>1093</v>
      </c>
      <c r="B70" s="89" t="s">
        <v>1094</v>
      </c>
      <c r="C70" s="89" t="s">
        <v>609</v>
      </c>
      <c r="D70" s="89" t="s">
        <v>1357</v>
      </c>
      <c r="E70" s="67" t="s">
        <v>5</v>
      </c>
      <c r="F70" s="89" t="s">
        <v>6</v>
      </c>
      <c r="G70" s="90">
        <v>45173</v>
      </c>
      <c r="H70" s="90"/>
      <c r="I70" s="91">
        <v>756800</v>
      </c>
      <c r="J70" s="91">
        <v>0</v>
      </c>
      <c r="K70" s="91">
        <v>0</v>
      </c>
      <c r="L70" s="91">
        <v>16440.37</v>
      </c>
      <c r="M70" s="91">
        <v>15560</v>
      </c>
      <c r="N70" s="91">
        <v>0</v>
      </c>
      <c r="O70" s="91">
        <v>32000.37</v>
      </c>
      <c r="P70" s="91">
        <v>471.29</v>
      </c>
      <c r="Q70" s="91">
        <v>0</v>
      </c>
      <c r="R70" s="91">
        <v>0</v>
      </c>
      <c r="S70" s="91">
        <v>12149.730000000001</v>
      </c>
      <c r="T70" s="91">
        <v>174051.15</v>
      </c>
      <c r="U70" s="91">
        <v>186672.17</v>
      </c>
      <c r="V70" s="91">
        <v>-154671.79999999999</v>
      </c>
      <c r="W70" s="91">
        <v>0</v>
      </c>
      <c r="X70" s="91">
        <v>0</v>
      </c>
      <c r="Y70" s="119">
        <v>0</v>
      </c>
      <c r="Z70" s="92">
        <f t="shared" si="1"/>
        <v>-154671.79999999999</v>
      </c>
    </row>
    <row r="71" spans="1:26" x14ac:dyDescent="0.2">
      <c r="A71" s="89" t="s">
        <v>1054</v>
      </c>
      <c r="B71" s="89" t="s">
        <v>1055</v>
      </c>
      <c r="C71" s="89" t="s">
        <v>609</v>
      </c>
      <c r="D71" s="89" t="s">
        <v>1357</v>
      </c>
      <c r="E71" s="67" t="s">
        <v>1056</v>
      </c>
      <c r="F71" s="89" t="s">
        <v>1057</v>
      </c>
      <c r="G71" s="90">
        <v>45266</v>
      </c>
      <c r="H71" s="90"/>
      <c r="I71" s="91">
        <v>0</v>
      </c>
      <c r="J71" s="91">
        <v>0</v>
      </c>
      <c r="K71" s="91">
        <v>0</v>
      </c>
      <c r="L71" s="91">
        <v>0</v>
      </c>
      <c r="M71" s="91">
        <v>0</v>
      </c>
      <c r="N71" s="91">
        <v>0</v>
      </c>
      <c r="O71" s="91">
        <v>0</v>
      </c>
      <c r="P71" s="91">
        <v>837.86</v>
      </c>
      <c r="Q71" s="91">
        <v>0</v>
      </c>
      <c r="R71" s="91">
        <v>0</v>
      </c>
      <c r="S71" s="91">
        <v>6659.12</v>
      </c>
      <c r="T71" s="91">
        <v>3154.16</v>
      </c>
      <c r="U71" s="91">
        <v>10651.140000000001</v>
      </c>
      <c r="V71" s="91">
        <v>-10651.140000000001</v>
      </c>
      <c r="W71" s="91">
        <v>0</v>
      </c>
      <c r="X71" s="91">
        <v>2219.59</v>
      </c>
      <c r="Y71" s="119">
        <v>2219.59</v>
      </c>
      <c r="Z71" s="92">
        <f t="shared" si="1"/>
        <v>-12870.730000000001</v>
      </c>
    </row>
    <row r="72" spans="1:26" x14ac:dyDescent="0.2">
      <c r="A72" s="89" t="s">
        <v>1069</v>
      </c>
      <c r="B72" s="89" t="s">
        <v>1070</v>
      </c>
      <c r="C72" s="89" t="s">
        <v>609</v>
      </c>
      <c r="D72" s="89" t="s">
        <v>1357</v>
      </c>
      <c r="E72" s="67" t="s">
        <v>166</v>
      </c>
      <c r="F72" s="89" t="s">
        <v>167</v>
      </c>
      <c r="G72" s="90">
        <v>45175</v>
      </c>
      <c r="H72" s="90"/>
      <c r="I72" s="91">
        <v>1030000</v>
      </c>
      <c r="J72" s="91">
        <v>0</v>
      </c>
      <c r="K72" s="91">
        <v>0</v>
      </c>
      <c r="L72" s="91">
        <v>0</v>
      </c>
      <c r="M72" s="91">
        <v>0</v>
      </c>
      <c r="N72" s="91">
        <v>0</v>
      </c>
      <c r="O72" s="91">
        <v>0</v>
      </c>
      <c r="P72" s="91">
        <v>0</v>
      </c>
      <c r="Q72" s="91">
        <v>0</v>
      </c>
      <c r="R72" s="91">
        <v>0</v>
      </c>
      <c r="S72" s="91">
        <v>8933.2999999999993</v>
      </c>
      <c r="T72" s="91">
        <v>134135.09</v>
      </c>
      <c r="U72" s="91">
        <v>143068.38999999996</v>
      </c>
      <c r="V72" s="91">
        <v>-143068.38999999996</v>
      </c>
      <c r="W72" s="91">
        <v>725.55</v>
      </c>
      <c r="X72" s="91">
        <v>14463.93</v>
      </c>
      <c r="Y72" s="119">
        <v>15189.480000000001</v>
      </c>
      <c r="Z72" s="92">
        <f t="shared" si="1"/>
        <v>-158257.86999999997</v>
      </c>
    </row>
    <row r="73" spans="1:26" x14ac:dyDescent="0.2">
      <c r="A73" s="89" t="s">
        <v>1133</v>
      </c>
      <c r="B73" s="89" t="s">
        <v>1134</v>
      </c>
      <c r="C73" s="89" t="s">
        <v>609</v>
      </c>
      <c r="D73" s="89" t="s">
        <v>1357</v>
      </c>
      <c r="E73" s="67" t="s">
        <v>1056</v>
      </c>
      <c r="F73" s="89" t="s">
        <v>1057</v>
      </c>
      <c r="G73" s="90">
        <v>45267</v>
      </c>
      <c r="H73" s="90"/>
      <c r="I73" s="91">
        <v>0</v>
      </c>
      <c r="J73" s="91">
        <v>0</v>
      </c>
      <c r="K73" s="91">
        <v>0</v>
      </c>
      <c r="L73" s="91">
        <v>0</v>
      </c>
      <c r="M73" s="91">
        <v>0</v>
      </c>
      <c r="N73" s="91">
        <v>0</v>
      </c>
      <c r="O73" s="91">
        <v>0</v>
      </c>
      <c r="P73" s="91">
        <v>0</v>
      </c>
      <c r="Q73" s="91">
        <v>0</v>
      </c>
      <c r="R73" s="91">
        <v>0</v>
      </c>
      <c r="S73" s="91">
        <v>1502.57</v>
      </c>
      <c r="T73" s="91">
        <v>8980.14</v>
      </c>
      <c r="U73" s="91">
        <v>10482.709999999999</v>
      </c>
      <c r="V73" s="91">
        <v>-10482.709999999999</v>
      </c>
      <c r="W73" s="91">
        <v>0</v>
      </c>
      <c r="X73" s="91">
        <v>0</v>
      </c>
      <c r="Y73" s="119">
        <v>0</v>
      </c>
      <c r="Z73" s="92">
        <f t="shared" si="1"/>
        <v>-10482.709999999999</v>
      </c>
    </row>
    <row r="74" spans="1:26" x14ac:dyDescent="0.2">
      <c r="A74" s="89" t="s">
        <v>1135</v>
      </c>
      <c r="B74" s="89" t="s">
        <v>1136</v>
      </c>
      <c r="C74" s="89" t="s">
        <v>609</v>
      </c>
      <c r="D74" s="89" t="s">
        <v>1357</v>
      </c>
      <c r="E74" s="67" t="s">
        <v>80</v>
      </c>
      <c r="F74" s="89" t="s">
        <v>81</v>
      </c>
      <c r="G74" s="90">
        <v>45279</v>
      </c>
      <c r="H74" s="90"/>
      <c r="I74" s="91">
        <v>209000</v>
      </c>
      <c r="J74" s="91">
        <v>0</v>
      </c>
      <c r="K74" s="91">
        <v>0</v>
      </c>
      <c r="L74" s="91">
        <v>0</v>
      </c>
      <c r="M74" s="91">
        <v>0</v>
      </c>
      <c r="N74" s="91">
        <v>0</v>
      </c>
      <c r="O74" s="91">
        <v>0</v>
      </c>
      <c r="P74" s="91">
        <v>22816.02</v>
      </c>
      <c r="Q74" s="91">
        <v>0</v>
      </c>
      <c r="R74" s="91">
        <v>0</v>
      </c>
      <c r="S74" s="91">
        <v>0</v>
      </c>
      <c r="T74" s="91">
        <v>29648.74</v>
      </c>
      <c r="U74" s="91">
        <v>52464.76</v>
      </c>
      <c r="V74" s="91">
        <v>-52464.76</v>
      </c>
      <c r="W74" s="91">
        <v>0</v>
      </c>
      <c r="X74" s="91">
        <v>1565.89</v>
      </c>
      <c r="Y74" s="119">
        <v>1565.89</v>
      </c>
      <c r="Z74" s="92">
        <f t="shared" si="1"/>
        <v>-54030.65</v>
      </c>
    </row>
    <row r="75" spans="1:26" x14ac:dyDescent="0.2">
      <c r="A75" s="89" t="s">
        <v>1137</v>
      </c>
      <c r="B75" s="89" t="s">
        <v>1138</v>
      </c>
      <c r="C75" s="89" t="s">
        <v>609</v>
      </c>
      <c r="D75" s="89" t="s">
        <v>1357</v>
      </c>
      <c r="E75" s="67" t="s">
        <v>1056</v>
      </c>
      <c r="F75" s="89" t="s">
        <v>1057</v>
      </c>
      <c r="G75" s="90">
        <v>45275</v>
      </c>
      <c r="H75" s="90"/>
      <c r="I75" s="91">
        <v>1404480</v>
      </c>
      <c r="J75" s="91">
        <v>0</v>
      </c>
      <c r="K75" s="91">
        <v>0</v>
      </c>
      <c r="L75" s="91">
        <v>69384.42</v>
      </c>
      <c r="M75" s="91">
        <v>0</v>
      </c>
      <c r="N75" s="91">
        <v>0</v>
      </c>
      <c r="O75" s="91">
        <v>69384.42</v>
      </c>
      <c r="P75" s="91">
        <v>9822.24</v>
      </c>
      <c r="Q75" s="91">
        <v>0</v>
      </c>
      <c r="R75" s="91">
        <v>0</v>
      </c>
      <c r="S75" s="91">
        <v>803.81</v>
      </c>
      <c r="T75" s="91">
        <v>178305.35</v>
      </c>
      <c r="U75" s="91">
        <v>188931.40000000002</v>
      </c>
      <c r="V75" s="91">
        <v>-119546.98000000003</v>
      </c>
      <c r="W75" s="91">
        <v>0</v>
      </c>
      <c r="X75" s="91">
        <v>8207.92</v>
      </c>
      <c r="Y75" s="119">
        <v>8207.92</v>
      </c>
      <c r="Z75" s="92">
        <f t="shared" si="1"/>
        <v>-127754.90000000002</v>
      </c>
    </row>
    <row r="76" spans="1:26" x14ac:dyDescent="0.2">
      <c r="A76" s="89" t="s">
        <v>1119</v>
      </c>
      <c r="B76" s="89" t="s">
        <v>1217</v>
      </c>
      <c r="C76" s="89" t="s">
        <v>609</v>
      </c>
      <c r="D76" s="89" t="s">
        <v>1357</v>
      </c>
      <c r="E76" s="67" t="s">
        <v>1032</v>
      </c>
      <c r="F76" s="89" t="s">
        <v>1033</v>
      </c>
      <c r="G76" s="90">
        <v>45282</v>
      </c>
      <c r="H76" s="90"/>
      <c r="I76" s="91">
        <v>1140000</v>
      </c>
      <c r="J76" s="91">
        <v>0</v>
      </c>
      <c r="K76" s="91">
        <v>0</v>
      </c>
      <c r="L76" s="91">
        <v>0</v>
      </c>
      <c r="M76" s="91">
        <v>0</v>
      </c>
      <c r="N76" s="91">
        <v>0</v>
      </c>
      <c r="O76" s="91">
        <v>0</v>
      </c>
      <c r="P76" s="91">
        <v>0</v>
      </c>
      <c r="Q76" s="91">
        <v>0</v>
      </c>
      <c r="R76" s="91">
        <v>0</v>
      </c>
      <c r="S76" s="91">
        <v>8501.3900000000012</v>
      </c>
      <c r="T76" s="91">
        <v>198763.99</v>
      </c>
      <c r="U76" s="91">
        <v>207265.38</v>
      </c>
      <c r="V76" s="91">
        <v>-207265.38</v>
      </c>
      <c r="W76" s="91">
        <v>0</v>
      </c>
      <c r="X76" s="91">
        <v>0</v>
      </c>
      <c r="Y76" s="119">
        <v>0</v>
      </c>
      <c r="Z76" s="92">
        <f t="shared" si="1"/>
        <v>-207265.38</v>
      </c>
    </row>
    <row r="77" spans="1:26" x14ac:dyDescent="0.2">
      <c r="A77" s="89" t="s">
        <v>1263</v>
      </c>
      <c r="B77" s="89" t="s">
        <v>1136</v>
      </c>
      <c r="C77" s="89" t="s">
        <v>609</v>
      </c>
      <c r="D77" s="89" t="s">
        <v>1357</v>
      </c>
      <c r="E77" s="67" t="s">
        <v>1264</v>
      </c>
      <c r="F77" s="89" t="s">
        <v>1265</v>
      </c>
      <c r="G77" s="90">
        <v>45365</v>
      </c>
      <c r="H77" s="90"/>
      <c r="I77" s="91">
        <v>0</v>
      </c>
      <c r="J77" s="91">
        <v>0</v>
      </c>
      <c r="K77" s="91">
        <v>0</v>
      </c>
      <c r="L77" s="91">
        <v>2561.2600000000002</v>
      </c>
      <c r="M77" s="91">
        <v>0</v>
      </c>
      <c r="N77" s="91">
        <v>0</v>
      </c>
      <c r="O77" s="91">
        <v>2561.2600000000002</v>
      </c>
      <c r="P77" s="91">
        <v>0</v>
      </c>
      <c r="Q77" s="91">
        <v>0</v>
      </c>
      <c r="R77" s="91">
        <v>0</v>
      </c>
      <c r="S77" s="91">
        <v>0</v>
      </c>
      <c r="T77" s="91">
        <v>0</v>
      </c>
      <c r="U77" s="91">
        <v>0</v>
      </c>
      <c r="V77" s="91">
        <v>2561.2600000000002</v>
      </c>
      <c r="W77" s="91">
        <v>0</v>
      </c>
      <c r="X77" s="91">
        <v>0</v>
      </c>
      <c r="Y77" s="119">
        <v>0</v>
      </c>
      <c r="Z77" s="92">
        <f t="shared" si="1"/>
        <v>2561.2600000000002</v>
      </c>
    </row>
    <row r="78" spans="1:26" x14ac:dyDescent="0.2">
      <c r="A78" s="89" t="s">
        <v>279</v>
      </c>
      <c r="B78" s="89" t="s">
        <v>280</v>
      </c>
      <c r="C78" s="89" t="s">
        <v>609</v>
      </c>
      <c r="D78" s="89" t="s">
        <v>1357</v>
      </c>
      <c r="E78" s="67" t="s">
        <v>281</v>
      </c>
      <c r="F78" s="89" t="s">
        <v>282</v>
      </c>
      <c r="G78" s="90">
        <v>44226</v>
      </c>
      <c r="H78" s="90">
        <v>44151</v>
      </c>
      <c r="I78" s="91">
        <v>429000</v>
      </c>
      <c r="J78" s="91">
        <v>0</v>
      </c>
      <c r="K78" s="91">
        <v>0</v>
      </c>
      <c r="L78" s="91">
        <v>0</v>
      </c>
      <c r="M78" s="91">
        <v>0</v>
      </c>
      <c r="N78" s="91">
        <v>0</v>
      </c>
      <c r="O78" s="91">
        <v>0</v>
      </c>
      <c r="P78" s="91">
        <v>0</v>
      </c>
      <c r="Q78" s="91">
        <v>0</v>
      </c>
      <c r="R78" s="91">
        <v>64290.349999999991</v>
      </c>
      <c r="S78" s="91">
        <v>0</v>
      </c>
      <c r="T78" s="91">
        <v>0</v>
      </c>
      <c r="U78" s="91">
        <v>64290.349999999991</v>
      </c>
      <c r="V78" s="91">
        <v>-64290.349999999991</v>
      </c>
      <c r="W78" s="91">
        <v>0</v>
      </c>
      <c r="X78" s="91">
        <v>0</v>
      </c>
      <c r="Y78" s="119">
        <v>0</v>
      </c>
      <c r="Z78" s="92">
        <f t="shared" si="1"/>
        <v>-64290.349999999991</v>
      </c>
    </row>
    <row r="79" spans="1:26" x14ac:dyDescent="0.2">
      <c r="A79" s="89" t="s">
        <v>1261</v>
      </c>
      <c r="B79" s="89" t="s">
        <v>1262</v>
      </c>
      <c r="C79" s="89" t="s">
        <v>609</v>
      </c>
      <c r="D79" s="89" t="s">
        <v>1357</v>
      </c>
      <c r="E79" s="67" t="s">
        <v>933</v>
      </c>
      <c r="F79" s="89" t="s">
        <v>934</v>
      </c>
      <c r="G79" s="90">
        <v>45321</v>
      </c>
      <c r="H79" s="90"/>
      <c r="I79" s="91">
        <v>68200</v>
      </c>
      <c r="J79" s="91">
        <v>0</v>
      </c>
      <c r="K79" s="91">
        <v>0</v>
      </c>
      <c r="L79" s="91">
        <v>53916.97</v>
      </c>
      <c r="M79" s="91">
        <v>0</v>
      </c>
      <c r="N79" s="91">
        <v>0</v>
      </c>
      <c r="O79" s="91">
        <v>53916.97</v>
      </c>
      <c r="P79" s="91">
        <v>0</v>
      </c>
      <c r="Q79" s="91">
        <v>0</v>
      </c>
      <c r="R79" s="91">
        <v>0</v>
      </c>
      <c r="S79" s="91">
        <v>2016.14</v>
      </c>
      <c r="T79" s="91">
        <v>64773.070000000007</v>
      </c>
      <c r="U79" s="91">
        <v>66789.210000000006</v>
      </c>
      <c r="V79" s="91">
        <v>-12872.240000000002</v>
      </c>
      <c r="W79" s="91">
        <v>0</v>
      </c>
      <c r="X79" s="91">
        <v>0</v>
      </c>
      <c r="Y79" s="119">
        <v>0</v>
      </c>
      <c r="Z79" s="92">
        <f t="shared" si="1"/>
        <v>-12872.240000000002</v>
      </c>
    </row>
    <row r="80" spans="1:26" x14ac:dyDescent="0.2">
      <c r="A80" s="89" t="s">
        <v>1209</v>
      </c>
      <c r="B80" s="89" t="s">
        <v>1210</v>
      </c>
      <c r="C80" s="89" t="s">
        <v>609</v>
      </c>
      <c r="D80" s="89" t="s">
        <v>1357</v>
      </c>
      <c r="E80" s="67" t="s">
        <v>1211</v>
      </c>
      <c r="F80" s="89" t="s">
        <v>1212</v>
      </c>
      <c r="G80" s="90">
        <v>45282</v>
      </c>
      <c r="H80" s="90"/>
      <c r="I80" s="91">
        <v>106700</v>
      </c>
      <c r="J80" s="91">
        <v>0</v>
      </c>
      <c r="K80" s="91">
        <v>0</v>
      </c>
      <c r="L80" s="91">
        <v>0</v>
      </c>
      <c r="M80" s="91">
        <v>0</v>
      </c>
      <c r="N80" s="91">
        <v>0</v>
      </c>
      <c r="O80" s="91">
        <v>0</v>
      </c>
      <c r="P80" s="91">
        <v>0</v>
      </c>
      <c r="Q80" s="91">
        <v>0</v>
      </c>
      <c r="R80" s="91">
        <v>0</v>
      </c>
      <c r="S80" s="91">
        <v>0</v>
      </c>
      <c r="T80" s="91">
        <v>7865.18</v>
      </c>
      <c r="U80" s="91">
        <v>7865.18</v>
      </c>
      <c r="V80" s="91">
        <v>-7865.18</v>
      </c>
      <c r="W80" s="91">
        <v>0</v>
      </c>
      <c r="X80" s="91">
        <v>0</v>
      </c>
      <c r="Y80" s="119">
        <v>0</v>
      </c>
      <c r="Z80" s="92">
        <f t="shared" si="1"/>
        <v>-7865.18</v>
      </c>
    </row>
    <row r="81" spans="1:26" x14ac:dyDescent="0.2">
      <c r="A81" s="89" t="s">
        <v>419</v>
      </c>
      <c r="B81" s="89" t="s">
        <v>420</v>
      </c>
      <c r="C81" s="89" t="s">
        <v>609</v>
      </c>
      <c r="D81" s="89" t="s">
        <v>1357</v>
      </c>
      <c r="E81" s="67">
        <v>330</v>
      </c>
      <c r="F81" s="89" t="s">
        <v>49</v>
      </c>
      <c r="G81" s="90">
        <v>44226</v>
      </c>
      <c r="H81" s="90">
        <v>44371</v>
      </c>
      <c r="I81" s="91">
        <v>0</v>
      </c>
      <c r="J81" s="91">
        <v>0</v>
      </c>
      <c r="K81" s="91">
        <v>0</v>
      </c>
      <c r="L81" s="91">
        <v>0</v>
      </c>
      <c r="M81" s="91">
        <v>0</v>
      </c>
      <c r="N81" s="91">
        <v>0</v>
      </c>
      <c r="O81" s="91">
        <v>0</v>
      </c>
      <c r="P81" s="91">
        <v>0</v>
      </c>
      <c r="Q81" s="91">
        <v>0</v>
      </c>
      <c r="R81" s="91">
        <v>0</v>
      </c>
      <c r="S81" s="91">
        <v>0</v>
      </c>
      <c r="T81" s="91">
        <v>12463.34</v>
      </c>
      <c r="U81" s="91">
        <v>12463.34</v>
      </c>
      <c r="V81" s="91">
        <v>-12463.34</v>
      </c>
      <c r="W81" s="91">
        <v>0</v>
      </c>
      <c r="X81" s="91">
        <v>0</v>
      </c>
      <c r="Y81" s="119">
        <v>0</v>
      </c>
      <c r="Z81" s="92">
        <f t="shared" si="1"/>
        <v>-12463.34</v>
      </c>
    </row>
    <row r="82" spans="1:26" x14ac:dyDescent="0.2">
      <c r="A82" s="89" t="s">
        <v>1327</v>
      </c>
      <c r="B82" s="89" t="s">
        <v>1328</v>
      </c>
      <c r="C82" s="89" t="s">
        <v>609</v>
      </c>
      <c r="D82" s="89" t="s">
        <v>1357</v>
      </c>
      <c r="E82" s="67" t="s">
        <v>281</v>
      </c>
      <c r="F82" s="89" t="s">
        <v>282</v>
      </c>
      <c r="G82" s="90">
        <v>45273</v>
      </c>
      <c r="H82" s="90"/>
      <c r="I82" s="91">
        <v>2428000</v>
      </c>
      <c r="J82" s="91">
        <v>0</v>
      </c>
      <c r="K82" s="91">
        <v>0</v>
      </c>
      <c r="L82" s="91">
        <v>0</v>
      </c>
      <c r="M82" s="91">
        <v>0</v>
      </c>
      <c r="N82" s="91">
        <v>0</v>
      </c>
      <c r="O82" s="91">
        <v>0</v>
      </c>
      <c r="P82" s="91">
        <v>0</v>
      </c>
      <c r="Q82" s="91">
        <v>0</v>
      </c>
      <c r="R82" s="91">
        <v>0</v>
      </c>
      <c r="S82" s="91">
        <v>2234.75</v>
      </c>
      <c r="T82" s="91">
        <v>20440.41</v>
      </c>
      <c r="U82" s="91">
        <v>22675.159999999996</v>
      </c>
      <c r="V82" s="91">
        <v>-22675.159999999996</v>
      </c>
      <c r="W82" s="91">
        <v>0</v>
      </c>
      <c r="X82" s="91">
        <v>0</v>
      </c>
      <c r="Y82" s="119">
        <v>0</v>
      </c>
      <c r="Z82" s="92">
        <f t="shared" si="1"/>
        <v>-22675.159999999996</v>
      </c>
    </row>
    <row r="83" spans="1:26" x14ac:dyDescent="0.2">
      <c r="A83" s="89" t="s">
        <v>299</v>
      </c>
      <c r="B83" s="89" t="s">
        <v>300</v>
      </c>
      <c r="C83" s="89" t="s">
        <v>609</v>
      </c>
      <c r="D83" s="89" t="s">
        <v>1357</v>
      </c>
      <c r="E83" s="67" t="s">
        <v>5</v>
      </c>
      <c r="F83" s="89" t="s">
        <v>6</v>
      </c>
      <c r="G83" s="90">
        <v>44277</v>
      </c>
      <c r="H83" s="90">
        <v>44306</v>
      </c>
      <c r="I83" s="91">
        <v>276860</v>
      </c>
      <c r="J83" s="91">
        <v>0</v>
      </c>
      <c r="K83" s="91">
        <v>0</v>
      </c>
      <c r="L83" s="91">
        <v>0</v>
      </c>
      <c r="M83" s="91">
        <v>0</v>
      </c>
      <c r="N83" s="91">
        <v>0</v>
      </c>
      <c r="O83" s="91">
        <v>0</v>
      </c>
      <c r="P83" s="91">
        <v>0</v>
      </c>
      <c r="Q83" s="91">
        <v>0</v>
      </c>
      <c r="R83" s="91">
        <v>0</v>
      </c>
      <c r="S83" s="91">
        <v>0</v>
      </c>
      <c r="T83" s="91">
        <v>0</v>
      </c>
      <c r="U83" s="91">
        <v>0</v>
      </c>
      <c r="V83" s="91">
        <v>0</v>
      </c>
      <c r="W83" s="91">
        <v>0</v>
      </c>
      <c r="X83" s="91">
        <v>6213.03</v>
      </c>
      <c r="Y83" s="119">
        <v>6213.03</v>
      </c>
      <c r="Z83" s="92">
        <f t="shared" si="1"/>
        <v>-6213.03</v>
      </c>
    </row>
    <row r="84" spans="1:26" x14ac:dyDescent="0.2">
      <c r="A84" s="89" t="s">
        <v>210</v>
      </c>
      <c r="B84" s="89" t="s">
        <v>211</v>
      </c>
      <c r="C84" s="89" t="s">
        <v>609</v>
      </c>
      <c r="D84" s="89" t="s">
        <v>1357</v>
      </c>
      <c r="E84" s="67" t="s">
        <v>208</v>
      </c>
      <c r="F84" s="89" t="s">
        <v>209</v>
      </c>
      <c r="G84" s="90">
        <v>44226</v>
      </c>
      <c r="H84" s="90">
        <v>42345</v>
      </c>
      <c r="I84" s="91">
        <v>0</v>
      </c>
      <c r="J84" s="91">
        <v>0</v>
      </c>
      <c r="K84" s="91">
        <v>0</v>
      </c>
      <c r="L84" s="91">
        <v>0</v>
      </c>
      <c r="M84" s="91">
        <v>0</v>
      </c>
      <c r="N84" s="91">
        <v>0</v>
      </c>
      <c r="O84" s="91">
        <v>0</v>
      </c>
      <c r="P84" s="91">
        <v>0</v>
      </c>
      <c r="Q84" s="91">
        <v>0</v>
      </c>
      <c r="R84" s="91">
        <v>0</v>
      </c>
      <c r="S84" s="91">
        <v>0</v>
      </c>
      <c r="T84" s="91">
        <v>0</v>
      </c>
      <c r="U84" s="91">
        <v>0</v>
      </c>
      <c r="V84" s="91">
        <v>0</v>
      </c>
      <c r="W84" s="91">
        <v>0</v>
      </c>
      <c r="X84" s="91">
        <v>2363.3200000000002</v>
      </c>
      <c r="Y84" s="119">
        <v>2363.3200000000002</v>
      </c>
      <c r="Z84" s="92">
        <f t="shared" si="1"/>
        <v>-2363.3200000000002</v>
      </c>
    </row>
    <row r="85" spans="1:26" x14ac:dyDescent="0.2">
      <c r="A85" s="89" t="s">
        <v>1347</v>
      </c>
      <c r="B85" s="89" t="s">
        <v>1348</v>
      </c>
      <c r="C85" s="89" t="s">
        <v>609</v>
      </c>
      <c r="D85" s="89" t="s">
        <v>610</v>
      </c>
      <c r="E85" s="67" t="s">
        <v>1349</v>
      </c>
      <c r="F85" s="89" t="s">
        <v>1350</v>
      </c>
      <c r="G85" s="90">
        <v>45351</v>
      </c>
      <c r="H85" s="90"/>
      <c r="I85" s="91">
        <v>294800</v>
      </c>
      <c r="J85" s="91">
        <v>0</v>
      </c>
      <c r="K85" s="91">
        <v>0</v>
      </c>
      <c r="L85" s="91">
        <v>0</v>
      </c>
      <c r="M85" s="91">
        <v>0</v>
      </c>
      <c r="N85" s="91">
        <v>0</v>
      </c>
      <c r="O85" s="91">
        <v>0</v>
      </c>
      <c r="P85" s="91">
        <v>1678.36</v>
      </c>
      <c r="Q85" s="91">
        <v>0</v>
      </c>
      <c r="R85" s="91">
        <v>0</v>
      </c>
      <c r="S85" s="91">
        <v>0</v>
      </c>
      <c r="T85" s="91">
        <v>3696.8599999999997</v>
      </c>
      <c r="U85" s="91">
        <v>5375.2199999999993</v>
      </c>
      <c r="V85" s="91">
        <v>-5375.2199999999993</v>
      </c>
      <c r="W85" s="91">
        <v>0</v>
      </c>
      <c r="X85" s="91">
        <v>15496.36</v>
      </c>
      <c r="Y85" s="119">
        <v>15496.36</v>
      </c>
      <c r="Z85" s="92">
        <f t="shared" si="1"/>
        <v>-20871.580000000002</v>
      </c>
    </row>
    <row r="86" spans="1:26" x14ac:dyDescent="0.2">
      <c r="A86" s="89" t="s">
        <v>94</v>
      </c>
      <c r="B86" s="89" t="s">
        <v>95</v>
      </c>
      <c r="C86" s="89" t="s">
        <v>609</v>
      </c>
      <c r="D86" s="89" t="s">
        <v>610</v>
      </c>
      <c r="E86" s="67" t="s">
        <v>96</v>
      </c>
      <c r="F86" s="89" t="s">
        <v>97</v>
      </c>
      <c r="G86" s="90">
        <v>44546</v>
      </c>
      <c r="H86" s="90"/>
      <c r="I86" s="91">
        <v>1147800</v>
      </c>
      <c r="J86" s="91">
        <v>0</v>
      </c>
      <c r="K86" s="91">
        <v>0</v>
      </c>
      <c r="L86" s="91">
        <v>0</v>
      </c>
      <c r="M86" s="91">
        <v>0</v>
      </c>
      <c r="N86" s="91">
        <v>0</v>
      </c>
      <c r="O86" s="91">
        <v>0</v>
      </c>
      <c r="P86" s="91">
        <v>0</v>
      </c>
      <c r="Q86" s="91">
        <v>0</v>
      </c>
      <c r="R86" s="91">
        <v>0</v>
      </c>
      <c r="S86" s="91">
        <v>0</v>
      </c>
      <c r="T86" s="91">
        <v>1113.5899999999999</v>
      </c>
      <c r="U86" s="91">
        <v>1113.5899999999999</v>
      </c>
      <c r="V86" s="91">
        <v>-1113.5899999999999</v>
      </c>
      <c r="W86" s="91">
        <v>0</v>
      </c>
      <c r="X86" s="91">
        <v>0</v>
      </c>
      <c r="Y86" s="119">
        <v>0</v>
      </c>
      <c r="Z86" s="92">
        <f t="shared" si="1"/>
        <v>-1113.5899999999999</v>
      </c>
    </row>
    <row r="87" spans="1:26" x14ac:dyDescent="0.2">
      <c r="A87" s="89" t="s">
        <v>386</v>
      </c>
      <c r="B87" s="89" t="s">
        <v>387</v>
      </c>
      <c r="C87" s="89" t="s">
        <v>609</v>
      </c>
      <c r="D87" s="89" t="s">
        <v>610</v>
      </c>
      <c r="E87" s="67">
        <v>438</v>
      </c>
      <c r="F87" s="89" t="s">
        <v>86</v>
      </c>
      <c r="G87" s="90">
        <v>44226</v>
      </c>
      <c r="H87" s="90">
        <v>43118</v>
      </c>
      <c r="I87" s="91">
        <v>0</v>
      </c>
      <c r="J87" s="91">
        <v>0</v>
      </c>
      <c r="K87" s="91">
        <v>0</v>
      </c>
      <c r="L87" s="91">
        <v>0</v>
      </c>
      <c r="M87" s="91">
        <v>0</v>
      </c>
      <c r="N87" s="91">
        <v>0</v>
      </c>
      <c r="O87" s="91">
        <v>0</v>
      </c>
      <c r="P87" s="91">
        <v>0</v>
      </c>
      <c r="Q87" s="91">
        <v>0</v>
      </c>
      <c r="R87" s="91">
        <v>0</v>
      </c>
      <c r="S87" s="91">
        <v>0</v>
      </c>
      <c r="T87" s="91">
        <v>0</v>
      </c>
      <c r="U87" s="91">
        <v>0</v>
      </c>
      <c r="V87" s="91">
        <v>0</v>
      </c>
      <c r="W87" s="91">
        <v>0</v>
      </c>
      <c r="X87" s="91">
        <v>25680.69</v>
      </c>
      <c r="Y87" s="119">
        <v>25680.69</v>
      </c>
      <c r="Z87" s="92">
        <f t="shared" si="1"/>
        <v>-25680.69</v>
      </c>
    </row>
    <row r="88" spans="1:26" x14ac:dyDescent="0.2">
      <c r="A88" s="89" t="s">
        <v>1419</v>
      </c>
      <c r="B88" s="89" t="s">
        <v>1420</v>
      </c>
      <c r="C88" s="89" t="s">
        <v>609</v>
      </c>
      <c r="D88" s="89" t="s">
        <v>612</v>
      </c>
      <c r="E88" s="67" t="s">
        <v>166</v>
      </c>
      <c r="F88" s="89" t="s">
        <v>167</v>
      </c>
      <c r="G88" s="90">
        <v>45442</v>
      </c>
      <c r="H88" s="90"/>
      <c r="I88" s="91">
        <v>1790000</v>
      </c>
      <c r="J88" s="91">
        <v>0</v>
      </c>
      <c r="K88" s="91">
        <v>0</v>
      </c>
      <c r="L88" s="91">
        <v>0</v>
      </c>
      <c r="M88" s="91">
        <v>0</v>
      </c>
      <c r="N88" s="91">
        <v>0</v>
      </c>
      <c r="O88" s="91">
        <v>0</v>
      </c>
      <c r="P88" s="91">
        <v>0</v>
      </c>
      <c r="Q88" s="91">
        <v>0</v>
      </c>
      <c r="R88" s="91">
        <v>0</v>
      </c>
      <c r="S88" s="91">
        <v>370</v>
      </c>
      <c r="T88" s="91">
        <v>0</v>
      </c>
      <c r="U88" s="91">
        <v>370</v>
      </c>
      <c r="V88" s="91">
        <v>-370</v>
      </c>
      <c r="W88" s="91">
        <v>0</v>
      </c>
      <c r="X88" s="91">
        <v>0</v>
      </c>
      <c r="Y88" s="119">
        <v>0</v>
      </c>
      <c r="Z88" s="92">
        <f t="shared" si="1"/>
        <v>-370</v>
      </c>
    </row>
    <row r="89" spans="1:26" x14ac:dyDescent="0.2">
      <c r="A89" s="89" t="s">
        <v>1433</v>
      </c>
      <c r="B89" s="89" t="s">
        <v>1434</v>
      </c>
      <c r="C89" s="89" t="s">
        <v>609</v>
      </c>
      <c r="D89" s="89" t="s">
        <v>612</v>
      </c>
      <c r="E89" s="67" t="s">
        <v>744</v>
      </c>
      <c r="F89" s="89" t="s">
        <v>745</v>
      </c>
      <c r="G89" s="90">
        <v>45432</v>
      </c>
      <c r="H89" s="90"/>
      <c r="I89" s="91">
        <v>2530000</v>
      </c>
      <c r="J89" s="91">
        <v>0</v>
      </c>
      <c r="K89" s="91">
        <v>0</v>
      </c>
      <c r="L89" s="91">
        <v>0</v>
      </c>
      <c r="M89" s="91">
        <v>0</v>
      </c>
      <c r="N89" s="91">
        <v>0</v>
      </c>
      <c r="O89" s="91">
        <v>0</v>
      </c>
      <c r="P89" s="91">
        <v>0</v>
      </c>
      <c r="Q89" s="91">
        <v>0</v>
      </c>
      <c r="R89" s="91">
        <v>0</v>
      </c>
      <c r="S89" s="91">
        <v>418.46</v>
      </c>
      <c r="T89" s="91">
        <v>0</v>
      </c>
      <c r="U89" s="91">
        <v>418.46</v>
      </c>
      <c r="V89" s="91">
        <v>-418.46</v>
      </c>
      <c r="W89" s="91">
        <v>0</v>
      </c>
      <c r="X89" s="91">
        <v>0</v>
      </c>
      <c r="Y89" s="119">
        <v>0</v>
      </c>
      <c r="Z89" s="92">
        <f t="shared" si="1"/>
        <v>-418.46</v>
      </c>
    </row>
    <row r="90" spans="1:26" x14ac:dyDescent="0.2">
      <c r="A90" s="89" t="s">
        <v>853</v>
      </c>
      <c r="B90" s="89"/>
      <c r="C90" s="89" t="s">
        <v>609</v>
      </c>
      <c r="D90" s="89" t="s">
        <v>1357</v>
      </c>
      <c r="E90" s="67"/>
      <c r="F90" s="89"/>
      <c r="G90" s="90"/>
      <c r="H90" s="90"/>
      <c r="I90" s="91">
        <v>0</v>
      </c>
      <c r="J90" s="91">
        <v>0</v>
      </c>
      <c r="K90" s="91">
        <v>0</v>
      </c>
      <c r="L90" s="91">
        <v>0</v>
      </c>
      <c r="M90" s="91">
        <v>0</v>
      </c>
      <c r="N90" s="91">
        <v>0</v>
      </c>
      <c r="O90" s="91">
        <v>0</v>
      </c>
      <c r="P90" s="91">
        <v>0</v>
      </c>
      <c r="Q90" s="91">
        <v>0</v>
      </c>
      <c r="R90" s="91">
        <v>0</v>
      </c>
      <c r="S90" s="91">
        <v>0</v>
      </c>
      <c r="T90" s="91">
        <v>0</v>
      </c>
      <c r="U90" s="91">
        <v>0</v>
      </c>
      <c r="V90" s="91">
        <v>0</v>
      </c>
      <c r="W90" s="91">
        <v>0</v>
      </c>
      <c r="X90" s="91">
        <v>0</v>
      </c>
      <c r="Y90" s="119">
        <v>0</v>
      </c>
      <c r="Z90" s="92">
        <f t="shared" si="1"/>
        <v>0</v>
      </c>
    </row>
    <row r="91" spans="1:26" s="100" customFormat="1" x14ac:dyDescent="0.2">
      <c r="A91" s="93" t="s">
        <v>613</v>
      </c>
      <c r="B91" s="93"/>
      <c r="C91" s="93"/>
      <c r="D91" s="93"/>
      <c r="E91" s="94"/>
      <c r="F91" s="93"/>
      <c r="G91" s="93"/>
      <c r="H91" s="93"/>
      <c r="I91" s="93">
        <f t="shared" ref="I91:Z91" si="2">SUM(I4:I90)</f>
        <v>343479910.5</v>
      </c>
      <c r="J91" s="95">
        <f t="shared" si="2"/>
        <v>11155460.58</v>
      </c>
      <c r="K91" s="95">
        <f t="shared" si="2"/>
        <v>0</v>
      </c>
      <c r="L91" s="95">
        <f t="shared" si="2"/>
        <v>1143171.8799999999</v>
      </c>
      <c r="M91" s="95">
        <f t="shared" si="2"/>
        <v>388713.2</v>
      </c>
      <c r="N91" s="95">
        <f t="shared" si="2"/>
        <v>0</v>
      </c>
      <c r="O91" s="96">
        <f t="shared" si="2"/>
        <v>12687345.660000002</v>
      </c>
      <c r="P91" s="95">
        <f t="shared" si="2"/>
        <v>14867243.84</v>
      </c>
      <c r="Q91" s="95">
        <f t="shared" si="2"/>
        <v>0</v>
      </c>
      <c r="R91" s="95">
        <f t="shared" si="2"/>
        <v>400188.73999999993</v>
      </c>
      <c r="S91" s="97">
        <f t="shared" si="2"/>
        <v>693376.60000000021</v>
      </c>
      <c r="T91" s="97">
        <f t="shared" si="2"/>
        <v>2244337.5399999996</v>
      </c>
      <c r="U91" s="98">
        <f t="shared" si="2"/>
        <v>18205146.720000006</v>
      </c>
      <c r="V91" s="99">
        <f t="shared" si="2"/>
        <v>-5517801.0599999977</v>
      </c>
      <c r="W91" s="95">
        <f t="shared" si="2"/>
        <v>832758.28</v>
      </c>
      <c r="X91" s="95">
        <f t="shared" si="2"/>
        <v>1204202.6099999999</v>
      </c>
      <c r="Y91" s="120">
        <f t="shared" si="2"/>
        <v>2036960.89</v>
      </c>
      <c r="Z91" s="122">
        <f t="shared" si="2"/>
        <v>-7554761.9500000002</v>
      </c>
    </row>
  </sheetData>
  <autoFilter ref="A3:Y93" xr:uid="{00000000-0009-0000-0000-00000A000000}"/>
  <phoneticPr fontId="3" type="noConversion"/>
  <conditionalFormatting sqref="A1">
    <cfRule type="duplicateValues" dxfId="30" priority="4"/>
  </conditionalFormatting>
  <conditionalFormatting sqref="A3">
    <cfRule type="duplicateValues" dxfId="29" priority="3"/>
  </conditionalFormatting>
  <conditionalFormatting sqref="A29:A90">
    <cfRule type="duplicateValues" dxfId="28" priority="56"/>
  </conditionalFormatting>
  <conditionalFormatting sqref="A91">
    <cfRule type="duplicateValues" dxfId="27" priority="2"/>
  </conditionalFormatting>
  <conditionalFormatting sqref="A174">
    <cfRule type="duplicateValues" dxfId="26" priority="6"/>
  </conditionalFormatting>
  <conditionalFormatting sqref="A175:A1048576 A2 A4:A28 A92:A173">
    <cfRule type="duplicateValues" dxfId="25" priority="7"/>
  </conditionalFormatting>
  <pageMargins left="0.7" right="0.7" top="0.75" bottom="0.75" header="0.3" footer="0.3"/>
  <pageSetup paperSize="9" orientation="portrait" r:id="rId1"/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00B0F0"/>
  </sheetPr>
  <dimension ref="A1:Z39"/>
  <sheetViews>
    <sheetView workbookViewId="0">
      <pane xSplit="6" ySplit="4" topLeftCell="G17" activePane="bottomRight" state="frozen"/>
      <selection activeCell="F56" sqref="E56:F57"/>
      <selection pane="topRight" activeCell="F56" sqref="E56:F57"/>
      <selection pane="bottomLeft" activeCell="F56" sqref="E56:F57"/>
      <selection pane="bottomRight" activeCell="A4" sqref="A4:Y38"/>
    </sheetView>
  </sheetViews>
  <sheetFormatPr defaultRowHeight="12.75" outlineLevelCol="1" x14ac:dyDescent="0.2"/>
  <cols>
    <col min="1" max="1" width="10.140625" style="72" customWidth="1"/>
    <col min="2" max="2" width="8" style="72" bestFit="1" customWidth="1"/>
    <col min="3" max="3" width="9" style="72" bestFit="1" customWidth="1"/>
    <col min="4" max="4" width="12.5703125" style="72" customWidth="1"/>
    <col min="5" max="5" width="6" style="80" bestFit="1" customWidth="1"/>
    <col min="6" max="6" width="8.140625" style="72" customWidth="1"/>
    <col min="7" max="7" width="13" style="72" bestFit="1" customWidth="1"/>
    <col min="8" max="8" width="11.7109375" style="72" customWidth="1"/>
    <col min="9" max="9" width="12.85546875" style="72" customWidth="1"/>
    <col min="10" max="14" width="11.7109375" style="72" hidden="1" customWidth="1" outlineLevel="1"/>
    <col min="15" max="15" width="11.7109375" style="72" customWidth="1" collapsed="1"/>
    <col min="16" max="20" width="11.7109375" style="72" hidden="1" customWidth="1" outlineLevel="1"/>
    <col min="21" max="21" width="11.7109375" style="72" customWidth="1" collapsed="1"/>
    <col min="22" max="22" width="11.7109375" style="72" customWidth="1"/>
    <col min="23" max="24" width="11.7109375" style="72" hidden="1" customWidth="1" outlineLevel="1"/>
    <col min="25" max="25" width="11.7109375" style="72" customWidth="1" collapsed="1"/>
    <col min="26" max="26" width="12" style="72" customWidth="1"/>
    <col min="27" max="16384" width="9.140625" style="72"/>
  </cols>
  <sheetData>
    <row r="1" spans="1:26" ht="23.25" customHeight="1" x14ac:dyDescent="0.2">
      <c r="A1" s="79" t="s">
        <v>1407</v>
      </c>
    </row>
    <row r="2" spans="1:26" ht="15" customHeight="1" x14ac:dyDescent="0.2">
      <c r="A2" s="81" t="s">
        <v>1139</v>
      </c>
    </row>
    <row r="3" spans="1:26" s="88" customFormat="1" x14ac:dyDescent="0.2">
      <c r="A3" s="82" t="s">
        <v>1303</v>
      </c>
      <c r="B3" s="82" t="s">
        <v>577</v>
      </c>
      <c r="C3" s="82" t="s">
        <v>599</v>
      </c>
      <c r="D3" s="82" t="s">
        <v>600</v>
      </c>
      <c r="E3" s="83" t="s">
        <v>578</v>
      </c>
      <c r="F3" s="82" t="s">
        <v>579</v>
      </c>
      <c r="G3" s="82" t="s">
        <v>580</v>
      </c>
      <c r="H3" s="82" t="s">
        <v>581</v>
      </c>
      <c r="I3" s="82" t="s">
        <v>582</v>
      </c>
      <c r="J3" s="84" t="s">
        <v>583</v>
      </c>
      <c r="K3" s="84" t="s">
        <v>584</v>
      </c>
      <c r="L3" s="84" t="s">
        <v>601</v>
      </c>
      <c r="M3" s="84" t="s">
        <v>586</v>
      </c>
      <c r="N3" s="84" t="s">
        <v>587</v>
      </c>
      <c r="O3" s="85" t="s">
        <v>588</v>
      </c>
      <c r="P3" s="84" t="s">
        <v>589</v>
      </c>
      <c r="Q3" s="84" t="s">
        <v>590</v>
      </c>
      <c r="R3" s="84" t="s">
        <v>591</v>
      </c>
      <c r="S3" s="84" t="s">
        <v>673</v>
      </c>
      <c r="T3" s="84" t="s">
        <v>593</v>
      </c>
      <c r="U3" s="85" t="s">
        <v>594</v>
      </c>
      <c r="V3" s="86" t="s">
        <v>595</v>
      </c>
      <c r="W3" s="84" t="s">
        <v>596</v>
      </c>
      <c r="X3" s="84" t="s">
        <v>597</v>
      </c>
      <c r="Y3" s="118" t="s">
        <v>598</v>
      </c>
      <c r="Z3" s="87" t="s">
        <v>1308</v>
      </c>
    </row>
    <row r="4" spans="1:26" x14ac:dyDescent="0.2">
      <c r="A4" s="89" t="s">
        <v>444</v>
      </c>
      <c r="B4" s="89" t="s">
        <v>445</v>
      </c>
      <c r="C4" s="89" t="s">
        <v>623</v>
      </c>
      <c r="D4" s="89" t="s">
        <v>624</v>
      </c>
      <c r="E4" s="67" t="s">
        <v>204</v>
      </c>
      <c r="F4" s="89" t="s">
        <v>205</v>
      </c>
      <c r="G4" s="90">
        <v>44226</v>
      </c>
      <c r="H4" s="90">
        <v>42718</v>
      </c>
      <c r="I4" s="91">
        <v>1705000</v>
      </c>
      <c r="J4" s="91">
        <v>143648.33000000002</v>
      </c>
      <c r="K4" s="91">
        <v>0</v>
      </c>
      <c r="L4" s="91">
        <v>106.64</v>
      </c>
      <c r="M4" s="91">
        <v>0</v>
      </c>
      <c r="N4" s="91">
        <v>0</v>
      </c>
      <c r="O4" s="91">
        <v>143754.97</v>
      </c>
      <c r="P4" s="91">
        <v>15308.37</v>
      </c>
      <c r="Q4" s="91">
        <v>0</v>
      </c>
      <c r="R4" s="91">
        <v>0</v>
      </c>
      <c r="S4" s="91">
        <v>0</v>
      </c>
      <c r="T4" s="91">
        <v>0</v>
      </c>
      <c r="U4" s="91">
        <v>15308.37</v>
      </c>
      <c r="V4" s="91">
        <v>128446.6</v>
      </c>
      <c r="W4" s="91">
        <v>229.12</v>
      </c>
      <c r="X4" s="91">
        <v>0</v>
      </c>
      <c r="Y4" s="119">
        <v>229.12</v>
      </c>
      <c r="Z4" s="92">
        <f>V4-Y4</f>
        <v>128217.48000000001</v>
      </c>
    </row>
    <row r="5" spans="1:26" x14ac:dyDescent="0.2">
      <c r="A5" s="89" t="s">
        <v>202</v>
      </c>
      <c r="B5" s="89" t="s">
        <v>203</v>
      </c>
      <c r="C5" s="89" t="s">
        <v>623</v>
      </c>
      <c r="D5" s="89" t="s">
        <v>624</v>
      </c>
      <c r="E5" s="67" t="s">
        <v>204</v>
      </c>
      <c r="F5" s="89" t="s">
        <v>205</v>
      </c>
      <c r="G5" s="90">
        <v>44326</v>
      </c>
      <c r="H5" s="90">
        <v>44337</v>
      </c>
      <c r="I5" s="91">
        <v>3506250</v>
      </c>
      <c r="J5" s="91">
        <v>23732.47</v>
      </c>
      <c r="K5" s="91">
        <v>0</v>
      </c>
      <c r="L5" s="91">
        <v>0</v>
      </c>
      <c r="M5" s="91">
        <v>0</v>
      </c>
      <c r="N5" s="91">
        <v>0</v>
      </c>
      <c r="O5" s="91">
        <v>23732.47</v>
      </c>
      <c r="P5" s="91">
        <v>7530.59</v>
      </c>
      <c r="Q5" s="91">
        <v>0</v>
      </c>
      <c r="R5" s="91">
        <v>0</v>
      </c>
      <c r="S5" s="91">
        <v>0</v>
      </c>
      <c r="T5" s="91">
        <v>2884.97</v>
      </c>
      <c r="U5" s="91">
        <v>10415.56</v>
      </c>
      <c r="V5" s="91">
        <v>13316.910000000002</v>
      </c>
      <c r="W5" s="91">
        <v>0</v>
      </c>
      <c r="X5" s="91">
        <v>2148.54</v>
      </c>
      <c r="Y5" s="119">
        <v>2148.54</v>
      </c>
      <c r="Z5" s="92">
        <f t="shared" ref="Z5:Z39" si="0">V5-Y5</f>
        <v>11168.370000000003</v>
      </c>
    </row>
    <row r="6" spans="1:26" x14ac:dyDescent="0.2">
      <c r="A6" s="89" t="s">
        <v>542</v>
      </c>
      <c r="B6" s="89" t="s">
        <v>543</v>
      </c>
      <c r="C6" s="89" t="s">
        <v>623</v>
      </c>
      <c r="D6" s="89" t="s">
        <v>624</v>
      </c>
      <c r="E6" s="67" t="s">
        <v>208</v>
      </c>
      <c r="F6" s="89" t="s">
        <v>209</v>
      </c>
      <c r="G6" s="90">
        <v>44226</v>
      </c>
      <c r="H6" s="90">
        <v>43281</v>
      </c>
      <c r="I6" s="91">
        <v>905600</v>
      </c>
      <c r="J6" s="91">
        <v>0</v>
      </c>
      <c r="K6" s="91">
        <v>0</v>
      </c>
      <c r="L6" s="91">
        <v>21216</v>
      </c>
      <c r="M6" s="91">
        <v>0</v>
      </c>
      <c r="N6" s="91">
        <v>0</v>
      </c>
      <c r="O6" s="91">
        <v>21216</v>
      </c>
      <c r="P6" s="91">
        <v>0</v>
      </c>
      <c r="Q6" s="91">
        <v>0</v>
      </c>
      <c r="R6" s="91">
        <v>0</v>
      </c>
      <c r="S6" s="91">
        <v>0</v>
      </c>
      <c r="T6" s="91">
        <v>0</v>
      </c>
      <c r="U6" s="91">
        <v>0</v>
      </c>
      <c r="V6" s="91">
        <v>21216</v>
      </c>
      <c r="W6" s="91">
        <v>0</v>
      </c>
      <c r="X6" s="91">
        <v>0</v>
      </c>
      <c r="Y6" s="119">
        <v>0</v>
      </c>
      <c r="Z6" s="92">
        <f t="shared" si="0"/>
        <v>21216</v>
      </c>
    </row>
    <row r="7" spans="1:26" x14ac:dyDescent="0.2">
      <c r="A7" s="89" t="s">
        <v>764</v>
      </c>
      <c r="B7" s="89" t="s">
        <v>765</v>
      </c>
      <c r="C7" s="89" t="s">
        <v>623</v>
      </c>
      <c r="D7" s="89" t="s">
        <v>624</v>
      </c>
      <c r="E7" s="67" t="s">
        <v>208</v>
      </c>
      <c r="F7" s="89" t="s">
        <v>209</v>
      </c>
      <c r="G7" s="90">
        <v>44226</v>
      </c>
      <c r="H7" s="90">
        <v>44320</v>
      </c>
      <c r="I7" s="91">
        <v>0</v>
      </c>
      <c r="J7" s="91">
        <v>0</v>
      </c>
      <c r="K7" s="91">
        <v>0</v>
      </c>
      <c r="L7" s="91">
        <v>0</v>
      </c>
      <c r="M7" s="91">
        <v>0</v>
      </c>
      <c r="N7" s="91">
        <v>0</v>
      </c>
      <c r="O7" s="91">
        <v>0</v>
      </c>
      <c r="P7" s="91">
        <v>0</v>
      </c>
      <c r="Q7" s="91">
        <v>0</v>
      </c>
      <c r="R7" s="91">
        <v>0</v>
      </c>
      <c r="S7" s="91">
        <v>0</v>
      </c>
      <c r="T7" s="91">
        <v>0</v>
      </c>
      <c r="U7" s="91">
        <v>0</v>
      </c>
      <c r="V7" s="91">
        <v>0</v>
      </c>
      <c r="W7" s="91">
        <v>0</v>
      </c>
      <c r="X7" s="91">
        <v>0</v>
      </c>
      <c r="Y7" s="119">
        <v>0</v>
      </c>
      <c r="Z7" s="92">
        <f t="shared" si="0"/>
        <v>0</v>
      </c>
    </row>
    <row r="8" spans="1:26" x14ac:dyDescent="0.2">
      <c r="A8" s="89" t="s">
        <v>550</v>
      </c>
      <c r="B8" s="89" t="s">
        <v>551</v>
      </c>
      <c r="C8" s="89" t="s">
        <v>623</v>
      </c>
      <c r="D8" s="89" t="s">
        <v>624</v>
      </c>
      <c r="E8" s="67" t="s">
        <v>208</v>
      </c>
      <c r="F8" s="89" t="s">
        <v>209</v>
      </c>
      <c r="G8" s="90">
        <v>44226</v>
      </c>
      <c r="H8" s="90">
        <v>44293</v>
      </c>
      <c r="I8" s="91">
        <v>0</v>
      </c>
      <c r="J8" s="91">
        <v>0</v>
      </c>
      <c r="K8" s="91">
        <v>0</v>
      </c>
      <c r="L8" s="91">
        <v>0</v>
      </c>
      <c r="M8" s="91">
        <v>0</v>
      </c>
      <c r="N8" s="91">
        <v>0</v>
      </c>
      <c r="O8" s="91">
        <v>0</v>
      </c>
      <c r="P8" s="91">
        <v>0</v>
      </c>
      <c r="Q8" s="91">
        <v>0</v>
      </c>
      <c r="R8" s="91">
        <v>0</v>
      </c>
      <c r="S8" s="91">
        <v>0</v>
      </c>
      <c r="T8" s="91">
        <v>0</v>
      </c>
      <c r="U8" s="91">
        <v>0</v>
      </c>
      <c r="V8" s="91">
        <v>0</v>
      </c>
      <c r="W8" s="91">
        <v>0</v>
      </c>
      <c r="X8" s="91">
        <v>0</v>
      </c>
      <c r="Y8" s="119">
        <v>0</v>
      </c>
      <c r="Z8" s="92">
        <f t="shared" si="0"/>
        <v>0</v>
      </c>
    </row>
    <row r="9" spans="1:26" x14ac:dyDescent="0.2">
      <c r="A9" s="89" t="s">
        <v>481</v>
      </c>
      <c r="B9" s="89" t="s">
        <v>482</v>
      </c>
      <c r="C9" s="89" t="s">
        <v>623</v>
      </c>
      <c r="D9" s="89" t="s">
        <v>624</v>
      </c>
      <c r="E9" s="67" t="s">
        <v>208</v>
      </c>
      <c r="F9" s="89" t="s">
        <v>209</v>
      </c>
      <c r="G9" s="90">
        <v>44226</v>
      </c>
      <c r="H9" s="90">
        <v>44102</v>
      </c>
      <c r="I9" s="91">
        <v>0</v>
      </c>
      <c r="J9" s="91">
        <v>0</v>
      </c>
      <c r="K9" s="91">
        <v>0</v>
      </c>
      <c r="L9" s="91">
        <v>0</v>
      </c>
      <c r="M9" s="91">
        <v>0</v>
      </c>
      <c r="N9" s="91">
        <v>0</v>
      </c>
      <c r="O9" s="91">
        <v>0</v>
      </c>
      <c r="P9" s="91">
        <v>0</v>
      </c>
      <c r="Q9" s="91">
        <v>0</v>
      </c>
      <c r="R9" s="91">
        <v>0</v>
      </c>
      <c r="S9" s="91">
        <v>0</v>
      </c>
      <c r="T9" s="91">
        <v>0</v>
      </c>
      <c r="U9" s="91">
        <v>0</v>
      </c>
      <c r="V9" s="91">
        <v>0</v>
      </c>
      <c r="W9" s="91">
        <v>0</v>
      </c>
      <c r="X9" s="91">
        <v>0</v>
      </c>
      <c r="Y9" s="119">
        <v>0</v>
      </c>
      <c r="Z9" s="92">
        <f t="shared" si="0"/>
        <v>0</v>
      </c>
    </row>
    <row r="10" spans="1:26" x14ac:dyDescent="0.2">
      <c r="A10" s="89" t="s">
        <v>466</v>
      </c>
      <c r="B10" s="89" t="s">
        <v>467</v>
      </c>
      <c r="C10" s="89" t="s">
        <v>623</v>
      </c>
      <c r="D10" s="89" t="s">
        <v>624</v>
      </c>
      <c r="E10" s="67" t="s">
        <v>208</v>
      </c>
      <c r="F10" s="89" t="s">
        <v>209</v>
      </c>
      <c r="G10" s="90">
        <v>44226</v>
      </c>
      <c r="H10" s="90">
        <v>44452</v>
      </c>
      <c r="I10" s="91">
        <v>9765075</v>
      </c>
      <c r="J10" s="91">
        <v>0</v>
      </c>
      <c r="K10" s="91">
        <v>0</v>
      </c>
      <c r="L10" s="91">
        <v>0</v>
      </c>
      <c r="M10" s="91">
        <v>0</v>
      </c>
      <c r="N10" s="91">
        <v>0</v>
      </c>
      <c r="O10" s="91">
        <v>0</v>
      </c>
      <c r="P10" s="91">
        <v>309.92</v>
      </c>
      <c r="Q10" s="91">
        <v>0</v>
      </c>
      <c r="R10" s="91">
        <v>0</v>
      </c>
      <c r="S10" s="91">
        <v>0</v>
      </c>
      <c r="T10" s="91">
        <v>851.3</v>
      </c>
      <c r="U10" s="91">
        <v>1161.22</v>
      </c>
      <c r="V10" s="91">
        <v>-1161.22</v>
      </c>
      <c r="W10" s="91">
        <v>4104.7700000000004</v>
      </c>
      <c r="X10" s="91">
        <v>15.22</v>
      </c>
      <c r="Y10" s="119">
        <v>4119.99</v>
      </c>
      <c r="Z10" s="92">
        <f t="shared" si="0"/>
        <v>-5281.21</v>
      </c>
    </row>
    <row r="11" spans="1:26" x14ac:dyDescent="0.2">
      <c r="A11" s="89" t="s">
        <v>468</v>
      </c>
      <c r="B11" s="89" t="s">
        <v>469</v>
      </c>
      <c r="C11" s="89" t="s">
        <v>623</v>
      </c>
      <c r="D11" s="89" t="s">
        <v>624</v>
      </c>
      <c r="E11" s="67" t="s">
        <v>208</v>
      </c>
      <c r="F11" s="89" t="s">
        <v>209</v>
      </c>
      <c r="G11" s="90">
        <v>44226</v>
      </c>
      <c r="H11" s="90">
        <v>44209</v>
      </c>
      <c r="I11" s="91">
        <v>0</v>
      </c>
      <c r="J11" s="91">
        <v>0</v>
      </c>
      <c r="K11" s="91">
        <v>0</v>
      </c>
      <c r="L11" s="91">
        <v>0</v>
      </c>
      <c r="M11" s="91">
        <v>0</v>
      </c>
      <c r="N11" s="91">
        <v>0</v>
      </c>
      <c r="O11" s="91">
        <v>0</v>
      </c>
      <c r="P11" s="91">
        <v>0</v>
      </c>
      <c r="Q11" s="91">
        <v>0</v>
      </c>
      <c r="R11" s="91">
        <v>0</v>
      </c>
      <c r="S11" s="91">
        <v>0</v>
      </c>
      <c r="T11" s="91">
        <v>0</v>
      </c>
      <c r="U11" s="91">
        <v>0</v>
      </c>
      <c r="V11" s="91">
        <v>0</v>
      </c>
      <c r="W11" s="91">
        <v>0</v>
      </c>
      <c r="X11" s="91">
        <v>0</v>
      </c>
      <c r="Y11" s="119">
        <v>0</v>
      </c>
      <c r="Z11" s="92">
        <f t="shared" si="0"/>
        <v>0</v>
      </c>
    </row>
    <row r="12" spans="1:26" x14ac:dyDescent="0.2">
      <c r="A12" s="89" t="s">
        <v>544</v>
      </c>
      <c r="B12" s="89" t="s">
        <v>545</v>
      </c>
      <c r="C12" s="89" t="s">
        <v>623</v>
      </c>
      <c r="D12" s="89" t="s">
        <v>624</v>
      </c>
      <c r="E12" s="67" t="s">
        <v>208</v>
      </c>
      <c r="F12" s="89" t="s">
        <v>209</v>
      </c>
      <c r="G12" s="90">
        <v>44226</v>
      </c>
      <c r="H12" s="90">
        <v>44629</v>
      </c>
      <c r="I12" s="91">
        <v>9671800</v>
      </c>
      <c r="J12" s="91">
        <v>553020</v>
      </c>
      <c r="K12" s="91">
        <v>0</v>
      </c>
      <c r="L12" s="91">
        <v>0</v>
      </c>
      <c r="M12" s="91">
        <v>0</v>
      </c>
      <c r="N12" s="91">
        <v>0</v>
      </c>
      <c r="O12" s="91">
        <v>553020</v>
      </c>
      <c r="P12" s="91">
        <v>504168.39</v>
      </c>
      <c r="Q12" s="91">
        <v>0</v>
      </c>
      <c r="R12" s="91">
        <v>0</v>
      </c>
      <c r="S12" s="91">
        <v>3131.25</v>
      </c>
      <c r="T12" s="91">
        <v>1383.34</v>
      </c>
      <c r="U12" s="91">
        <v>508682.98000000004</v>
      </c>
      <c r="V12" s="91">
        <v>44337.019999999982</v>
      </c>
      <c r="W12" s="91">
        <v>13350.63</v>
      </c>
      <c r="X12" s="91">
        <v>7421.6399999999994</v>
      </c>
      <c r="Y12" s="119">
        <v>20772.269999999997</v>
      </c>
      <c r="Z12" s="92">
        <f t="shared" si="0"/>
        <v>23564.749999999985</v>
      </c>
    </row>
    <row r="13" spans="1:26" x14ac:dyDescent="0.2">
      <c r="A13" s="89" t="s">
        <v>470</v>
      </c>
      <c r="B13" s="89" t="s">
        <v>471</v>
      </c>
      <c r="C13" s="89" t="s">
        <v>623</v>
      </c>
      <c r="D13" s="89" t="s">
        <v>624</v>
      </c>
      <c r="E13" s="67" t="s">
        <v>208</v>
      </c>
      <c r="F13" s="89" t="s">
        <v>209</v>
      </c>
      <c r="G13" s="90">
        <v>44226</v>
      </c>
      <c r="H13" s="90">
        <v>44442</v>
      </c>
      <c r="I13" s="91">
        <v>7459500</v>
      </c>
      <c r="J13" s="91">
        <v>0</v>
      </c>
      <c r="K13" s="91">
        <v>0</v>
      </c>
      <c r="L13" s="91">
        <v>0</v>
      </c>
      <c r="M13" s="91">
        <v>0</v>
      </c>
      <c r="N13" s="91">
        <v>0</v>
      </c>
      <c r="O13" s="91">
        <v>0</v>
      </c>
      <c r="P13" s="91">
        <v>2276.8000000000002</v>
      </c>
      <c r="Q13" s="91">
        <v>0</v>
      </c>
      <c r="R13" s="91">
        <v>0</v>
      </c>
      <c r="S13" s="91">
        <v>0</v>
      </c>
      <c r="T13" s="91">
        <v>1805.68</v>
      </c>
      <c r="U13" s="91">
        <v>4082.48</v>
      </c>
      <c r="V13" s="91">
        <v>-4082.48</v>
      </c>
      <c r="W13" s="91">
        <v>12075.369999999999</v>
      </c>
      <c r="X13" s="91">
        <v>1551.74</v>
      </c>
      <c r="Y13" s="119">
        <v>13627.11</v>
      </c>
      <c r="Z13" s="92">
        <f t="shared" si="0"/>
        <v>-17709.59</v>
      </c>
    </row>
    <row r="14" spans="1:26" x14ac:dyDescent="0.2">
      <c r="A14" s="89" t="s">
        <v>212</v>
      </c>
      <c r="B14" s="89" t="s">
        <v>213</v>
      </c>
      <c r="C14" s="89" t="s">
        <v>623</v>
      </c>
      <c r="D14" s="89" t="s">
        <v>624</v>
      </c>
      <c r="E14" s="67" t="s">
        <v>208</v>
      </c>
      <c r="F14" s="89" t="s">
        <v>209</v>
      </c>
      <c r="G14" s="90">
        <v>44245</v>
      </c>
      <c r="H14" s="90">
        <v>44271</v>
      </c>
      <c r="I14" s="91">
        <v>78450090</v>
      </c>
      <c r="J14" s="91">
        <v>0</v>
      </c>
      <c r="K14" s="91">
        <v>0</v>
      </c>
      <c r="L14" s="91">
        <v>68784</v>
      </c>
      <c r="M14" s="91">
        <v>0</v>
      </c>
      <c r="N14" s="91">
        <v>0</v>
      </c>
      <c r="O14" s="91">
        <v>68784</v>
      </c>
      <c r="P14" s="91">
        <v>479.07000000000005</v>
      </c>
      <c r="Q14" s="91">
        <v>0</v>
      </c>
      <c r="R14" s="91">
        <v>0</v>
      </c>
      <c r="S14" s="91">
        <v>0</v>
      </c>
      <c r="T14" s="91">
        <v>726.95999999999992</v>
      </c>
      <c r="U14" s="91">
        <v>1206.0300000000002</v>
      </c>
      <c r="V14" s="91">
        <v>67577.97</v>
      </c>
      <c r="W14" s="91">
        <v>9576.8799999999992</v>
      </c>
      <c r="X14" s="91">
        <v>10136.719999999999</v>
      </c>
      <c r="Y14" s="119">
        <v>19713.599999999999</v>
      </c>
      <c r="Z14" s="92">
        <f t="shared" si="0"/>
        <v>47864.37</v>
      </c>
    </row>
    <row r="15" spans="1:26" x14ac:dyDescent="0.2">
      <c r="A15" s="89" t="s">
        <v>766</v>
      </c>
      <c r="B15" s="89" t="s">
        <v>767</v>
      </c>
      <c r="C15" s="89" t="s">
        <v>623</v>
      </c>
      <c r="D15" s="89" t="s">
        <v>624</v>
      </c>
      <c r="E15" s="67" t="s">
        <v>208</v>
      </c>
      <c r="F15" s="89" t="s">
        <v>209</v>
      </c>
      <c r="G15" s="90">
        <v>44263</v>
      </c>
      <c r="H15" s="90">
        <v>43396</v>
      </c>
      <c r="I15" s="91">
        <v>0</v>
      </c>
      <c r="J15" s="91">
        <v>0</v>
      </c>
      <c r="K15" s="91">
        <v>0</v>
      </c>
      <c r="L15" s="91">
        <v>0</v>
      </c>
      <c r="M15" s="91">
        <v>0</v>
      </c>
      <c r="N15" s="91">
        <v>0</v>
      </c>
      <c r="O15" s="91">
        <v>0</v>
      </c>
      <c r="P15" s="91">
        <v>0</v>
      </c>
      <c r="Q15" s="91">
        <v>0</v>
      </c>
      <c r="R15" s="91">
        <v>0</v>
      </c>
      <c r="S15" s="91">
        <v>0</v>
      </c>
      <c r="T15" s="91">
        <v>0</v>
      </c>
      <c r="U15" s="91">
        <v>0</v>
      </c>
      <c r="V15" s="91">
        <v>0</v>
      </c>
      <c r="W15" s="91">
        <v>0</v>
      </c>
      <c r="X15" s="91">
        <v>0</v>
      </c>
      <c r="Y15" s="119">
        <v>0</v>
      </c>
      <c r="Z15" s="92">
        <f t="shared" si="0"/>
        <v>0</v>
      </c>
    </row>
    <row r="16" spans="1:26" x14ac:dyDescent="0.2">
      <c r="A16" s="89" t="s">
        <v>214</v>
      </c>
      <c r="B16" s="89" t="s">
        <v>215</v>
      </c>
      <c r="C16" s="89" t="s">
        <v>623</v>
      </c>
      <c r="D16" s="89" t="s">
        <v>624</v>
      </c>
      <c r="E16" s="67" t="s">
        <v>208</v>
      </c>
      <c r="F16" s="89" t="s">
        <v>209</v>
      </c>
      <c r="G16" s="90">
        <v>44314</v>
      </c>
      <c r="H16" s="90">
        <v>44364</v>
      </c>
      <c r="I16" s="91">
        <v>36811500</v>
      </c>
      <c r="J16" s="91">
        <v>0</v>
      </c>
      <c r="K16" s="91">
        <v>0</v>
      </c>
      <c r="L16" s="91">
        <v>0</v>
      </c>
      <c r="M16" s="91">
        <v>0</v>
      </c>
      <c r="N16" s="91">
        <v>0</v>
      </c>
      <c r="O16" s="91">
        <v>0</v>
      </c>
      <c r="P16" s="91">
        <v>343.3</v>
      </c>
      <c r="Q16" s="91">
        <v>0</v>
      </c>
      <c r="R16" s="91">
        <v>0</v>
      </c>
      <c r="S16" s="91">
        <v>0</v>
      </c>
      <c r="T16" s="91">
        <v>0</v>
      </c>
      <c r="U16" s="91">
        <v>343.3</v>
      </c>
      <c r="V16" s="91">
        <v>-343.3</v>
      </c>
      <c r="W16" s="91">
        <v>11053.36</v>
      </c>
      <c r="X16" s="91">
        <v>10550.16</v>
      </c>
      <c r="Y16" s="119">
        <v>21603.52</v>
      </c>
      <c r="Z16" s="92">
        <f t="shared" si="0"/>
        <v>-21946.82</v>
      </c>
    </row>
    <row r="17" spans="1:26" x14ac:dyDescent="0.2">
      <c r="A17" s="89" t="s">
        <v>216</v>
      </c>
      <c r="B17" s="89" t="s">
        <v>217</v>
      </c>
      <c r="C17" s="89" t="s">
        <v>623</v>
      </c>
      <c r="D17" s="89" t="s">
        <v>624</v>
      </c>
      <c r="E17" s="67" t="s">
        <v>208</v>
      </c>
      <c r="F17" s="89" t="s">
        <v>209</v>
      </c>
      <c r="G17" s="90">
        <v>44411</v>
      </c>
      <c r="H17" s="90">
        <v>41820</v>
      </c>
      <c r="I17" s="91">
        <v>2250775</v>
      </c>
      <c r="J17" s="91">
        <v>0</v>
      </c>
      <c r="K17" s="91">
        <v>0</v>
      </c>
      <c r="L17" s="91">
        <v>0</v>
      </c>
      <c r="M17" s="91">
        <v>0</v>
      </c>
      <c r="N17" s="91">
        <v>0</v>
      </c>
      <c r="O17" s="91">
        <v>0</v>
      </c>
      <c r="P17" s="91">
        <v>0</v>
      </c>
      <c r="Q17" s="91">
        <v>0</v>
      </c>
      <c r="R17" s="91">
        <v>0</v>
      </c>
      <c r="S17" s="91">
        <v>0</v>
      </c>
      <c r="T17" s="91">
        <v>1617.5</v>
      </c>
      <c r="U17" s="91">
        <v>1617.5</v>
      </c>
      <c r="V17" s="91">
        <v>-1617.5</v>
      </c>
      <c r="W17" s="91">
        <v>0</v>
      </c>
      <c r="X17" s="91">
        <v>0</v>
      </c>
      <c r="Y17" s="119">
        <v>0</v>
      </c>
      <c r="Z17" s="92">
        <f t="shared" si="0"/>
        <v>-1617.5</v>
      </c>
    </row>
    <row r="18" spans="1:26" x14ac:dyDescent="0.2">
      <c r="A18" s="89" t="s">
        <v>218</v>
      </c>
      <c r="B18" s="89" t="s">
        <v>219</v>
      </c>
      <c r="C18" s="89" t="s">
        <v>623</v>
      </c>
      <c r="D18" s="89" t="s">
        <v>624</v>
      </c>
      <c r="E18" s="67" t="s">
        <v>208</v>
      </c>
      <c r="F18" s="89" t="s">
        <v>209</v>
      </c>
      <c r="G18" s="90">
        <v>44420</v>
      </c>
      <c r="H18" s="90">
        <v>44433</v>
      </c>
      <c r="I18" s="91">
        <v>4502100</v>
      </c>
      <c r="J18" s="91">
        <v>0</v>
      </c>
      <c r="K18" s="91">
        <v>0</v>
      </c>
      <c r="L18" s="91">
        <v>0</v>
      </c>
      <c r="M18" s="91">
        <v>0</v>
      </c>
      <c r="N18" s="91">
        <v>0</v>
      </c>
      <c r="O18" s="91">
        <v>0</v>
      </c>
      <c r="P18" s="91">
        <v>0</v>
      </c>
      <c r="Q18" s="91">
        <v>0</v>
      </c>
      <c r="R18" s="91">
        <v>0</v>
      </c>
      <c r="S18" s="91">
        <v>0</v>
      </c>
      <c r="T18" s="91">
        <v>0</v>
      </c>
      <c r="U18" s="91">
        <v>0</v>
      </c>
      <c r="V18" s="91">
        <v>0</v>
      </c>
      <c r="W18" s="91">
        <v>0</v>
      </c>
      <c r="X18" s="91">
        <v>2821.83</v>
      </c>
      <c r="Y18" s="119">
        <v>2821.83</v>
      </c>
      <c r="Z18" s="92">
        <f t="shared" si="0"/>
        <v>-2821.83</v>
      </c>
    </row>
    <row r="19" spans="1:26" x14ac:dyDescent="0.2">
      <c r="A19" s="89" t="s">
        <v>799</v>
      </c>
      <c r="B19" s="89" t="s">
        <v>800</v>
      </c>
      <c r="C19" s="89" t="s">
        <v>623</v>
      </c>
      <c r="D19" s="89" t="s">
        <v>624</v>
      </c>
      <c r="E19" s="67" t="s">
        <v>208</v>
      </c>
      <c r="F19" s="89" t="s">
        <v>209</v>
      </c>
      <c r="G19" s="90">
        <v>44854</v>
      </c>
      <c r="H19" s="90" t="s">
        <v>852</v>
      </c>
      <c r="I19" s="91">
        <v>182000</v>
      </c>
      <c r="J19" s="91">
        <v>0</v>
      </c>
      <c r="K19" s="91">
        <v>0</v>
      </c>
      <c r="L19" s="91">
        <v>0</v>
      </c>
      <c r="M19" s="91">
        <v>0</v>
      </c>
      <c r="N19" s="91">
        <v>0</v>
      </c>
      <c r="O19" s="91">
        <v>0</v>
      </c>
      <c r="P19" s="91">
        <v>0</v>
      </c>
      <c r="Q19" s="91">
        <v>0</v>
      </c>
      <c r="R19" s="91">
        <v>0</v>
      </c>
      <c r="S19" s="91">
        <v>0</v>
      </c>
      <c r="T19" s="91">
        <v>0</v>
      </c>
      <c r="U19" s="91">
        <v>0</v>
      </c>
      <c r="V19" s="91">
        <v>0</v>
      </c>
      <c r="W19" s="91">
        <v>0</v>
      </c>
      <c r="X19" s="91">
        <v>645</v>
      </c>
      <c r="Y19" s="119">
        <v>645</v>
      </c>
      <c r="Z19" s="92">
        <f t="shared" si="0"/>
        <v>-645</v>
      </c>
    </row>
    <row r="20" spans="1:26" x14ac:dyDescent="0.2">
      <c r="A20" s="89" t="s">
        <v>350</v>
      </c>
      <c r="B20" s="89" t="s">
        <v>351</v>
      </c>
      <c r="C20" s="89" t="s">
        <v>623</v>
      </c>
      <c r="D20" s="89" t="s">
        <v>624</v>
      </c>
      <c r="E20" s="67">
        <v>802</v>
      </c>
      <c r="F20" s="89" t="s">
        <v>272</v>
      </c>
      <c r="G20" s="90">
        <v>44226</v>
      </c>
      <c r="H20" s="90">
        <v>43959</v>
      </c>
      <c r="I20" s="91">
        <v>0</v>
      </c>
      <c r="J20" s="91">
        <v>0</v>
      </c>
      <c r="K20" s="91">
        <v>0</v>
      </c>
      <c r="L20" s="91">
        <v>0</v>
      </c>
      <c r="M20" s="91">
        <v>0</v>
      </c>
      <c r="N20" s="91">
        <v>0</v>
      </c>
      <c r="O20" s="91">
        <v>0</v>
      </c>
      <c r="P20" s="91">
        <v>0</v>
      </c>
      <c r="Q20" s="91">
        <v>0</v>
      </c>
      <c r="R20" s="91">
        <v>0</v>
      </c>
      <c r="S20" s="91">
        <v>0</v>
      </c>
      <c r="T20" s="91">
        <v>0</v>
      </c>
      <c r="U20" s="91">
        <v>0</v>
      </c>
      <c r="V20" s="91">
        <v>0</v>
      </c>
      <c r="W20" s="91">
        <v>0</v>
      </c>
      <c r="X20" s="91">
        <v>0</v>
      </c>
      <c r="Y20" s="119">
        <v>0</v>
      </c>
      <c r="Z20" s="92">
        <f t="shared" si="0"/>
        <v>0</v>
      </c>
    </row>
    <row r="21" spans="1:26" x14ac:dyDescent="0.2">
      <c r="A21" s="89" t="s">
        <v>270</v>
      </c>
      <c r="B21" s="89" t="s">
        <v>271</v>
      </c>
      <c r="C21" s="89" t="s">
        <v>623</v>
      </c>
      <c r="D21" s="89" t="s">
        <v>624</v>
      </c>
      <c r="E21" s="67">
        <v>802</v>
      </c>
      <c r="F21" s="89" t="s">
        <v>272</v>
      </c>
      <c r="G21" s="90">
        <v>44226</v>
      </c>
      <c r="H21" s="90">
        <v>44226</v>
      </c>
      <c r="I21" s="91">
        <v>5505528.5999999996</v>
      </c>
      <c r="J21" s="91">
        <v>0</v>
      </c>
      <c r="K21" s="91">
        <v>0</v>
      </c>
      <c r="L21" s="91">
        <v>0</v>
      </c>
      <c r="M21" s="91">
        <v>0</v>
      </c>
      <c r="N21" s="91">
        <v>0</v>
      </c>
      <c r="O21" s="91">
        <v>0</v>
      </c>
      <c r="P21" s="91">
        <v>0</v>
      </c>
      <c r="Q21" s="91">
        <v>0</v>
      </c>
      <c r="R21" s="91">
        <v>38494.93</v>
      </c>
      <c r="S21" s="91">
        <v>0</v>
      </c>
      <c r="T21" s="91">
        <v>0</v>
      </c>
      <c r="U21" s="91">
        <v>38494.93</v>
      </c>
      <c r="V21" s="91">
        <v>-38494.93</v>
      </c>
      <c r="W21" s="91">
        <v>0</v>
      </c>
      <c r="X21" s="91">
        <v>0</v>
      </c>
      <c r="Y21" s="119">
        <v>0</v>
      </c>
      <c r="Z21" s="92">
        <f t="shared" si="0"/>
        <v>-38494.93</v>
      </c>
    </row>
    <row r="22" spans="1:26" x14ac:dyDescent="0.2">
      <c r="A22" s="89" t="s">
        <v>776</v>
      </c>
      <c r="B22" s="89" t="s">
        <v>777</v>
      </c>
      <c r="C22" s="89" t="s">
        <v>623</v>
      </c>
      <c r="D22" s="89" t="s">
        <v>624</v>
      </c>
      <c r="E22" s="67" t="s">
        <v>778</v>
      </c>
      <c r="F22" s="89" t="s">
        <v>779</v>
      </c>
      <c r="G22" s="90">
        <v>44844</v>
      </c>
      <c r="H22" s="90"/>
      <c r="I22" s="91">
        <v>294675</v>
      </c>
      <c r="J22" s="91">
        <v>0</v>
      </c>
      <c r="K22" s="91">
        <v>0</v>
      </c>
      <c r="L22" s="91">
        <v>0</v>
      </c>
      <c r="M22" s="91">
        <v>0</v>
      </c>
      <c r="N22" s="91">
        <v>0</v>
      </c>
      <c r="O22" s="91">
        <v>0</v>
      </c>
      <c r="P22" s="91">
        <v>0</v>
      </c>
      <c r="Q22" s="91">
        <v>0</v>
      </c>
      <c r="R22" s="91">
        <v>0</v>
      </c>
      <c r="S22" s="91">
        <v>0</v>
      </c>
      <c r="T22" s="91">
        <v>0</v>
      </c>
      <c r="U22" s="91">
        <v>0</v>
      </c>
      <c r="V22" s="91">
        <v>0</v>
      </c>
      <c r="W22" s="91">
        <v>0</v>
      </c>
      <c r="X22" s="91">
        <v>0</v>
      </c>
      <c r="Y22" s="119">
        <v>0</v>
      </c>
      <c r="Z22" s="92">
        <f t="shared" si="0"/>
        <v>0</v>
      </c>
    </row>
    <row r="23" spans="1:26" x14ac:dyDescent="0.2">
      <c r="A23" s="89" t="s">
        <v>283</v>
      </c>
      <c r="B23" s="89" t="s">
        <v>284</v>
      </c>
      <c r="C23" s="89" t="s">
        <v>623</v>
      </c>
      <c r="D23" s="89" t="s">
        <v>624</v>
      </c>
      <c r="E23" s="67" t="s">
        <v>285</v>
      </c>
      <c r="F23" s="89" t="s">
        <v>286</v>
      </c>
      <c r="G23" s="90">
        <v>44226</v>
      </c>
      <c r="H23" s="90">
        <v>44226</v>
      </c>
      <c r="I23" s="91">
        <v>0</v>
      </c>
      <c r="J23" s="91">
        <v>267934.78000000003</v>
      </c>
      <c r="K23" s="91">
        <v>0</v>
      </c>
      <c r="L23" s="91">
        <v>0</v>
      </c>
      <c r="M23" s="91">
        <v>0</v>
      </c>
      <c r="N23" s="91">
        <v>0</v>
      </c>
      <c r="O23" s="91">
        <v>267934.78000000003</v>
      </c>
      <c r="P23" s="91">
        <v>0</v>
      </c>
      <c r="Q23" s="91">
        <v>0</v>
      </c>
      <c r="R23" s="91">
        <v>0</v>
      </c>
      <c r="S23" s="91">
        <v>0</v>
      </c>
      <c r="T23" s="91">
        <v>0</v>
      </c>
      <c r="U23" s="91">
        <v>0</v>
      </c>
      <c r="V23" s="91">
        <v>267934.78000000003</v>
      </c>
      <c r="W23" s="91">
        <v>0</v>
      </c>
      <c r="X23" s="91">
        <v>0</v>
      </c>
      <c r="Y23" s="119">
        <v>0</v>
      </c>
      <c r="Z23" s="92">
        <f t="shared" si="0"/>
        <v>267934.78000000003</v>
      </c>
    </row>
    <row r="24" spans="1:26" x14ac:dyDescent="0.2">
      <c r="A24" s="89" t="s">
        <v>909</v>
      </c>
      <c r="B24" s="89" t="s">
        <v>910</v>
      </c>
      <c r="C24" s="89" t="s">
        <v>623</v>
      </c>
      <c r="D24" s="89" t="s">
        <v>624</v>
      </c>
      <c r="E24" s="67" t="s">
        <v>327</v>
      </c>
      <c r="F24" s="89" t="s">
        <v>328</v>
      </c>
      <c r="G24" s="90">
        <v>45037</v>
      </c>
      <c r="H24" s="90"/>
      <c r="I24" s="91">
        <v>223570</v>
      </c>
      <c r="J24" s="91">
        <v>177840</v>
      </c>
      <c r="K24" s="91">
        <v>0</v>
      </c>
      <c r="L24" s="91">
        <v>9013.619999999999</v>
      </c>
      <c r="M24" s="91">
        <v>0</v>
      </c>
      <c r="N24" s="91">
        <v>0</v>
      </c>
      <c r="O24" s="91">
        <v>186853.62</v>
      </c>
      <c r="P24" s="91">
        <v>231930.97</v>
      </c>
      <c r="Q24" s="91">
        <v>0</v>
      </c>
      <c r="R24" s="91">
        <v>0</v>
      </c>
      <c r="S24" s="91">
        <v>0</v>
      </c>
      <c r="T24" s="91">
        <v>2678.3</v>
      </c>
      <c r="U24" s="91">
        <v>234609.27</v>
      </c>
      <c r="V24" s="91">
        <v>-47755.649999999994</v>
      </c>
      <c r="W24" s="91">
        <v>0</v>
      </c>
      <c r="X24" s="91">
        <v>0</v>
      </c>
      <c r="Y24" s="119">
        <v>0</v>
      </c>
      <c r="Z24" s="92">
        <f t="shared" si="0"/>
        <v>-47755.649999999994</v>
      </c>
    </row>
    <row r="25" spans="1:26" x14ac:dyDescent="0.2">
      <c r="A25" s="89" t="s">
        <v>913</v>
      </c>
      <c r="B25" s="89" t="s">
        <v>914</v>
      </c>
      <c r="C25" s="89" t="s">
        <v>623</v>
      </c>
      <c r="D25" s="89" t="s">
        <v>624</v>
      </c>
      <c r="E25" s="67" t="s">
        <v>208</v>
      </c>
      <c r="F25" s="89" t="s">
        <v>209</v>
      </c>
      <c r="G25" s="90">
        <v>44718</v>
      </c>
      <c r="H25" s="90"/>
      <c r="I25" s="91">
        <v>1710000</v>
      </c>
      <c r="J25" s="91">
        <v>748254</v>
      </c>
      <c r="K25" s="91">
        <v>0</v>
      </c>
      <c r="L25" s="91">
        <v>24562.67</v>
      </c>
      <c r="M25" s="91">
        <v>0</v>
      </c>
      <c r="N25" s="91">
        <v>0</v>
      </c>
      <c r="O25" s="91">
        <v>772816.67</v>
      </c>
      <c r="P25" s="91">
        <v>723840.35</v>
      </c>
      <c r="Q25" s="91">
        <v>0</v>
      </c>
      <c r="R25" s="91">
        <v>0</v>
      </c>
      <c r="S25" s="91">
        <v>292.39</v>
      </c>
      <c r="T25" s="91">
        <v>9951.82</v>
      </c>
      <c r="U25" s="91">
        <v>734084.55999999994</v>
      </c>
      <c r="V25" s="91">
        <v>38732.110000000015</v>
      </c>
      <c r="W25" s="91">
        <v>225.09</v>
      </c>
      <c r="X25" s="91">
        <v>964.81000000000006</v>
      </c>
      <c r="Y25" s="119">
        <v>1189.8999999999999</v>
      </c>
      <c r="Z25" s="92">
        <f t="shared" si="0"/>
        <v>37542.210000000014</v>
      </c>
    </row>
    <row r="26" spans="1:26" x14ac:dyDescent="0.2">
      <c r="A26" s="89" t="s">
        <v>936</v>
      </c>
      <c r="B26" s="89" t="s">
        <v>946</v>
      </c>
      <c r="C26" s="89" t="s">
        <v>623</v>
      </c>
      <c r="D26" s="89" t="s">
        <v>624</v>
      </c>
      <c r="E26" s="67" t="s">
        <v>955</v>
      </c>
      <c r="F26" s="89" t="s">
        <v>956</v>
      </c>
      <c r="G26" s="90">
        <v>45008</v>
      </c>
      <c r="H26" s="90"/>
      <c r="I26" s="91">
        <v>1015890</v>
      </c>
      <c r="J26" s="91">
        <v>0</v>
      </c>
      <c r="K26" s="91">
        <v>0</v>
      </c>
      <c r="L26" s="91">
        <v>0</v>
      </c>
      <c r="M26" s="91">
        <v>0</v>
      </c>
      <c r="N26" s="91">
        <v>0</v>
      </c>
      <c r="O26" s="91">
        <v>0</v>
      </c>
      <c r="P26" s="91">
        <v>0</v>
      </c>
      <c r="Q26" s="91">
        <v>0</v>
      </c>
      <c r="R26" s="91">
        <v>0</v>
      </c>
      <c r="S26" s="91">
        <v>0</v>
      </c>
      <c r="T26" s="91">
        <v>23.55</v>
      </c>
      <c r="U26" s="91">
        <v>23.55</v>
      </c>
      <c r="V26" s="91">
        <v>-23.55</v>
      </c>
      <c r="W26" s="91">
        <v>16372.19</v>
      </c>
      <c r="X26" s="91">
        <v>44.25</v>
      </c>
      <c r="Y26" s="119">
        <v>16416.440000000002</v>
      </c>
      <c r="Z26" s="92">
        <f t="shared" si="0"/>
        <v>-16439.990000000002</v>
      </c>
    </row>
    <row r="27" spans="1:26" x14ac:dyDescent="0.2">
      <c r="A27" s="89" t="s">
        <v>446</v>
      </c>
      <c r="B27" s="89" t="s">
        <v>447</v>
      </c>
      <c r="C27" s="89" t="s">
        <v>623</v>
      </c>
      <c r="D27" s="89" t="s">
        <v>624</v>
      </c>
      <c r="E27" s="67" t="s">
        <v>204</v>
      </c>
      <c r="F27" s="89" t="s">
        <v>205</v>
      </c>
      <c r="G27" s="90">
        <v>44226</v>
      </c>
      <c r="H27" s="90">
        <v>42718</v>
      </c>
      <c r="I27" s="91">
        <v>0</v>
      </c>
      <c r="J27" s="91">
        <v>0</v>
      </c>
      <c r="K27" s="91">
        <v>0</v>
      </c>
      <c r="L27" s="91">
        <v>0</v>
      </c>
      <c r="M27" s="91">
        <v>0</v>
      </c>
      <c r="N27" s="91">
        <v>0</v>
      </c>
      <c r="O27" s="91">
        <v>0</v>
      </c>
      <c r="P27" s="91">
        <v>0</v>
      </c>
      <c r="Q27" s="91">
        <v>0</v>
      </c>
      <c r="R27" s="91">
        <v>0</v>
      </c>
      <c r="S27" s="91">
        <v>0</v>
      </c>
      <c r="T27" s="91">
        <v>0</v>
      </c>
      <c r="U27" s="91">
        <v>0</v>
      </c>
      <c r="V27" s="91">
        <v>0</v>
      </c>
      <c r="W27" s="91">
        <v>22758.73</v>
      </c>
      <c r="X27" s="91">
        <v>0</v>
      </c>
      <c r="Y27" s="119">
        <v>22758.73</v>
      </c>
      <c r="Z27" s="92">
        <f t="shared" si="0"/>
        <v>-22758.73</v>
      </c>
    </row>
    <row r="28" spans="1:26" x14ac:dyDescent="0.2">
      <c r="A28" s="89" t="s">
        <v>782</v>
      </c>
      <c r="B28" s="89" t="s">
        <v>783</v>
      </c>
      <c r="C28" s="89" t="s">
        <v>623</v>
      </c>
      <c r="D28" s="89" t="s">
        <v>624</v>
      </c>
      <c r="E28" s="67" t="s">
        <v>784</v>
      </c>
      <c r="F28" s="89" t="s">
        <v>785</v>
      </c>
      <c r="G28" s="90">
        <v>44833</v>
      </c>
      <c r="H28" s="90"/>
      <c r="I28" s="91">
        <v>955000</v>
      </c>
      <c r="J28" s="91">
        <v>0</v>
      </c>
      <c r="K28" s="91">
        <v>0</v>
      </c>
      <c r="L28" s="91">
        <v>0</v>
      </c>
      <c r="M28" s="91">
        <v>0</v>
      </c>
      <c r="N28" s="91">
        <v>0</v>
      </c>
      <c r="O28" s="91">
        <v>0</v>
      </c>
      <c r="P28" s="91">
        <v>0</v>
      </c>
      <c r="Q28" s="91">
        <v>0</v>
      </c>
      <c r="R28" s="91">
        <v>0</v>
      </c>
      <c r="S28" s="91">
        <v>0</v>
      </c>
      <c r="T28" s="91">
        <v>0</v>
      </c>
      <c r="U28" s="91">
        <v>0</v>
      </c>
      <c r="V28" s="91">
        <v>0</v>
      </c>
      <c r="W28" s="91">
        <v>0</v>
      </c>
      <c r="X28" s="91">
        <v>0</v>
      </c>
      <c r="Y28" s="119">
        <v>0</v>
      </c>
      <c r="Z28" s="92">
        <f t="shared" si="0"/>
        <v>0</v>
      </c>
    </row>
    <row r="29" spans="1:26" x14ac:dyDescent="0.2">
      <c r="A29" s="89" t="s">
        <v>287</v>
      </c>
      <c r="B29" s="89" t="s">
        <v>288</v>
      </c>
      <c r="C29" s="89" t="s">
        <v>623</v>
      </c>
      <c r="D29" s="89" t="s">
        <v>624</v>
      </c>
      <c r="E29" s="67" t="s">
        <v>285</v>
      </c>
      <c r="F29" s="89" t="s">
        <v>286</v>
      </c>
      <c r="G29" s="90">
        <v>44392</v>
      </c>
      <c r="H29" s="90">
        <v>44407</v>
      </c>
      <c r="I29" s="91">
        <v>8698360</v>
      </c>
      <c r="J29" s="91">
        <v>0</v>
      </c>
      <c r="K29" s="91">
        <v>0</v>
      </c>
      <c r="L29" s="91">
        <v>0</v>
      </c>
      <c r="M29" s="91">
        <v>0</v>
      </c>
      <c r="N29" s="91">
        <v>0</v>
      </c>
      <c r="O29" s="91">
        <v>0</v>
      </c>
      <c r="P29" s="91">
        <v>0</v>
      </c>
      <c r="Q29" s="91">
        <v>0</v>
      </c>
      <c r="R29" s="91">
        <v>0</v>
      </c>
      <c r="S29" s="91">
        <v>0</v>
      </c>
      <c r="T29" s="91">
        <v>0</v>
      </c>
      <c r="U29" s="91">
        <v>0</v>
      </c>
      <c r="V29" s="91">
        <v>0</v>
      </c>
      <c r="W29" s="91">
        <v>802.91</v>
      </c>
      <c r="X29" s="91">
        <v>10541.28</v>
      </c>
      <c r="Y29" s="119">
        <v>11344.19</v>
      </c>
      <c r="Z29" s="92">
        <f t="shared" si="0"/>
        <v>-11344.19</v>
      </c>
    </row>
    <row r="30" spans="1:26" x14ac:dyDescent="0.2">
      <c r="A30" s="89" t="s">
        <v>456</v>
      </c>
      <c r="B30" s="89" t="s">
        <v>457</v>
      </c>
      <c r="C30" s="89" t="s">
        <v>623</v>
      </c>
      <c r="D30" s="89" t="s">
        <v>624</v>
      </c>
      <c r="E30" s="67" t="s">
        <v>208</v>
      </c>
      <c r="F30" s="89" t="s">
        <v>209</v>
      </c>
      <c r="G30" s="90">
        <v>44226</v>
      </c>
      <c r="H30" s="90">
        <v>42811</v>
      </c>
      <c r="I30" s="91">
        <v>0</v>
      </c>
      <c r="J30" s="91">
        <v>0</v>
      </c>
      <c r="K30" s="91">
        <v>0</v>
      </c>
      <c r="L30" s="91">
        <v>0</v>
      </c>
      <c r="M30" s="91">
        <v>0</v>
      </c>
      <c r="N30" s="91">
        <v>0</v>
      </c>
      <c r="O30" s="91">
        <v>0</v>
      </c>
      <c r="P30" s="91">
        <v>0</v>
      </c>
      <c r="Q30" s="91">
        <v>0</v>
      </c>
      <c r="R30" s="91">
        <v>0</v>
      </c>
      <c r="S30" s="91">
        <v>0</v>
      </c>
      <c r="T30" s="91">
        <v>0</v>
      </c>
      <c r="U30" s="91">
        <v>0</v>
      </c>
      <c r="V30" s="91">
        <v>0</v>
      </c>
      <c r="W30" s="91">
        <v>0</v>
      </c>
      <c r="X30" s="91">
        <v>0</v>
      </c>
      <c r="Y30" s="119">
        <v>0</v>
      </c>
      <c r="Z30" s="92">
        <f t="shared" si="0"/>
        <v>0</v>
      </c>
    </row>
    <row r="31" spans="1:26" x14ac:dyDescent="0.2">
      <c r="A31" s="89" t="s">
        <v>1034</v>
      </c>
      <c r="B31" s="89" t="s">
        <v>1035</v>
      </c>
      <c r="C31" s="89" t="s">
        <v>623</v>
      </c>
      <c r="D31" s="89" t="s">
        <v>624</v>
      </c>
      <c r="E31" s="67" t="s">
        <v>208</v>
      </c>
      <c r="F31" s="89" t="s">
        <v>209</v>
      </c>
      <c r="G31" s="90">
        <v>45140</v>
      </c>
      <c r="H31" s="90"/>
      <c r="I31" s="91">
        <v>2030000</v>
      </c>
      <c r="J31" s="91">
        <v>0</v>
      </c>
      <c r="K31" s="91">
        <v>0</v>
      </c>
      <c r="L31" s="91">
        <v>72829.539999999994</v>
      </c>
      <c r="M31" s="91">
        <v>0</v>
      </c>
      <c r="N31" s="91">
        <v>0</v>
      </c>
      <c r="O31" s="91">
        <v>72829.539999999994</v>
      </c>
      <c r="P31" s="91">
        <v>0</v>
      </c>
      <c r="Q31" s="91">
        <v>0</v>
      </c>
      <c r="R31" s="91">
        <v>0</v>
      </c>
      <c r="S31" s="91">
        <v>157085.34</v>
      </c>
      <c r="T31" s="91">
        <v>86344.55</v>
      </c>
      <c r="U31" s="91">
        <v>243429.89</v>
      </c>
      <c r="V31" s="91">
        <v>-170600.35</v>
      </c>
      <c r="W31" s="91">
        <v>3147.37</v>
      </c>
      <c r="X31" s="91">
        <v>906.57</v>
      </c>
      <c r="Y31" s="119">
        <v>4053.94</v>
      </c>
      <c r="Z31" s="92">
        <f t="shared" si="0"/>
        <v>-174654.29</v>
      </c>
    </row>
    <row r="32" spans="1:26" x14ac:dyDescent="0.2">
      <c r="A32" s="89" t="s">
        <v>325</v>
      </c>
      <c r="B32" s="89" t="s">
        <v>326</v>
      </c>
      <c r="C32" s="89" t="s">
        <v>623</v>
      </c>
      <c r="D32" s="89" t="s">
        <v>624</v>
      </c>
      <c r="E32" s="67" t="s">
        <v>327</v>
      </c>
      <c r="F32" s="89" t="s">
        <v>328</v>
      </c>
      <c r="G32" s="90">
        <v>44226</v>
      </c>
      <c r="H32" s="90">
        <v>44226</v>
      </c>
      <c r="I32" s="91">
        <v>0</v>
      </c>
      <c r="J32" s="91">
        <v>0</v>
      </c>
      <c r="K32" s="91">
        <v>0</v>
      </c>
      <c r="L32" s="91">
        <v>0</v>
      </c>
      <c r="M32" s="91">
        <v>0</v>
      </c>
      <c r="N32" s="91">
        <v>0</v>
      </c>
      <c r="O32" s="91">
        <v>0</v>
      </c>
      <c r="P32" s="91">
        <v>0</v>
      </c>
      <c r="Q32" s="91">
        <v>0</v>
      </c>
      <c r="R32" s="91">
        <v>0</v>
      </c>
      <c r="S32" s="91">
        <v>1033.0899999999999</v>
      </c>
      <c r="T32" s="91">
        <v>0</v>
      </c>
      <c r="U32" s="91">
        <v>1033.0899999999999</v>
      </c>
      <c r="V32" s="91">
        <v>-1033.0899999999999</v>
      </c>
      <c r="W32" s="91">
        <v>0</v>
      </c>
      <c r="X32" s="91">
        <v>0</v>
      </c>
      <c r="Y32" s="119">
        <v>0</v>
      </c>
      <c r="Z32" s="92">
        <f t="shared" si="0"/>
        <v>-1033.0899999999999</v>
      </c>
    </row>
    <row r="33" spans="1:26" x14ac:dyDescent="0.2">
      <c r="A33" s="89" t="s">
        <v>1206</v>
      </c>
      <c r="B33" s="89" t="s">
        <v>1207</v>
      </c>
      <c r="C33" s="89" t="s">
        <v>623</v>
      </c>
      <c r="D33" s="89" t="s">
        <v>624</v>
      </c>
      <c r="E33" s="67" t="s">
        <v>122</v>
      </c>
      <c r="F33" s="89" t="s">
        <v>975</v>
      </c>
      <c r="G33" s="90">
        <v>45280</v>
      </c>
      <c r="H33" s="90"/>
      <c r="I33" s="91">
        <v>1600000</v>
      </c>
      <c r="J33" s="91">
        <v>0</v>
      </c>
      <c r="K33" s="91">
        <v>0</v>
      </c>
      <c r="L33" s="91">
        <v>0</v>
      </c>
      <c r="M33" s="91">
        <v>0</v>
      </c>
      <c r="N33" s="91">
        <v>0</v>
      </c>
      <c r="O33" s="91">
        <v>0</v>
      </c>
      <c r="P33" s="91">
        <v>0</v>
      </c>
      <c r="Q33" s="91">
        <v>0</v>
      </c>
      <c r="R33" s="91">
        <v>0</v>
      </c>
      <c r="S33" s="91">
        <v>0</v>
      </c>
      <c r="T33" s="91">
        <v>2198.11</v>
      </c>
      <c r="U33" s="91">
        <v>2198.11</v>
      </c>
      <c r="V33" s="91">
        <v>-2198.11</v>
      </c>
      <c r="W33" s="91">
        <v>0</v>
      </c>
      <c r="X33" s="91">
        <v>0</v>
      </c>
      <c r="Y33" s="119">
        <v>0</v>
      </c>
      <c r="Z33" s="92">
        <f t="shared" si="0"/>
        <v>-2198.11</v>
      </c>
    </row>
    <row r="34" spans="1:26" x14ac:dyDescent="0.2">
      <c r="A34" s="89" t="s">
        <v>1128</v>
      </c>
      <c r="B34" s="89" t="s">
        <v>239</v>
      </c>
      <c r="C34" s="89" t="s">
        <v>623</v>
      </c>
      <c r="D34" s="89" t="s">
        <v>624</v>
      </c>
      <c r="E34" s="67" t="s">
        <v>1129</v>
      </c>
      <c r="F34" s="89" t="s">
        <v>1130</v>
      </c>
      <c r="G34" s="90">
        <v>45314</v>
      </c>
      <c r="H34" s="90"/>
      <c r="I34" s="91">
        <v>3410559.5</v>
      </c>
      <c r="J34" s="91">
        <v>0</v>
      </c>
      <c r="K34" s="91">
        <v>0</v>
      </c>
      <c r="L34" s="91">
        <v>0</v>
      </c>
      <c r="M34" s="91">
        <v>0</v>
      </c>
      <c r="N34" s="91">
        <v>0</v>
      </c>
      <c r="O34" s="91">
        <v>0</v>
      </c>
      <c r="P34" s="91">
        <v>24137.929999999997</v>
      </c>
      <c r="Q34" s="91">
        <v>0</v>
      </c>
      <c r="R34" s="91">
        <v>0</v>
      </c>
      <c r="S34" s="91">
        <v>16106.470000000001</v>
      </c>
      <c r="T34" s="91">
        <v>702.4</v>
      </c>
      <c r="U34" s="91">
        <v>40946.800000000003</v>
      </c>
      <c r="V34" s="91">
        <v>-40946.800000000003</v>
      </c>
      <c r="W34" s="91">
        <v>0</v>
      </c>
      <c r="X34" s="91">
        <v>0</v>
      </c>
      <c r="Y34" s="119">
        <v>0</v>
      </c>
      <c r="Z34" s="92">
        <f t="shared" si="0"/>
        <v>-40946.800000000003</v>
      </c>
    </row>
    <row r="35" spans="1:26" x14ac:dyDescent="0.2">
      <c r="A35" s="89" t="s">
        <v>460</v>
      </c>
      <c r="B35" s="89" t="s">
        <v>461</v>
      </c>
      <c r="C35" s="89" t="s">
        <v>623</v>
      </c>
      <c r="D35" s="89" t="s">
        <v>624</v>
      </c>
      <c r="E35" s="67" t="s">
        <v>208</v>
      </c>
      <c r="F35" s="89" t="s">
        <v>209</v>
      </c>
      <c r="G35" s="90">
        <v>44226</v>
      </c>
      <c r="H35" s="90">
        <v>43430</v>
      </c>
      <c r="I35" s="91">
        <v>0</v>
      </c>
      <c r="J35" s="91">
        <v>0</v>
      </c>
      <c r="K35" s="91">
        <v>0</v>
      </c>
      <c r="L35" s="91">
        <v>0</v>
      </c>
      <c r="M35" s="91">
        <v>0</v>
      </c>
      <c r="N35" s="91">
        <v>0</v>
      </c>
      <c r="O35" s="91">
        <v>0</v>
      </c>
      <c r="P35" s="91">
        <v>0</v>
      </c>
      <c r="Q35" s="91">
        <v>0</v>
      </c>
      <c r="R35" s="91">
        <v>0</v>
      </c>
      <c r="S35" s="91">
        <v>0</v>
      </c>
      <c r="T35" s="91">
        <v>0</v>
      </c>
      <c r="U35" s="91">
        <v>0</v>
      </c>
      <c r="V35" s="91">
        <v>0</v>
      </c>
      <c r="W35" s="91">
        <v>11065.59</v>
      </c>
      <c r="X35" s="91">
        <v>0</v>
      </c>
      <c r="Y35" s="119">
        <v>11065.59</v>
      </c>
      <c r="Z35" s="92">
        <f t="shared" si="0"/>
        <v>-11065.59</v>
      </c>
    </row>
    <row r="36" spans="1:26" x14ac:dyDescent="0.2">
      <c r="A36" s="89" t="s">
        <v>1257</v>
      </c>
      <c r="B36" s="89" t="s">
        <v>1258</v>
      </c>
      <c r="C36" s="89" t="s">
        <v>623</v>
      </c>
      <c r="D36" s="89" t="s">
        <v>624</v>
      </c>
      <c r="E36" s="67" t="s">
        <v>1259</v>
      </c>
      <c r="F36" s="89" t="s">
        <v>1260</v>
      </c>
      <c r="G36" s="90">
        <v>45280</v>
      </c>
      <c r="H36" s="90"/>
      <c r="I36" s="91">
        <v>141466</v>
      </c>
      <c r="J36" s="91">
        <v>0</v>
      </c>
      <c r="K36" s="91">
        <v>0</v>
      </c>
      <c r="L36" s="91">
        <v>0</v>
      </c>
      <c r="M36" s="91">
        <v>0</v>
      </c>
      <c r="N36" s="91">
        <v>0</v>
      </c>
      <c r="O36" s="91">
        <v>0</v>
      </c>
      <c r="P36" s="91">
        <v>0</v>
      </c>
      <c r="Q36" s="91">
        <v>0</v>
      </c>
      <c r="R36" s="91">
        <v>0</v>
      </c>
      <c r="S36" s="91">
        <v>0</v>
      </c>
      <c r="T36" s="91">
        <v>744.63</v>
      </c>
      <c r="U36" s="91">
        <v>744.63</v>
      </c>
      <c r="V36" s="91">
        <v>-744.63</v>
      </c>
      <c r="W36" s="91">
        <v>0</v>
      </c>
      <c r="X36" s="91">
        <v>0</v>
      </c>
      <c r="Y36" s="119">
        <v>0</v>
      </c>
      <c r="Z36" s="92">
        <f t="shared" si="0"/>
        <v>-744.63</v>
      </c>
    </row>
    <row r="37" spans="1:26" x14ac:dyDescent="0.2">
      <c r="A37" s="89" t="s">
        <v>450</v>
      </c>
      <c r="B37" s="89" t="s">
        <v>451</v>
      </c>
      <c r="C37" s="89" t="s">
        <v>623</v>
      </c>
      <c r="D37" s="89" t="s">
        <v>624</v>
      </c>
      <c r="E37" s="67" t="s">
        <v>208</v>
      </c>
      <c r="F37" s="89" t="s">
        <v>209</v>
      </c>
      <c r="G37" s="90">
        <v>44226</v>
      </c>
      <c r="H37" s="90">
        <v>43644</v>
      </c>
      <c r="I37" s="91">
        <v>0</v>
      </c>
      <c r="J37" s="91">
        <v>0</v>
      </c>
      <c r="K37" s="91">
        <v>0</v>
      </c>
      <c r="L37" s="91">
        <v>0</v>
      </c>
      <c r="M37" s="91">
        <v>0</v>
      </c>
      <c r="N37" s="91">
        <v>0</v>
      </c>
      <c r="O37" s="91">
        <v>0</v>
      </c>
      <c r="P37" s="91">
        <v>0</v>
      </c>
      <c r="Q37" s="91">
        <v>0</v>
      </c>
      <c r="R37" s="91">
        <v>0</v>
      </c>
      <c r="S37" s="91">
        <v>0</v>
      </c>
      <c r="T37" s="91">
        <v>0</v>
      </c>
      <c r="U37" s="91">
        <v>0</v>
      </c>
      <c r="V37" s="91">
        <v>0</v>
      </c>
      <c r="W37" s="91">
        <v>0</v>
      </c>
      <c r="X37" s="91">
        <v>0</v>
      </c>
      <c r="Y37" s="119">
        <v>0</v>
      </c>
      <c r="Z37" s="92">
        <f t="shared" si="0"/>
        <v>0</v>
      </c>
    </row>
    <row r="38" spans="1:26" x14ac:dyDescent="0.2">
      <c r="A38" s="89" t="s">
        <v>1394</v>
      </c>
      <c r="B38" s="89" t="s">
        <v>1395</v>
      </c>
      <c r="C38" s="89" t="s">
        <v>623</v>
      </c>
      <c r="D38" s="89" t="s">
        <v>624</v>
      </c>
      <c r="E38" s="67" t="s">
        <v>208</v>
      </c>
      <c r="F38" s="89" t="s">
        <v>209</v>
      </c>
      <c r="G38" s="90">
        <v>45401</v>
      </c>
      <c r="H38" s="90"/>
      <c r="I38" s="91">
        <v>1425000</v>
      </c>
      <c r="J38" s="91">
        <v>0</v>
      </c>
      <c r="K38" s="91">
        <v>0</v>
      </c>
      <c r="L38" s="91">
        <v>0</v>
      </c>
      <c r="M38" s="91">
        <v>0</v>
      </c>
      <c r="N38" s="91">
        <v>0</v>
      </c>
      <c r="O38" s="91">
        <v>0</v>
      </c>
      <c r="P38" s="91">
        <v>0</v>
      </c>
      <c r="Q38" s="91">
        <v>0</v>
      </c>
      <c r="R38" s="91">
        <v>0</v>
      </c>
      <c r="S38" s="91">
        <v>817.17</v>
      </c>
      <c r="T38" s="91">
        <v>5552.1799999999994</v>
      </c>
      <c r="U38" s="91">
        <v>6369.3499999999995</v>
      </c>
      <c r="V38" s="91">
        <v>-6369.3499999999995</v>
      </c>
      <c r="W38" s="91">
        <v>8448.6200000000008</v>
      </c>
      <c r="X38" s="91">
        <v>0</v>
      </c>
      <c r="Y38" s="119">
        <v>8448.6200000000008</v>
      </c>
      <c r="Z38" s="92">
        <f t="shared" si="0"/>
        <v>-14817.970000000001</v>
      </c>
    </row>
    <row r="39" spans="1:26" s="100" customFormat="1" x14ac:dyDescent="0.2">
      <c r="A39" s="93" t="s">
        <v>613</v>
      </c>
      <c r="B39" s="93"/>
      <c r="C39" s="93"/>
      <c r="D39" s="93"/>
      <c r="E39" s="94"/>
      <c r="F39" s="93"/>
      <c r="G39" s="93"/>
      <c r="H39" s="93"/>
      <c r="I39" s="93">
        <f t="shared" ref="I39:Y39" si="1">SUM(I4:I38)</f>
        <v>182219739.09999999</v>
      </c>
      <c r="J39" s="95">
        <f t="shared" si="1"/>
        <v>1914429.58</v>
      </c>
      <c r="K39" s="95">
        <f t="shared" si="1"/>
        <v>0</v>
      </c>
      <c r="L39" s="95">
        <f t="shared" si="1"/>
        <v>196512.46999999997</v>
      </c>
      <c r="M39" s="95">
        <f t="shared" si="1"/>
        <v>0</v>
      </c>
      <c r="N39" s="95">
        <f t="shared" si="1"/>
        <v>0</v>
      </c>
      <c r="O39" s="96">
        <f t="shared" si="1"/>
        <v>2110942.0499999998</v>
      </c>
      <c r="P39" s="95">
        <f t="shared" si="1"/>
        <v>1510325.69</v>
      </c>
      <c r="Q39" s="95">
        <f t="shared" si="1"/>
        <v>0</v>
      </c>
      <c r="R39" s="95">
        <f t="shared" si="1"/>
        <v>38494.93</v>
      </c>
      <c r="S39" s="97">
        <f t="shared" si="1"/>
        <v>178465.71000000002</v>
      </c>
      <c r="T39" s="97">
        <f t="shared" si="1"/>
        <v>117465.29</v>
      </c>
      <c r="U39" s="98">
        <f t="shared" si="1"/>
        <v>1844751.6200000003</v>
      </c>
      <c r="V39" s="99">
        <f t="shared" si="1"/>
        <v>266190.43000000005</v>
      </c>
      <c r="W39" s="95">
        <f t="shared" si="1"/>
        <v>113210.62999999998</v>
      </c>
      <c r="X39" s="95">
        <f t="shared" si="1"/>
        <v>47747.759999999995</v>
      </c>
      <c r="Y39" s="120">
        <f t="shared" si="1"/>
        <v>160958.38999999998</v>
      </c>
      <c r="Z39" s="122">
        <f t="shared" si="0"/>
        <v>105232.04000000007</v>
      </c>
    </row>
  </sheetData>
  <autoFilter ref="A3:Y29" xr:uid="{00000000-0009-0000-0000-00000B000000}"/>
  <phoneticPr fontId="10" type="noConversion"/>
  <conditionalFormatting sqref="A1">
    <cfRule type="duplicateValues" dxfId="24" priority="3"/>
  </conditionalFormatting>
  <conditionalFormatting sqref="A3">
    <cfRule type="duplicateValues" dxfId="23" priority="2"/>
  </conditionalFormatting>
  <conditionalFormatting sqref="A39">
    <cfRule type="duplicateValues" dxfId="22" priority="1"/>
  </conditionalFormatting>
  <conditionalFormatting sqref="A157">
    <cfRule type="duplicateValues" dxfId="21" priority="5"/>
  </conditionalFormatting>
  <conditionalFormatting sqref="A158:A1048576 A2 A40:A156 A4:A38">
    <cfRule type="duplicateValues" dxfId="20" priority="6"/>
  </conditionalFormatting>
  <pageMargins left="0.7" right="0.7" top="0.75" bottom="0.75" header="0.3" footer="0.3"/>
  <pageSetup paperSize="9" orientation="portrait" r:id="rId1"/>
  <legacy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00B0F0"/>
  </sheetPr>
  <dimension ref="A1:Z53"/>
  <sheetViews>
    <sheetView zoomScaleNormal="100" workbookViewId="0">
      <pane xSplit="6" ySplit="4" topLeftCell="G29" activePane="bottomRight" state="frozen"/>
      <selection activeCell="F56" sqref="E56:F57"/>
      <selection pane="topRight" activeCell="F56" sqref="E56:F57"/>
      <selection pane="bottomLeft" activeCell="F56" sqref="E56:F57"/>
      <selection pane="bottomRight" activeCell="I53" sqref="I53"/>
    </sheetView>
  </sheetViews>
  <sheetFormatPr defaultRowHeight="12.75" outlineLevelCol="1" x14ac:dyDescent="0.2"/>
  <cols>
    <col min="1" max="1" width="10.140625" style="72" customWidth="1"/>
    <col min="2" max="2" width="8" style="72" bestFit="1" customWidth="1"/>
    <col min="3" max="3" width="9" style="72" bestFit="1" customWidth="1"/>
    <col min="4" max="4" width="12.5703125" style="72" customWidth="1"/>
    <col min="5" max="5" width="6" style="80" bestFit="1" customWidth="1"/>
    <col min="6" max="6" width="8.140625" style="72" customWidth="1"/>
    <col min="7" max="7" width="13" style="72" bestFit="1" customWidth="1"/>
    <col min="8" max="8" width="11.7109375" style="72" customWidth="1"/>
    <col min="9" max="9" width="12.85546875" style="72" customWidth="1"/>
    <col min="10" max="14" width="11.7109375" style="72" hidden="1" customWidth="1" outlineLevel="1"/>
    <col min="15" max="15" width="11.7109375" style="72" customWidth="1" collapsed="1"/>
    <col min="16" max="20" width="11.7109375" style="72" hidden="1" customWidth="1" outlineLevel="1"/>
    <col min="21" max="21" width="11.7109375" style="72" customWidth="1" collapsed="1"/>
    <col min="22" max="22" width="11.7109375" style="72" customWidth="1"/>
    <col min="23" max="24" width="11.7109375" style="72" hidden="1" customWidth="1" outlineLevel="1"/>
    <col min="25" max="25" width="11.7109375" style="72" customWidth="1" collapsed="1"/>
    <col min="26" max="26" width="12" style="72" customWidth="1"/>
    <col min="27" max="16384" width="9.140625" style="72"/>
  </cols>
  <sheetData>
    <row r="1" spans="1:26" ht="23.25" customHeight="1" x14ac:dyDescent="0.2">
      <c r="A1" s="79" t="s">
        <v>1406</v>
      </c>
    </row>
    <row r="2" spans="1:26" ht="15" customHeight="1" x14ac:dyDescent="0.2">
      <c r="A2" s="81" t="s">
        <v>1300</v>
      </c>
    </row>
    <row r="3" spans="1:26" s="88" customFormat="1" x14ac:dyDescent="0.2">
      <c r="A3" s="82" t="s">
        <v>1301</v>
      </c>
      <c r="B3" s="82" t="s">
        <v>577</v>
      </c>
      <c r="C3" s="82" t="s">
        <v>599</v>
      </c>
      <c r="D3" s="82" t="s">
        <v>600</v>
      </c>
      <c r="E3" s="83" t="s">
        <v>578</v>
      </c>
      <c r="F3" s="82" t="s">
        <v>579</v>
      </c>
      <c r="G3" s="82" t="s">
        <v>580</v>
      </c>
      <c r="H3" s="82" t="s">
        <v>581</v>
      </c>
      <c r="I3" s="82" t="s">
        <v>582</v>
      </c>
      <c r="J3" s="84" t="s">
        <v>625</v>
      </c>
      <c r="K3" s="84" t="s">
        <v>584</v>
      </c>
      <c r="L3" s="84" t="s">
        <v>626</v>
      </c>
      <c r="M3" s="84" t="s">
        <v>586</v>
      </c>
      <c r="N3" s="84" t="s">
        <v>587</v>
      </c>
      <c r="O3" s="85" t="s">
        <v>588</v>
      </c>
      <c r="P3" s="84" t="s">
        <v>603</v>
      </c>
      <c r="Q3" s="84" t="s">
        <v>590</v>
      </c>
      <c r="R3" s="84" t="s">
        <v>591</v>
      </c>
      <c r="S3" s="84" t="s">
        <v>1302</v>
      </c>
      <c r="T3" s="84" t="s">
        <v>627</v>
      </c>
      <c r="U3" s="85" t="s">
        <v>594</v>
      </c>
      <c r="V3" s="86" t="s">
        <v>595</v>
      </c>
      <c r="W3" s="84" t="s">
        <v>628</v>
      </c>
      <c r="X3" s="84" t="s">
        <v>629</v>
      </c>
      <c r="Y3" s="118" t="s">
        <v>598</v>
      </c>
      <c r="Z3" s="87" t="s">
        <v>1308</v>
      </c>
    </row>
    <row r="4" spans="1:26" x14ac:dyDescent="0.2">
      <c r="A4" s="89" t="s">
        <v>820</v>
      </c>
      <c r="B4" s="89" t="s">
        <v>821</v>
      </c>
      <c r="C4" s="89" t="s">
        <v>630</v>
      </c>
      <c r="D4" s="89" t="s">
        <v>631</v>
      </c>
      <c r="E4" s="67">
        <v>781</v>
      </c>
      <c r="F4" s="89" t="s">
        <v>267</v>
      </c>
      <c r="G4" s="90">
        <v>44226</v>
      </c>
      <c r="H4" s="90">
        <v>42595</v>
      </c>
      <c r="I4" s="91">
        <v>491602</v>
      </c>
      <c r="J4" s="91">
        <v>0</v>
      </c>
      <c r="K4" s="91">
        <v>0</v>
      </c>
      <c r="L4" s="91">
        <v>58.58</v>
      </c>
      <c r="M4" s="91">
        <v>0</v>
      </c>
      <c r="N4" s="91">
        <v>0</v>
      </c>
      <c r="O4" s="91">
        <v>58.58</v>
      </c>
      <c r="P4" s="91">
        <v>0</v>
      </c>
      <c r="Q4" s="91">
        <v>0</v>
      </c>
      <c r="R4" s="91">
        <v>3527.09</v>
      </c>
      <c r="S4" s="91">
        <v>0</v>
      </c>
      <c r="T4" s="91">
        <v>0</v>
      </c>
      <c r="U4" s="91">
        <v>3527.09</v>
      </c>
      <c r="V4" s="91">
        <v>-3468.51</v>
      </c>
      <c r="W4" s="91">
        <v>0</v>
      </c>
      <c r="X4" s="91">
        <v>0</v>
      </c>
      <c r="Y4" s="119">
        <v>0</v>
      </c>
      <c r="Z4" s="92">
        <f>V4-Y4</f>
        <v>-3468.51</v>
      </c>
    </row>
    <row r="5" spans="1:26" x14ac:dyDescent="0.2">
      <c r="A5" s="89" t="s">
        <v>355</v>
      </c>
      <c r="B5" s="89" t="s">
        <v>356</v>
      </c>
      <c r="C5" s="89" t="s">
        <v>630</v>
      </c>
      <c r="D5" s="89" t="s">
        <v>631</v>
      </c>
      <c r="E5" s="67">
        <v>781</v>
      </c>
      <c r="F5" s="89" t="s">
        <v>267</v>
      </c>
      <c r="G5" s="90">
        <v>44226</v>
      </c>
      <c r="H5" s="90">
        <v>43696</v>
      </c>
      <c r="I5" s="91">
        <v>0</v>
      </c>
      <c r="J5" s="91">
        <v>0</v>
      </c>
      <c r="K5" s="91">
        <v>0</v>
      </c>
      <c r="L5" s="91">
        <v>0</v>
      </c>
      <c r="M5" s="91">
        <v>0</v>
      </c>
      <c r="N5" s="91">
        <v>0</v>
      </c>
      <c r="O5" s="91">
        <v>0</v>
      </c>
      <c r="P5" s="91">
        <v>0</v>
      </c>
      <c r="Q5" s="91">
        <v>0</v>
      </c>
      <c r="R5" s="91">
        <v>0</v>
      </c>
      <c r="S5" s="91">
        <v>0</v>
      </c>
      <c r="T5" s="91">
        <v>0</v>
      </c>
      <c r="U5" s="91">
        <v>0</v>
      </c>
      <c r="V5" s="91">
        <v>0</v>
      </c>
      <c r="W5" s="91">
        <v>3886.75</v>
      </c>
      <c r="X5" s="91">
        <v>2045.97</v>
      </c>
      <c r="Y5" s="119">
        <v>5932.72</v>
      </c>
      <c r="Z5" s="92">
        <f t="shared" ref="Z5:Z50" si="0">V5-Y5</f>
        <v>-5932.72</v>
      </c>
    </row>
    <row r="6" spans="1:26" x14ac:dyDescent="0.2">
      <c r="A6" s="89" t="s">
        <v>822</v>
      </c>
      <c r="B6" s="89" t="s">
        <v>823</v>
      </c>
      <c r="C6" s="89" t="s">
        <v>630</v>
      </c>
      <c r="D6" s="89" t="s">
        <v>631</v>
      </c>
      <c r="E6" s="67">
        <v>781</v>
      </c>
      <c r="F6" s="89" t="s">
        <v>267</v>
      </c>
      <c r="G6" s="90">
        <v>44226</v>
      </c>
      <c r="H6" s="90">
        <v>44043</v>
      </c>
      <c r="I6" s="91">
        <v>0</v>
      </c>
      <c r="J6" s="91">
        <v>0</v>
      </c>
      <c r="K6" s="91">
        <v>0</v>
      </c>
      <c r="L6" s="91">
        <v>0</v>
      </c>
      <c r="M6" s="91">
        <v>0</v>
      </c>
      <c r="N6" s="91">
        <v>0</v>
      </c>
      <c r="O6" s="91">
        <v>0</v>
      </c>
      <c r="P6" s="91">
        <v>0</v>
      </c>
      <c r="Q6" s="91">
        <v>0</v>
      </c>
      <c r="R6" s="91">
        <v>0</v>
      </c>
      <c r="S6" s="91">
        <v>0</v>
      </c>
      <c r="T6" s="91">
        <v>0</v>
      </c>
      <c r="U6" s="91">
        <v>0</v>
      </c>
      <c r="V6" s="91">
        <v>0</v>
      </c>
      <c r="W6" s="91">
        <v>4964.1499999999996</v>
      </c>
      <c r="X6" s="91">
        <v>0</v>
      </c>
      <c r="Y6" s="119">
        <v>4964.1499999999996</v>
      </c>
      <c r="Z6" s="92">
        <f t="shared" si="0"/>
        <v>-4964.1499999999996</v>
      </c>
    </row>
    <row r="7" spans="1:26" x14ac:dyDescent="0.2">
      <c r="A7" s="89" t="s">
        <v>265</v>
      </c>
      <c r="B7" s="89" t="s">
        <v>266</v>
      </c>
      <c r="C7" s="89" t="s">
        <v>630</v>
      </c>
      <c r="D7" s="89" t="s">
        <v>631</v>
      </c>
      <c r="E7" s="67">
        <v>781</v>
      </c>
      <c r="F7" s="89" t="s">
        <v>267</v>
      </c>
      <c r="G7" s="90">
        <v>44347</v>
      </c>
      <c r="H7" s="90">
        <v>44357</v>
      </c>
      <c r="I7" s="91">
        <v>0</v>
      </c>
      <c r="J7" s="91">
        <v>0</v>
      </c>
      <c r="K7" s="91">
        <v>0</v>
      </c>
      <c r="L7" s="91">
        <v>0</v>
      </c>
      <c r="M7" s="91">
        <v>0</v>
      </c>
      <c r="N7" s="91">
        <v>0</v>
      </c>
      <c r="O7" s="91">
        <v>0</v>
      </c>
      <c r="P7" s="91">
        <v>0</v>
      </c>
      <c r="Q7" s="91">
        <v>0</v>
      </c>
      <c r="R7" s="91">
        <v>0</v>
      </c>
      <c r="S7" s="91">
        <v>0</v>
      </c>
      <c r="T7" s="91">
        <v>0</v>
      </c>
      <c r="U7" s="91">
        <v>0</v>
      </c>
      <c r="V7" s="91">
        <v>0</v>
      </c>
      <c r="W7" s="91">
        <v>0</v>
      </c>
      <c r="X7" s="91">
        <v>0</v>
      </c>
      <c r="Y7" s="119">
        <v>0</v>
      </c>
      <c r="Z7" s="92">
        <f t="shared" si="0"/>
        <v>0</v>
      </c>
    </row>
    <row r="8" spans="1:26" x14ac:dyDescent="0.2">
      <c r="A8" s="89" t="s">
        <v>317</v>
      </c>
      <c r="B8" s="89" t="s">
        <v>318</v>
      </c>
      <c r="C8" s="89" t="s">
        <v>630</v>
      </c>
      <c r="D8" s="89" t="s">
        <v>631</v>
      </c>
      <c r="E8" s="67" t="s">
        <v>281</v>
      </c>
      <c r="F8" s="89" t="s">
        <v>282</v>
      </c>
      <c r="G8" s="90">
        <v>44226</v>
      </c>
      <c r="H8" s="90">
        <v>44238</v>
      </c>
      <c r="I8" s="91">
        <v>175000</v>
      </c>
      <c r="J8" s="91">
        <v>0</v>
      </c>
      <c r="K8" s="91">
        <v>0</v>
      </c>
      <c r="L8" s="91">
        <v>0</v>
      </c>
      <c r="M8" s="91">
        <v>0</v>
      </c>
      <c r="N8" s="91">
        <v>0</v>
      </c>
      <c r="O8" s="91">
        <v>0</v>
      </c>
      <c r="P8" s="91">
        <v>0</v>
      </c>
      <c r="Q8" s="91">
        <v>0</v>
      </c>
      <c r="R8" s="91">
        <v>0</v>
      </c>
      <c r="S8" s="91">
        <v>0</v>
      </c>
      <c r="T8" s="91">
        <v>0</v>
      </c>
      <c r="U8" s="91">
        <v>0</v>
      </c>
      <c r="V8" s="91">
        <v>0</v>
      </c>
      <c r="W8" s="91">
        <v>0</v>
      </c>
      <c r="X8" s="91">
        <v>1098.26</v>
      </c>
      <c r="Y8" s="119">
        <v>1098.26</v>
      </c>
      <c r="Z8" s="92">
        <f t="shared" si="0"/>
        <v>-1098.26</v>
      </c>
    </row>
    <row r="9" spans="1:26" x14ac:dyDescent="0.2">
      <c r="A9" s="89" t="s">
        <v>776</v>
      </c>
      <c r="B9" s="89" t="s">
        <v>777</v>
      </c>
      <c r="C9" s="89" t="s">
        <v>630</v>
      </c>
      <c r="D9" s="89" t="s">
        <v>631</v>
      </c>
      <c r="E9" s="67" t="s">
        <v>778</v>
      </c>
      <c r="F9" s="89" t="s">
        <v>779</v>
      </c>
      <c r="G9" s="90">
        <v>44844</v>
      </c>
      <c r="H9" s="90"/>
      <c r="I9" s="91">
        <v>0</v>
      </c>
      <c r="J9" s="91">
        <v>0</v>
      </c>
      <c r="K9" s="91">
        <v>0</v>
      </c>
      <c r="L9" s="91">
        <v>0</v>
      </c>
      <c r="M9" s="91">
        <v>0</v>
      </c>
      <c r="N9" s="91">
        <v>0</v>
      </c>
      <c r="O9" s="91">
        <v>0</v>
      </c>
      <c r="P9" s="91">
        <v>0</v>
      </c>
      <c r="Q9" s="91">
        <v>0</v>
      </c>
      <c r="R9" s="91">
        <v>0</v>
      </c>
      <c r="S9" s="91">
        <v>0</v>
      </c>
      <c r="T9" s="91">
        <v>0</v>
      </c>
      <c r="U9" s="91">
        <v>0</v>
      </c>
      <c r="V9" s="91">
        <v>0</v>
      </c>
      <c r="W9" s="91">
        <v>0</v>
      </c>
      <c r="X9" s="91">
        <v>0</v>
      </c>
      <c r="Y9" s="119">
        <v>0</v>
      </c>
      <c r="Z9" s="92">
        <f t="shared" si="0"/>
        <v>0</v>
      </c>
    </row>
    <row r="10" spans="1:26" x14ac:dyDescent="0.2">
      <c r="A10" s="89" t="s">
        <v>733</v>
      </c>
      <c r="B10" s="89" t="s">
        <v>734</v>
      </c>
      <c r="C10" s="89" t="s">
        <v>630</v>
      </c>
      <c r="D10" s="89" t="s">
        <v>631</v>
      </c>
      <c r="E10" s="67" t="s">
        <v>303</v>
      </c>
      <c r="F10" s="89" t="s">
        <v>304</v>
      </c>
      <c r="G10" s="90">
        <v>44756</v>
      </c>
      <c r="H10" s="90"/>
      <c r="I10" s="91">
        <v>1983600</v>
      </c>
      <c r="J10" s="91">
        <v>0</v>
      </c>
      <c r="K10" s="91">
        <v>0</v>
      </c>
      <c r="L10" s="91">
        <v>0</v>
      </c>
      <c r="M10" s="91">
        <v>0</v>
      </c>
      <c r="N10" s="91">
        <v>0</v>
      </c>
      <c r="O10" s="91">
        <v>0</v>
      </c>
      <c r="P10" s="91">
        <v>0</v>
      </c>
      <c r="Q10" s="91">
        <v>0</v>
      </c>
      <c r="R10" s="91">
        <v>8139.380000000001</v>
      </c>
      <c r="S10" s="91">
        <v>0</v>
      </c>
      <c r="T10" s="91">
        <v>0</v>
      </c>
      <c r="U10" s="91">
        <v>8139.380000000001</v>
      </c>
      <c r="V10" s="91">
        <v>-8139.380000000001</v>
      </c>
      <c r="W10" s="91">
        <v>0</v>
      </c>
      <c r="X10" s="91">
        <v>0</v>
      </c>
      <c r="Y10" s="119">
        <v>0</v>
      </c>
      <c r="Z10" s="92">
        <f t="shared" si="0"/>
        <v>-8139.380000000001</v>
      </c>
    </row>
    <row r="11" spans="1:26" x14ac:dyDescent="0.2">
      <c r="A11" s="89" t="s">
        <v>735</v>
      </c>
      <c r="B11" s="89" t="s">
        <v>736</v>
      </c>
      <c r="C11" s="89" t="s">
        <v>630</v>
      </c>
      <c r="D11" s="89" t="s">
        <v>631</v>
      </c>
      <c r="E11" s="67" t="s">
        <v>303</v>
      </c>
      <c r="F11" s="89" t="s">
        <v>304</v>
      </c>
      <c r="G11" s="90">
        <v>44809</v>
      </c>
      <c r="H11" s="90"/>
      <c r="I11" s="91">
        <v>921800</v>
      </c>
      <c r="J11" s="91">
        <v>23678.41</v>
      </c>
      <c r="K11" s="91">
        <v>0</v>
      </c>
      <c r="L11" s="91">
        <v>21512.93</v>
      </c>
      <c r="M11" s="91">
        <v>0</v>
      </c>
      <c r="N11" s="91">
        <v>0</v>
      </c>
      <c r="O11" s="91">
        <v>45191.340000000004</v>
      </c>
      <c r="P11" s="91">
        <v>0</v>
      </c>
      <c r="Q11" s="91">
        <v>0</v>
      </c>
      <c r="R11" s="91">
        <v>0</v>
      </c>
      <c r="S11" s="91">
        <v>0</v>
      </c>
      <c r="T11" s="91">
        <v>8066.24</v>
      </c>
      <c r="U11" s="91">
        <v>8066.24</v>
      </c>
      <c r="V11" s="91">
        <v>37125.1</v>
      </c>
      <c r="W11" s="91">
        <v>1718.36</v>
      </c>
      <c r="X11" s="91">
        <v>0</v>
      </c>
      <c r="Y11" s="119">
        <v>1718.36</v>
      </c>
      <c r="Z11" s="92">
        <f t="shared" si="0"/>
        <v>35406.74</v>
      </c>
    </row>
    <row r="12" spans="1:26" x14ac:dyDescent="0.2">
      <c r="A12" s="89" t="s">
        <v>116</v>
      </c>
      <c r="B12" s="89" t="s">
        <v>117</v>
      </c>
      <c r="C12" s="89" t="s">
        <v>630</v>
      </c>
      <c r="D12" s="89" t="s">
        <v>631</v>
      </c>
      <c r="E12" s="67" t="s">
        <v>96</v>
      </c>
      <c r="F12" s="89" t="s">
        <v>97</v>
      </c>
      <c r="G12" s="90">
        <v>44634</v>
      </c>
      <c r="H12" s="90"/>
      <c r="I12" s="91">
        <v>0</v>
      </c>
      <c r="J12" s="91">
        <v>0</v>
      </c>
      <c r="K12" s="91">
        <v>0</v>
      </c>
      <c r="L12" s="91">
        <v>0</v>
      </c>
      <c r="M12" s="91">
        <v>0</v>
      </c>
      <c r="N12" s="91">
        <v>0</v>
      </c>
      <c r="O12" s="91">
        <v>0</v>
      </c>
      <c r="P12" s="91">
        <v>0</v>
      </c>
      <c r="Q12" s="91">
        <v>0</v>
      </c>
      <c r="R12" s="91">
        <v>0</v>
      </c>
      <c r="S12" s="91">
        <v>0</v>
      </c>
      <c r="T12" s="91">
        <v>0</v>
      </c>
      <c r="U12" s="91">
        <v>0</v>
      </c>
      <c r="V12" s="91">
        <v>0</v>
      </c>
      <c r="W12" s="91">
        <v>0</v>
      </c>
      <c r="X12" s="91">
        <v>0</v>
      </c>
      <c r="Y12" s="119">
        <v>0</v>
      </c>
      <c r="Z12" s="92">
        <f t="shared" si="0"/>
        <v>0</v>
      </c>
    </row>
    <row r="13" spans="1:26" x14ac:dyDescent="0.2">
      <c r="A13" s="89" t="s">
        <v>572</v>
      </c>
      <c r="B13" s="89" t="s">
        <v>573</v>
      </c>
      <c r="C13" s="89" t="s">
        <v>630</v>
      </c>
      <c r="D13" s="89" t="s">
        <v>631</v>
      </c>
      <c r="E13" s="67" t="s">
        <v>574</v>
      </c>
      <c r="F13" s="89" t="s">
        <v>575</v>
      </c>
      <c r="G13" s="90">
        <v>44664</v>
      </c>
      <c r="H13" s="90"/>
      <c r="I13" s="91">
        <v>13443540</v>
      </c>
      <c r="J13" s="91">
        <v>482435</v>
      </c>
      <c r="K13" s="91">
        <v>0</v>
      </c>
      <c r="L13" s="91">
        <v>33826.5</v>
      </c>
      <c r="M13" s="91">
        <v>0</v>
      </c>
      <c r="N13" s="91">
        <v>0</v>
      </c>
      <c r="O13" s="91">
        <v>516261.5</v>
      </c>
      <c r="P13" s="91">
        <v>395308.17999999993</v>
      </c>
      <c r="Q13" s="91">
        <v>0</v>
      </c>
      <c r="R13" s="91">
        <v>11395.12</v>
      </c>
      <c r="S13" s="91">
        <v>7607.56</v>
      </c>
      <c r="T13" s="91">
        <v>2940.23</v>
      </c>
      <c r="U13" s="91">
        <v>417251.08999999991</v>
      </c>
      <c r="V13" s="91">
        <v>99010.409999999989</v>
      </c>
      <c r="W13" s="91">
        <v>953.62</v>
      </c>
      <c r="X13" s="91">
        <v>-27440.53</v>
      </c>
      <c r="Y13" s="119">
        <v>-26486.91</v>
      </c>
      <c r="Z13" s="92">
        <f t="shared" si="0"/>
        <v>125497.31999999999</v>
      </c>
    </row>
    <row r="14" spans="1:26" x14ac:dyDescent="0.2">
      <c r="A14" s="89" t="s">
        <v>148</v>
      </c>
      <c r="B14" s="89" t="s">
        <v>149</v>
      </c>
      <c r="C14" s="89" t="s">
        <v>630</v>
      </c>
      <c r="D14" s="89" t="s">
        <v>631</v>
      </c>
      <c r="E14" s="67" t="s">
        <v>122</v>
      </c>
      <c r="F14" s="89" t="s">
        <v>123</v>
      </c>
      <c r="G14" s="90">
        <v>44674</v>
      </c>
      <c r="H14" s="90"/>
      <c r="I14" s="91">
        <v>2220000</v>
      </c>
      <c r="J14" s="91">
        <v>0</v>
      </c>
      <c r="K14" s="91">
        <v>0</v>
      </c>
      <c r="L14" s="91">
        <v>0</v>
      </c>
      <c r="M14" s="91">
        <v>0</v>
      </c>
      <c r="N14" s="91">
        <v>0</v>
      </c>
      <c r="O14" s="91">
        <v>0</v>
      </c>
      <c r="P14" s="91">
        <v>0</v>
      </c>
      <c r="Q14" s="91">
        <v>0</v>
      </c>
      <c r="R14" s="91">
        <v>0</v>
      </c>
      <c r="S14" s="91">
        <v>3851.82</v>
      </c>
      <c r="T14" s="91">
        <v>0</v>
      </c>
      <c r="U14" s="91">
        <v>3851.82</v>
      </c>
      <c r="V14" s="91">
        <v>-3851.82</v>
      </c>
      <c r="W14" s="91">
        <v>0</v>
      </c>
      <c r="X14" s="91">
        <v>0</v>
      </c>
      <c r="Y14" s="119">
        <v>0</v>
      </c>
      <c r="Z14" s="92">
        <f t="shared" si="0"/>
        <v>-3851.82</v>
      </c>
    </row>
    <row r="15" spans="1:26" x14ac:dyDescent="0.2">
      <c r="A15" s="89" t="s">
        <v>120</v>
      </c>
      <c r="B15" s="89" t="s">
        <v>121</v>
      </c>
      <c r="C15" s="89" t="s">
        <v>630</v>
      </c>
      <c r="D15" s="89" t="s">
        <v>631</v>
      </c>
      <c r="E15" s="67" t="s">
        <v>122</v>
      </c>
      <c r="F15" s="89" t="s">
        <v>123</v>
      </c>
      <c r="G15" s="90">
        <v>44691</v>
      </c>
      <c r="H15" s="90"/>
      <c r="I15" s="91">
        <v>18102000</v>
      </c>
      <c r="J15" s="91">
        <v>0</v>
      </c>
      <c r="K15" s="91">
        <v>0</v>
      </c>
      <c r="L15" s="91">
        <v>0</v>
      </c>
      <c r="M15" s="91">
        <v>0</v>
      </c>
      <c r="N15" s="91">
        <v>0</v>
      </c>
      <c r="O15" s="91">
        <v>0</v>
      </c>
      <c r="P15" s="91">
        <v>0</v>
      </c>
      <c r="Q15" s="91">
        <v>0</v>
      </c>
      <c r="R15" s="91">
        <v>0</v>
      </c>
      <c r="S15" s="91">
        <v>0</v>
      </c>
      <c r="T15" s="91">
        <v>0</v>
      </c>
      <c r="U15" s="91">
        <v>0</v>
      </c>
      <c r="V15" s="91">
        <v>0</v>
      </c>
      <c r="W15" s="91">
        <v>0</v>
      </c>
      <c r="X15" s="91">
        <v>9714.1299999999992</v>
      </c>
      <c r="Y15" s="119">
        <v>9714.1299999999992</v>
      </c>
      <c r="Z15" s="92">
        <f t="shared" si="0"/>
        <v>-9714.1299999999992</v>
      </c>
    </row>
    <row r="16" spans="1:26" x14ac:dyDescent="0.2">
      <c r="A16" s="89" t="s">
        <v>128</v>
      </c>
      <c r="B16" s="89" t="s">
        <v>129</v>
      </c>
      <c r="C16" s="89" t="s">
        <v>630</v>
      </c>
      <c r="D16" s="89" t="s">
        <v>631</v>
      </c>
      <c r="E16" s="67" t="s">
        <v>122</v>
      </c>
      <c r="F16" s="89" t="s">
        <v>123</v>
      </c>
      <c r="G16" s="90">
        <v>44700</v>
      </c>
      <c r="H16" s="90"/>
      <c r="I16" s="91">
        <v>0</v>
      </c>
      <c r="J16" s="91">
        <v>0</v>
      </c>
      <c r="K16" s="91">
        <v>0</v>
      </c>
      <c r="L16" s="91">
        <v>0</v>
      </c>
      <c r="M16" s="91">
        <v>0</v>
      </c>
      <c r="N16" s="91">
        <v>0</v>
      </c>
      <c r="O16" s="91">
        <v>0</v>
      </c>
      <c r="P16" s="91">
        <v>0</v>
      </c>
      <c r="Q16" s="91">
        <v>0</v>
      </c>
      <c r="R16" s="91">
        <v>0</v>
      </c>
      <c r="S16" s="91">
        <v>0</v>
      </c>
      <c r="T16" s="91">
        <v>0</v>
      </c>
      <c r="U16" s="91">
        <v>0</v>
      </c>
      <c r="V16" s="91">
        <v>0</v>
      </c>
      <c r="W16" s="91">
        <v>0</v>
      </c>
      <c r="X16" s="91">
        <v>0</v>
      </c>
      <c r="Y16" s="119">
        <v>0</v>
      </c>
      <c r="Z16" s="92">
        <f t="shared" si="0"/>
        <v>0</v>
      </c>
    </row>
    <row r="17" spans="1:26" x14ac:dyDescent="0.2">
      <c r="A17" s="89" t="s">
        <v>731</v>
      </c>
      <c r="B17" s="89" t="s">
        <v>732</v>
      </c>
      <c r="C17" s="89" t="s">
        <v>630</v>
      </c>
      <c r="D17" s="89" t="s">
        <v>631</v>
      </c>
      <c r="E17" s="67" t="s">
        <v>122</v>
      </c>
      <c r="F17" s="89" t="s">
        <v>123</v>
      </c>
      <c r="G17" s="90">
        <v>44756</v>
      </c>
      <c r="H17" s="90"/>
      <c r="I17" s="91">
        <v>0</v>
      </c>
      <c r="J17" s="91">
        <v>0</v>
      </c>
      <c r="K17" s="91">
        <v>0</v>
      </c>
      <c r="L17" s="91">
        <v>0</v>
      </c>
      <c r="M17" s="91">
        <v>0</v>
      </c>
      <c r="N17" s="91">
        <v>0</v>
      </c>
      <c r="O17" s="91">
        <v>0</v>
      </c>
      <c r="P17" s="91">
        <v>0</v>
      </c>
      <c r="Q17" s="91">
        <v>0</v>
      </c>
      <c r="R17" s="91">
        <v>0</v>
      </c>
      <c r="S17" s="91">
        <v>0</v>
      </c>
      <c r="T17" s="91">
        <v>0</v>
      </c>
      <c r="U17" s="91">
        <v>0</v>
      </c>
      <c r="V17" s="91">
        <v>0</v>
      </c>
      <c r="W17" s="91">
        <v>0</v>
      </c>
      <c r="X17" s="91">
        <v>0</v>
      </c>
      <c r="Y17" s="119">
        <v>0</v>
      </c>
      <c r="Z17" s="92">
        <f t="shared" si="0"/>
        <v>0</v>
      </c>
    </row>
    <row r="18" spans="1:26" x14ac:dyDescent="0.2">
      <c r="A18" s="89" t="s">
        <v>812</v>
      </c>
      <c r="B18" s="89" t="s">
        <v>813</v>
      </c>
      <c r="C18" s="89" t="s">
        <v>630</v>
      </c>
      <c r="D18" s="89" t="s">
        <v>631</v>
      </c>
      <c r="E18" s="67" t="s">
        <v>122</v>
      </c>
      <c r="F18" s="89" t="s">
        <v>123</v>
      </c>
      <c r="G18" s="90">
        <v>44862</v>
      </c>
      <c r="H18" s="90"/>
      <c r="I18" s="91">
        <v>13046990</v>
      </c>
      <c r="J18" s="91">
        <v>0</v>
      </c>
      <c r="K18" s="91">
        <v>0</v>
      </c>
      <c r="L18" s="91">
        <v>0</v>
      </c>
      <c r="M18" s="91">
        <v>0</v>
      </c>
      <c r="N18" s="91">
        <v>0</v>
      </c>
      <c r="O18" s="91">
        <v>0</v>
      </c>
      <c r="P18" s="91">
        <v>0</v>
      </c>
      <c r="Q18" s="91">
        <v>0</v>
      </c>
      <c r="R18" s="91">
        <v>0</v>
      </c>
      <c r="S18" s="91">
        <v>0</v>
      </c>
      <c r="T18" s="91">
        <v>37358.14</v>
      </c>
      <c r="U18" s="91">
        <v>37358.14</v>
      </c>
      <c r="V18" s="91">
        <v>-37358.14</v>
      </c>
      <c r="W18" s="91">
        <v>0</v>
      </c>
      <c r="X18" s="91">
        <v>60549.71</v>
      </c>
      <c r="Y18" s="119">
        <v>60549.71</v>
      </c>
      <c r="Z18" s="92">
        <f t="shared" si="0"/>
        <v>-97907.85</v>
      </c>
    </row>
    <row r="19" spans="1:26" x14ac:dyDescent="0.2">
      <c r="A19" s="89" t="s">
        <v>890</v>
      </c>
      <c r="B19" s="89" t="s">
        <v>891</v>
      </c>
      <c r="C19" s="89" t="s">
        <v>630</v>
      </c>
      <c r="D19" s="89" t="s">
        <v>631</v>
      </c>
      <c r="E19" s="67" t="s">
        <v>892</v>
      </c>
      <c r="F19" s="89" t="s">
        <v>893</v>
      </c>
      <c r="G19" s="90">
        <v>44226</v>
      </c>
      <c r="H19" s="90">
        <v>43940</v>
      </c>
      <c r="I19" s="91">
        <v>0</v>
      </c>
      <c r="J19" s="91">
        <v>0</v>
      </c>
      <c r="K19" s="91">
        <v>0</v>
      </c>
      <c r="L19" s="91">
        <v>0</v>
      </c>
      <c r="M19" s="91">
        <v>0</v>
      </c>
      <c r="N19" s="91">
        <v>0</v>
      </c>
      <c r="O19" s="91">
        <v>0</v>
      </c>
      <c r="P19" s="91">
        <v>0</v>
      </c>
      <c r="Q19" s="91">
        <v>0</v>
      </c>
      <c r="R19" s="91">
        <v>0</v>
      </c>
      <c r="S19" s="91">
        <v>1527.43</v>
      </c>
      <c r="T19" s="91">
        <v>0</v>
      </c>
      <c r="U19" s="91">
        <v>1527.43</v>
      </c>
      <c r="V19" s="91">
        <v>-1527.43</v>
      </c>
      <c r="W19" s="91">
        <v>7524.18</v>
      </c>
      <c r="X19" s="91">
        <v>0</v>
      </c>
      <c r="Y19" s="119">
        <v>7524.18</v>
      </c>
      <c r="Z19" s="92">
        <f t="shared" si="0"/>
        <v>-9051.61</v>
      </c>
    </row>
    <row r="20" spans="1:26" x14ac:dyDescent="0.2">
      <c r="A20" s="89" t="s">
        <v>766</v>
      </c>
      <c r="B20" s="89" t="s">
        <v>767</v>
      </c>
      <c r="C20" s="89" t="s">
        <v>630</v>
      </c>
      <c r="D20" s="89" t="s">
        <v>631</v>
      </c>
      <c r="E20" s="67" t="s">
        <v>208</v>
      </c>
      <c r="F20" s="89" t="s">
        <v>209</v>
      </c>
      <c r="G20" s="90">
        <v>44263</v>
      </c>
      <c r="H20" s="90">
        <v>43396</v>
      </c>
      <c r="I20" s="91">
        <v>491602</v>
      </c>
      <c r="J20" s="91">
        <v>0</v>
      </c>
      <c r="K20" s="91">
        <v>0</v>
      </c>
      <c r="L20" s="91">
        <v>0</v>
      </c>
      <c r="M20" s="91">
        <v>0</v>
      </c>
      <c r="N20" s="91">
        <v>0</v>
      </c>
      <c r="O20" s="91">
        <v>0</v>
      </c>
      <c r="P20" s="91">
        <v>0</v>
      </c>
      <c r="Q20" s="91">
        <v>0</v>
      </c>
      <c r="R20" s="91">
        <v>0</v>
      </c>
      <c r="S20" s="91">
        <v>0</v>
      </c>
      <c r="T20" s="91">
        <v>0</v>
      </c>
      <c r="U20" s="91">
        <v>0</v>
      </c>
      <c r="V20" s="91">
        <v>0</v>
      </c>
      <c r="W20" s="91">
        <v>0</v>
      </c>
      <c r="X20" s="91">
        <v>0</v>
      </c>
      <c r="Y20" s="119">
        <v>0</v>
      </c>
      <c r="Z20" s="92">
        <f t="shared" si="0"/>
        <v>0</v>
      </c>
    </row>
    <row r="21" spans="1:26" x14ac:dyDescent="0.2">
      <c r="A21" s="89" t="s">
        <v>544</v>
      </c>
      <c r="B21" s="89" t="s">
        <v>545</v>
      </c>
      <c r="C21" s="89" t="s">
        <v>630</v>
      </c>
      <c r="D21" s="89" t="s">
        <v>631</v>
      </c>
      <c r="E21" s="67" t="s">
        <v>208</v>
      </c>
      <c r="F21" s="89" t="s">
        <v>209</v>
      </c>
      <c r="G21" s="90">
        <v>44226</v>
      </c>
      <c r="H21" s="90">
        <v>44629</v>
      </c>
      <c r="I21" s="91">
        <v>692300</v>
      </c>
      <c r="J21" s="91">
        <v>0</v>
      </c>
      <c r="K21" s="91">
        <v>0</v>
      </c>
      <c r="L21" s="91">
        <v>0</v>
      </c>
      <c r="M21" s="91">
        <v>0</v>
      </c>
      <c r="N21" s="91">
        <v>0</v>
      </c>
      <c r="O21" s="91">
        <v>0</v>
      </c>
      <c r="P21" s="91">
        <v>0</v>
      </c>
      <c r="Q21" s="91">
        <v>0</v>
      </c>
      <c r="R21" s="91">
        <v>0</v>
      </c>
      <c r="S21" s="91">
        <v>0</v>
      </c>
      <c r="T21" s="91">
        <v>0</v>
      </c>
      <c r="U21" s="91">
        <v>0</v>
      </c>
      <c r="V21" s="91">
        <v>0</v>
      </c>
      <c r="W21" s="91">
        <v>0</v>
      </c>
      <c r="X21" s="91">
        <v>0</v>
      </c>
      <c r="Y21" s="119">
        <v>0</v>
      </c>
      <c r="Z21" s="92">
        <f t="shared" si="0"/>
        <v>0</v>
      </c>
    </row>
    <row r="22" spans="1:26" x14ac:dyDescent="0.2">
      <c r="A22" s="89" t="s">
        <v>896</v>
      </c>
      <c r="B22" s="89" t="s">
        <v>897</v>
      </c>
      <c r="C22" s="89" t="s">
        <v>630</v>
      </c>
      <c r="D22" s="89" t="s">
        <v>631</v>
      </c>
      <c r="E22" s="67" t="s">
        <v>96</v>
      </c>
      <c r="F22" s="89" t="s">
        <v>97</v>
      </c>
      <c r="G22" s="90">
        <v>45000</v>
      </c>
      <c r="H22" s="90"/>
      <c r="I22" s="91">
        <v>535000</v>
      </c>
      <c r="J22" s="91">
        <v>0</v>
      </c>
      <c r="K22" s="91">
        <v>0</v>
      </c>
      <c r="L22" s="91">
        <v>0</v>
      </c>
      <c r="M22" s="91">
        <v>0</v>
      </c>
      <c r="N22" s="91">
        <v>0</v>
      </c>
      <c r="O22" s="91">
        <v>0</v>
      </c>
      <c r="P22" s="91">
        <v>0</v>
      </c>
      <c r="Q22" s="91">
        <v>0</v>
      </c>
      <c r="R22" s="91">
        <v>0</v>
      </c>
      <c r="S22" s="91">
        <v>4218.6000000000004</v>
      </c>
      <c r="T22" s="91">
        <v>-46657.490000000005</v>
      </c>
      <c r="U22" s="91">
        <v>-42438.890000000007</v>
      </c>
      <c r="V22" s="91">
        <v>42438.89</v>
      </c>
      <c r="W22" s="91">
        <v>35227.68</v>
      </c>
      <c r="X22" s="91">
        <v>0</v>
      </c>
      <c r="Y22" s="119">
        <v>35227.68</v>
      </c>
      <c r="Z22" s="92">
        <f t="shared" si="0"/>
        <v>7211.2099999999991</v>
      </c>
    </row>
    <row r="23" spans="1:26" x14ac:dyDescent="0.2">
      <c r="A23" s="89" t="s">
        <v>268</v>
      </c>
      <c r="B23" s="89" t="s">
        <v>269</v>
      </c>
      <c r="C23" s="89" t="s">
        <v>630</v>
      </c>
      <c r="D23" s="89" t="s">
        <v>631</v>
      </c>
      <c r="E23" s="67">
        <v>781</v>
      </c>
      <c r="F23" s="89" t="s">
        <v>267</v>
      </c>
      <c r="G23" s="90">
        <v>44369</v>
      </c>
      <c r="H23" s="90">
        <v>44384</v>
      </c>
      <c r="I23" s="91">
        <v>0</v>
      </c>
      <c r="J23" s="91">
        <v>0</v>
      </c>
      <c r="K23" s="91">
        <v>0</v>
      </c>
      <c r="L23" s="91">
        <v>0</v>
      </c>
      <c r="M23" s="91">
        <v>0</v>
      </c>
      <c r="N23" s="91">
        <v>0</v>
      </c>
      <c r="O23" s="91">
        <v>0</v>
      </c>
      <c r="P23" s="91">
        <v>0</v>
      </c>
      <c r="Q23" s="91">
        <v>0</v>
      </c>
      <c r="R23" s="91">
        <v>0</v>
      </c>
      <c r="S23" s="91">
        <v>0</v>
      </c>
      <c r="T23" s="91">
        <v>0</v>
      </c>
      <c r="U23" s="91">
        <v>0</v>
      </c>
      <c r="V23" s="91">
        <v>0</v>
      </c>
      <c r="W23" s="91">
        <v>0</v>
      </c>
      <c r="X23" s="91">
        <v>59.510000000000005</v>
      </c>
      <c r="Y23" s="119">
        <v>59.510000000000005</v>
      </c>
      <c r="Z23" s="92">
        <f t="shared" si="0"/>
        <v>-59.510000000000005</v>
      </c>
    </row>
    <row r="24" spans="1:26" x14ac:dyDescent="0.2">
      <c r="A24" s="89" t="s">
        <v>301</v>
      </c>
      <c r="B24" s="89" t="s">
        <v>302</v>
      </c>
      <c r="C24" s="89" t="s">
        <v>630</v>
      </c>
      <c r="D24" s="89" t="s">
        <v>631</v>
      </c>
      <c r="E24" s="67" t="s">
        <v>303</v>
      </c>
      <c r="F24" s="89" t="s">
        <v>304</v>
      </c>
      <c r="G24" s="90">
        <v>44302</v>
      </c>
      <c r="H24" s="90">
        <v>44315</v>
      </c>
      <c r="I24" s="91">
        <v>0</v>
      </c>
      <c r="J24" s="91">
        <v>0</v>
      </c>
      <c r="K24" s="91">
        <v>0</v>
      </c>
      <c r="L24" s="91">
        <v>0</v>
      </c>
      <c r="M24" s="91">
        <v>0</v>
      </c>
      <c r="N24" s="91">
        <v>0</v>
      </c>
      <c r="O24" s="91">
        <v>0</v>
      </c>
      <c r="P24" s="91">
        <v>0</v>
      </c>
      <c r="Q24" s="91">
        <v>0</v>
      </c>
      <c r="R24" s="91">
        <v>0</v>
      </c>
      <c r="S24" s="91">
        <v>0</v>
      </c>
      <c r="T24" s="91">
        <v>0</v>
      </c>
      <c r="U24" s="91">
        <v>0</v>
      </c>
      <c r="V24" s="91">
        <v>0</v>
      </c>
      <c r="W24" s="91">
        <v>0</v>
      </c>
      <c r="X24" s="91">
        <v>42.17</v>
      </c>
      <c r="Y24" s="119">
        <v>42.17</v>
      </c>
      <c r="Z24" s="92">
        <f t="shared" si="0"/>
        <v>-42.17</v>
      </c>
    </row>
    <row r="25" spans="1:26" x14ac:dyDescent="0.2">
      <c r="A25" s="89" t="s">
        <v>936</v>
      </c>
      <c r="B25" s="89" t="s">
        <v>946</v>
      </c>
      <c r="C25" s="89" t="s">
        <v>630</v>
      </c>
      <c r="D25" s="89" t="s">
        <v>631</v>
      </c>
      <c r="E25" s="67" t="s">
        <v>955</v>
      </c>
      <c r="F25" s="89" t="s">
        <v>956</v>
      </c>
      <c r="G25" s="90">
        <v>45008</v>
      </c>
      <c r="H25" s="90"/>
      <c r="I25" s="91">
        <v>1015890</v>
      </c>
      <c r="J25" s="91">
        <v>806904</v>
      </c>
      <c r="K25" s="91">
        <v>0</v>
      </c>
      <c r="L25" s="91">
        <v>7924.17</v>
      </c>
      <c r="M25" s="91">
        <v>381909</v>
      </c>
      <c r="N25" s="91">
        <v>0</v>
      </c>
      <c r="O25" s="91">
        <v>1196737.17</v>
      </c>
      <c r="P25" s="91">
        <v>805393.73</v>
      </c>
      <c r="Q25" s="91">
        <v>274002.17</v>
      </c>
      <c r="R25" s="91">
        <v>0</v>
      </c>
      <c r="S25" s="91">
        <v>18964.48</v>
      </c>
      <c r="T25" s="91">
        <v>44457.55999999999</v>
      </c>
      <c r="U25" s="91">
        <v>1142817.94</v>
      </c>
      <c r="V25" s="91">
        <v>53919.22999999993</v>
      </c>
      <c r="W25" s="91">
        <v>3016.7</v>
      </c>
      <c r="X25" s="91">
        <v>69012.670000000013</v>
      </c>
      <c r="Y25" s="119">
        <v>72029.37000000001</v>
      </c>
      <c r="Z25" s="92">
        <f t="shared" si="0"/>
        <v>-18110.140000000079</v>
      </c>
    </row>
    <row r="26" spans="1:26" x14ac:dyDescent="0.2">
      <c r="A26" s="89" t="s">
        <v>782</v>
      </c>
      <c r="B26" s="89" t="s">
        <v>783</v>
      </c>
      <c r="C26" s="89" t="s">
        <v>630</v>
      </c>
      <c r="D26" s="89" t="s">
        <v>631</v>
      </c>
      <c r="E26" s="67" t="s">
        <v>784</v>
      </c>
      <c r="F26" s="89" t="s">
        <v>785</v>
      </c>
      <c r="G26" s="90">
        <v>44833</v>
      </c>
      <c r="H26" s="90"/>
      <c r="I26" s="91">
        <v>4192000</v>
      </c>
      <c r="J26" s="91">
        <v>823788.54</v>
      </c>
      <c r="K26" s="91">
        <v>0</v>
      </c>
      <c r="L26" s="91">
        <v>0</v>
      </c>
      <c r="M26" s="91">
        <v>0</v>
      </c>
      <c r="N26" s="91">
        <v>0</v>
      </c>
      <c r="O26" s="91">
        <v>823788.54</v>
      </c>
      <c r="P26" s="91">
        <v>7488.99</v>
      </c>
      <c r="Q26" s="91">
        <v>0</v>
      </c>
      <c r="R26" s="91">
        <v>0</v>
      </c>
      <c r="S26" s="91">
        <v>0</v>
      </c>
      <c r="T26" s="91">
        <v>0</v>
      </c>
      <c r="U26" s="91">
        <v>7488.99</v>
      </c>
      <c r="V26" s="91">
        <v>816299.55</v>
      </c>
      <c r="W26" s="91">
        <v>1381.67</v>
      </c>
      <c r="X26" s="91">
        <v>8889.7900000000009</v>
      </c>
      <c r="Y26" s="119">
        <v>10271.460000000001</v>
      </c>
      <c r="Z26" s="92">
        <f t="shared" si="0"/>
        <v>806028.09000000008</v>
      </c>
    </row>
    <row r="27" spans="1:26" x14ac:dyDescent="0.2">
      <c r="A27" s="89" t="s">
        <v>973</v>
      </c>
      <c r="B27" s="89" t="s">
        <v>974</v>
      </c>
      <c r="C27" s="89" t="s">
        <v>630</v>
      </c>
      <c r="D27" s="89" t="s">
        <v>631</v>
      </c>
      <c r="E27" s="67" t="s">
        <v>122</v>
      </c>
      <c r="F27" s="89" t="s">
        <v>975</v>
      </c>
      <c r="G27" s="90">
        <v>45117</v>
      </c>
      <c r="H27" s="90"/>
      <c r="I27" s="91">
        <v>424944.8</v>
      </c>
      <c r="J27" s="91">
        <v>0</v>
      </c>
      <c r="K27" s="91">
        <v>0</v>
      </c>
      <c r="L27" s="91">
        <v>98007</v>
      </c>
      <c r="M27" s="91">
        <v>0</v>
      </c>
      <c r="N27" s="91">
        <v>0</v>
      </c>
      <c r="O27" s="91">
        <v>98007</v>
      </c>
      <c r="P27" s="91">
        <v>0</v>
      </c>
      <c r="Q27" s="91">
        <v>0</v>
      </c>
      <c r="R27" s="91">
        <v>0</v>
      </c>
      <c r="S27" s="91">
        <v>0</v>
      </c>
      <c r="T27" s="91">
        <v>0</v>
      </c>
      <c r="U27" s="91">
        <v>0</v>
      </c>
      <c r="V27" s="91">
        <v>98007</v>
      </c>
      <c r="W27" s="91">
        <v>30497.73</v>
      </c>
      <c r="X27" s="91">
        <v>0</v>
      </c>
      <c r="Y27" s="119">
        <v>30497.73</v>
      </c>
      <c r="Z27" s="92">
        <f t="shared" si="0"/>
        <v>67509.27</v>
      </c>
    </row>
    <row r="28" spans="1:26" x14ac:dyDescent="0.2">
      <c r="A28" s="89" t="s">
        <v>436</v>
      </c>
      <c r="B28" s="89" t="s">
        <v>437</v>
      </c>
      <c r="C28" s="89" t="s">
        <v>630</v>
      </c>
      <c r="D28" s="89" t="s">
        <v>631</v>
      </c>
      <c r="E28" s="67">
        <v>293</v>
      </c>
      <c r="F28" s="89" t="s">
        <v>435</v>
      </c>
      <c r="G28" s="90">
        <v>44226</v>
      </c>
      <c r="H28" s="90">
        <v>42983</v>
      </c>
      <c r="I28" s="91">
        <v>0</v>
      </c>
      <c r="J28" s="91">
        <v>0</v>
      </c>
      <c r="K28" s="91">
        <v>0</v>
      </c>
      <c r="L28" s="91">
        <v>0</v>
      </c>
      <c r="M28" s="91">
        <v>0</v>
      </c>
      <c r="N28" s="91">
        <v>0</v>
      </c>
      <c r="O28" s="91">
        <v>0</v>
      </c>
      <c r="P28" s="91">
        <v>0</v>
      </c>
      <c r="Q28" s="91">
        <v>0</v>
      </c>
      <c r="R28" s="91">
        <v>0</v>
      </c>
      <c r="S28" s="91">
        <v>0</v>
      </c>
      <c r="T28" s="91">
        <v>0</v>
      </c>
      <c r="U28" s="91">
        <v>0</v>
      </c>
      <c r="V28" s="91">
        <v>0</v>
      </c>
      <c r="W28" s="91">
        <v>0</v>
      </c>
      <c r="X28" s="91">
        <v>0</v>
      </c>
      <c r="Y28" s="119">
        <v>0</v>
      </c>
      <c r="Z28" s="92">
        <f t="shared" si="0"/>
        <v>0</v>
      </c>
    </row>
    <row r="29" spans="1:26" x14ac:dyDescent="0.2">
      <c r="A29" s="89" t="s">
        <v>1004</v>
      </c>
      <c r="B29" s="89" t="s">
        <v>1005</v>
      </c>
      <c r="C29" s="89" t="s">
        <v>630</v>
      </c>
      <c r="D29" s="89" t="s">
        <v>631</v>
      </c>
      <c r="E29" s="67" t="s">
        <v>122</v>
      </c>
      <c r="F29" s="89" t="s">
        <v>975</v>
      </c>
      <c r="G29" s="90">
        <v>45124</v>
      </c>
      <c r="H29" s="90"/>
      <c r="I29" s="91">
        <v>1480000</v>
      </c>
      <c r="J29" s="91">
        <v>1163690</v>
      </c>
      <c r="K29" s="91">
        <v>0</v>
      </c>
      <c r="L29" s="91">
        <v>0</v>
      </c>
      <c r="M29" s="91">
        <v>0</v>
      </c>
      <c r="N29" s="91">
        <v>0</v>
      </c>
      <c r="O29" s="91">
        <v>1163690</v>
      </c>
      <c r="P29" s="91">
        <v>887665.2</v>
      </c>
      <c r="Q29" s="91">
        <v>0</v>
      </c>
      <c r="R29" s="91">
        <v>0</v>
      </c>
      <c r="S29" s="91">
        <v>0</v>
      </c>
      <c r="T29" s="91">
        <v>0</v>
      </c>
      <c r="U29" s="91">
        <v>887665.2</v>
      </c>
      <c r="V29" s="91">
        <v>276024.80000000005</v>
      </c>
      <c r="W29" s="91">
        <v>0</v>
      </c>
      <c r="X29" s="91">
        <v>0</v>
      </c>
      <c r="Y29" s="119">
        <v>0</v>
      </c>
      <c r="Z29" s="92">
        <f t="shared" si="0"/>
        <v>276024.80000000005</v>
      </c>
    </row>
    <row r="30" spans="1:26" x14ac:dyDescent="0.2">
      <c r="A30" s="89" t="s">
        <v>1095</v>
      </c>
      <c r="B30" s="89" t="s">
        <v>1096</v>
      </c>
      <c r="C30" s="89" t="s">
        <v>630</v>
      </c>
      <c r="D30" s="89" t="s">
        <v>631</v>
      </c>
      <c r="E30" s="67" t="s">
        <v>1085</v>
      </c>
      <c r="F30" s="89" t="s">
        <v>1086</v>
      </c>
      <c r="G30" s="90">
        <v>45191</v>
      </c>
      <c r="H30" s="90"/>
      <c r="I30" s="91">
        <v>885335</v>
      </c>
      <c r="J30" s="91">
        <v>418965.51</v>
      </c>
      <c r="K30" s="91">
        <v>0</v>
      </c>
      <c r="L30" s="91">
        <v>0</v>
      </c>
      <c r="M30" s="91">
        <v>0</v>
      </c>
      <c r="N30" s="91">
        <v>0</v>
      </c>
      <c r="O30" s="91">
        <v>418965.51</v>
      </c>
      <c r="P30" s="91">
        <v>453987.07</v>
      </c>
      <c r="Q30" s="91">
        <v>0</v>
      </c>
      <c r="R30" s="91">
        <v>0</v>
      </c>
      <c r="S30" s="91">
        <v>11403.08</v>
      </c>
      <c r="T30" s="91">
        <v>98638.939999999988</v>
      </c>
      <c r="U30" s="91">
        <v>564029.09</v>
      </c>
      <c r="V30" s="91">
        <v>-145063.57999999999</v>
      </c>
      <c r="W30" s="91">
        <v>3926.51</v>
      </c>
      <c r="X30" s="91">
        <v>0</v>
      </c>
      <c r="Y30" s="119">
        <v>3926.51</v>
      </c>
      <c r="Z30" s="92">
        <f t="shared" si="0"/>
        <v>-148990.09</v>
      </c>
    </row>
    <row r="31" spans="1:26" x14ac:dyDescent="0.2">
      <c r="A31" s="89" t="s">
        <v>1040</v>
      </c>
      <c r="B31" s="89" t="s">
        <v>1041</v>
      </c>
      <c r="C31" s="89" t="s">
        <v>630</v>
      </c>
      <c r="D31" s="89" t="s">
        <v>631</v>
      </c>
      <c r="E31" s="67" t="s">
        <v>1042</v>
      </c>
      <c r="F31" s="89" t="s">
        <v>1043</v>
      </c>
      <c r="G31" s="90">
        <v>45210</v>
      </c>
      <c r="H31" s="90"/>
      <c r="I31" s="91">
        <v>187500</v>
      </c>
      <c r="J31" s="91">
        <v>20047.54</v>
      </c>
      <c r="K31" s="91">
        <v>0</v>
      </c>
      <c r="L31" s="91">
        <v>0</v>
      </c>
      <c r="M31" s="91">
        <v>0</v>
      </c>
      <c r="N31" s="91">
        <v>0</v>
      </c>
      <c r="O31" s="91">
        <v>20047.54</v>
      </c>
      <c r="P31" s="91">
        <v>213052.86</v>
      </c>
      <c r="Q31" s="91">
        <v>0</v>
      </c>
      <c r="R31" s="91">
        <v>0</v>
      </c>
      <c r="S31" s="91">
        <v>0</v>
      </c>
      <c r="T31" s="91">
        <v>-22762.149999999998</v>
      </c>
      <c r="U31" s="91">
        <v>190290.71</v>
      </c>
      <c r="V31" s="91">
        <v>-170243.16999999998</v>
      </c>
      <c r="W31" s="91">
        <v>0</v>
      </c>
      <c r="X31" s="91">
        <v>0</v>
      </c>
      <c r="Y31" s="119">
        <v>0</v>
      </c>
      <c r="Z31" s="92">
        <f t="shared" si="0"/>
        <v>-170243.16999999998</v>
      </c>
    </row>
    <row r="32" spans="1:26" x14ac:dyDescent="0.2">
      <c r="A32" s="89" t="s">
        <v>1083</v>
      </c>
      <c r="B32" s="89" t="s">
        <v>1084</v>
      </c>
      <c r="C32" s="89" t="s">
        <v>630</v>
      </c>
      <c r="D32" s="89" t="s">
        <v>631</v>
      </c>
      <c r="E32" s="67" t="s">
        <v>1085</v>
      </c>
      <c r="F32" s="89" t="s">
        <v>1086</v>
      </c>
      <c r="G32" s="90">
        <v>45187</v>
      </c>
      <c r="H32" s="90"/>
      <c r="I32" s="91">
        <v>231000</v>
      </c>
      <c r="J32" s="91">
        <v>237916.6</v>
      </c>
      <c r="K32" s="91">
        <v>0</v>
      </c>
      <c r="L32" s="91">
        <v>0</v>
      </c>
      <c r="M32" s="91">
        <v>0</v>
      </c>
      <c r="N32" s="91">
        <v>0</v>
      </c>
      <c r="O32" s="91">
        <v>237916.6</v>
      </c>
      <c r="P32" s="91">
        <v>3341.26</v>
      </c>
      <c r="Q32" s="91">
        <v>0</v>
      </c>
      <c r="R32" s="91">
        <v>0</v>
      </c>
      <c r="S32" s="91">
        <v>6005.42</v>
      </c>
      <c r="T32" s="91">
        <v>-2653.37</v>
      </c>
      <c r="U32" s="91">
        <v>6693.31</v>
      </c>
      <c r="V32" s="91">
        <v>231223.29</v>
      </c>
      <c r="W32" s="91">
        <v>0</v>
      </c>
      <c r="X32" s="91">
        <v>0</v>
      </c>
      <c r="Y32" s="119">
        <v>0</v>
      </c>
      <c r="Z32" s="92">
        <f t="shared" si="0"/>
        <v>231223.29</v>
      </c>
    </row>
    <row r="33" spans="1:26" x14ac:dyDescent="0.2">
      <c r="A33" s="89" t="s">
        <v>1025</v>
      </c>
      <c r="B33" s="89" t="s">
        <v>1026</v>
      </c>
      <c r="C33" s="89" t="s">
        <v>630</v>
      </c>
      <c r="D33" s="89" t="s">
        <v>631</v>
      </c>
      <c r="E33" s="67" t="s">
        <v>122</v>
      </c>
      <c r="F33" s="89" t="s">
        <v>975</v>
      </c>
      <c r="G33" s="90">
        <v>45149</v>
      </c>
      <c r="H33" s="90"/>
      <c r="I33" s="91">
        <v>715000</v>
      </c>
      <c r="J33" s="91">
        <v>622214.89</v>
      </c>
      <c r="K33" s="91">
        <v>0</v>
      </c>
      <c r="L33" s="91">
        <v>0</v>
      </c>
      <c r="M33" s="91">
        <v>57715.9</v>
      </c>
      <c r="N33" s="91">
        <v>0</v>
      </c>
      <c r="O33" s="91">
        <v>679930.79</v>
      </c>
      <c r="P33" s="91">
        <v>553646.64</v>
      </c>
      <c r="Q33" s="91">
        <v>0</v>
      </c>
      <c r="R33" s="91">
        <v>0</v>
      </c>
      <c r="S33" s="91">
        <v>56155.41</v>
      </c>
      <c r="T33" s="91">
        <v>48650.879999999997</v>
      </c>
      <c r="U33" s="91">
        <v>658452.93000000005</v>
      </c>
      <c r="V33" s="91">
        <v>21477.859999999986</v>
      </c>
      <c r="W33" s="91">
        <v>0</v>
      </c>
      <c r="X33" s="91">
        <v>0</v>
      </c>
      <c r="Y33" s="119">
        <v>0</v>
      </c>
      <c r="Z33" s="92">
        <f t="shared" si="0"/>
        <v>21477.859999999986</v>
      </c>
    </row>
    <row r="34" spans="1:26" x14ac:dyDescent="0.2">
      <c r="A34" s="89" t="s">
        <v>1128</v>
      </c>
      <c r="B34" s="89" t="s">
        <v>239</v>
      </c>
      <c r="C34" s="89" t="s">
        <v>630</v>
      </c>
      <c r="D34" s="89" t="s">
        <v>631</v>
      </c>
      <c r="E34" s="67" t="s">
        <v>1129</v>
      </c>
      <c r="F34" s="89" t="s">
        <v>1130</v>
      </c>
      <c r="G34" s="90">
        <v>45314</v>
      </c>
      <c r="H34" s="90"/>
      <c r="I34" s="91">
        <v>160000</v>
      </c>
      <c r="J34" s="91">
        <v>0</v>
      </c>
      <c r="K34" s="91">
        <v>0</v>
      </c>
      <c r="L34" s="91">
        <v>62625.69</v>
      </c>
      <c r="M34" s="91">
        <v>91693.62</v>
      </c>
      <c r="N34" s="91">
        <v>0</v>
      </c>
      <c r="O34" s="91">
        <v>154319.31</v>
      </c>
      <c r="P34" s="91">
        <v>21345.75</v>
      </c>
      <c r="Q34" s="91">
        <v>0</v>
      </c>
      <c r="R34" s="91">
        <v>0</v>
      </c>
      <c r="S34" s="91">
        <v>139231.28</v>
      </c>
      <c r="T34" s="91">
        <v>81160.11</v>
      </c>
      <c r="U34" s="91">
        <v>241737.14</v>
      </c>
      <c r="V34" s="91">
        <v>-87417.830000000016</v>
      </c>
      <c r="W34" s="91">
        <v>2195.69</v>
      </c>
      <c r="X34" s="91">
        <v>0</v>
      </c>
      <c r="Y34" s="119">
        <v>2195.69</v>
      </c>
      <c r="Z34" s="92">
        <f t="shared" si="0"/>
        <v>-89613.520000000019</v>
      </c>
    </row>
    <row r="35" spans="1:26" x14ac:dyDescent="0.2">
      <c r="A35" s="89" t="s">
        <v>1208</v>
      </c>
      <c r="B35" s="89" t="s">
        <v>1127</v>
      </c>
      <c r="C35" s="89" t="s">
        <v>630</v>
      </c>
      <c r="D35" s="89" t="s">
        <v>631</v>
      </c>
      <c r="E35" s="67" t="s">
        <v>96</v>
      </c>
      <c r="F35" s="89" t="s">
        <v>97</v>
      </c>
      <c r="G35" s="90">
        <v>45296</v>
      </c>
      <c r="H35" s="90"/>
      <c r="I35" s="91">
        <v>480000</v>
      </c>
      <c r="J35" s="91">
        <v>0</v>
      </c>
      <c r="K35" s="91">
        <v>0</v>
      </c>
      <c r="L35" s="91">
        <v>5071.53</v>
      </c>
      <c r="M35" s="91">
        <v>0</v>
      </c>
      <c r="N35" s="91">
        <v>0</v>
      </c>
      <c r="O35" s="91">
        <v>5071.53</v>
      </c>
      <c r="P35" s="91">
        <v>22328.52</v>
      </c>
      <c r="Q35" s="91">
        <v>0</v>
      </c>
      <c r="R35" s="91">
        <v>0</v>
      </c>
      <c r="S35" s="91">
        <v>51782.69</v>
      </c>
      <c r="T35" s="91">
        <v>-6107.87</v>
      </c>
      <c r="U35" s="91">
        <v>68003.340000000011</v>
      </c>
      <c r="V35" s="91">
        <v>-62931.81</v>
      </c>
      <c r="W35" s="91">
        <v>0</v>
      </c>
      <c r="X35" s="91">
        <v>0</v>
      </c>
      <c r="Y35" s="119">
        <v>0</v>
      </c>
      <c r="Z35" s="92">
        <f t="shared" si="0"/>
        <v>-62931.81</v>
      </c>
    </row>
    <row r="36" spans="1:26" x14ac:dyDescent="0.2">
      <c r="A36" s="89" t="s">
        <v>1206</v>
      </c>
      <c r="B36" s="89" t="s">
        <v>1207</v>
      </c>
      <c r="C36" s="89" t="s">
        <v>630</v>
      </c>
      <c r="D36" s="89" t="s">
        <v>631</v>
      </c>
      <c r="E36" s="67" t="s">
        <v>122</v>
      </c>
      <c r="F36" s="89" t="s">
        <v>975</v>
      </c>
      <c r="G36" s="90">
        <v>45280</v>
      </c>
      <c r="H36" s="90"/>
      <c r="I36" s="91">
        <v>1600000</v>
      </c>
      <c r="J36" s="91">
        <v>1039870.69</v>
      </c>
      <c r="K36" s="91">
        <v>0</v>
      </c>
      <c r="L36" s="91">
        <v>84912.82</v>
      </c>
      <c r="M36" s="91">
        <v>0</v>
      </c>
      <c r="N36" s="91">
        <v>0</v>
      </c>
      <c r="O36" s="91">
        <v>1124783.5099999998</v>
      </c>
      <c r="P36" s="91">
        <v>828663.79</v>
      </c>
      <c r="Q36" s="91">
        <v>0</v>
      </c>
      <c r="R36" s="91">
        <v>475.94</v>
      </c>
      <c r="S36" s="91">
        <v>15022.11</v>
      </c>
      <c r="T36" s="91">
        <v>24247.75</v>
      </c>
      <c r="U36" s="91">
        <v>868409.59</v>
      </c>
      <c r="V36" s="91">
        <v>256373.91999999993</v>
      </c>
      <c r="W36" s="91">
        <v>0</v>
      </c>
      <c r="X36" s="91">
        <v>0</v>
      </c>
      <c r="Y36" s="119">
        <v>0</v>
      </c>
      <c r="Z36" s="92">
        <f t="shared" si="0"/>
        <v>256373.91999999993</v>
      </c>
    </row>
    <row r="37" spans="1:26" x14ac:dyDescent="0.2">
      <c r="A37" s="89" t="s">
        <v>1215</v>
      </c>
      <c r="B37" s="89" t="s">
        <v>1216</v>
      </c>
      <c r="C37" s="89" t="s">
        <v>630</v>
      </c>
      <c r="D37" s="89" t="s">
        <v>631</v>
      </c>
      <c r="E37" s="67" t="s">
        <v>122</v>
      </c>
      <c r="F37" s="89" t="s">
        <v>975</v>
      </c>
      <c r="G37" s="90">
        <v>45303</v>
      </c>
      <c r="H37" s="90"/>
      <c r="I37" s="91">
        <v>103000</v>
      </c>
      <c r="J37" s="91">
        <v>0</v>
      </c>
      <c r="K37" s="91">
        <v>0</v>
      </c>
      <c r="L37" s="91">
        <v>0</v>
      </c>
      <c r="M37" s="91">
        <v>0</v>
      </c>
      <c r="N37" s="91">
        <v>0</v>
      </c>
      <c r="O37" s="91">
        <v>0</v>
      </c>
      <c r="P37" s="91">
        <v>0</v>
      </c>
      <c r="Q37" s="91">
        <v>0</v>
      </c>
      <c r="R37" s="91">
        <v>0</v>
      </c>
      <c r="S37" s="91">
        <v>3466.64</v>
      </c>
      <c r="T37" s="91">
        <v>356.96000000000004</v>
      </c>
      <c r="U37" s="91">
        <v>3823.6</v>
      </c>
      <c r="V37" s="91">
        <v>-3823.6</v>
      </c>
      <c r="W37" s="91">
        <v>0</v>
      </c>
      <c r="X37" s="91">
        <v>0</v>
      </c>
      <c r="Y37" s="119">
        <v>0</v>
      </c>
      <c r="Z37" s="92">
        <f t="shared" si="0"/>
        <v>-3823.6</v>
      </c>
    </row>
    <row r="38" spans="1:26" x14ac:dyDescent="0.2">
      <c r="A38" s="89" t="s">
        <v>1052</v>
      </c>
      <c r="B38" s="89" t="s">
        <v>1053</v>
      </c>
      <c r="C38" s="89" t="s">
        <v>630</v>
      </c>
      <c r="D38" s="89" t="s">
        <v>631</v>
      </c>
      <c r="E38" s="67" t="s">
        <v>122</v>
      </c>
      <c r="F38" s="89" t="s">
        <v>975</v>
      </c>
      <c r="G38" s="90">
        <v>45243</v>
      </c>
      <c r="H38" s="90"/>
      <c r="I38" s="91">
        <v>318000</v>
      </c>
      <c r="J38" s="91">
        <v>260775.86</v>
      </c>
      <c r="K38" s="91">
        <v>0</v>
      </c>
      <c r="L38" s="91">
        <v>0</v>
      </c>
      <c r="M38" s="91">
        <v>0</v>
      </c>
      <c r="N38" s="91">
        <v>1349.51</v>
      </c>
      <c r="O38" s="91">
        <v>262125.37</v>
      </c>
      <c r="P38" s="91">
        <v>301724.14</v>
      </c>
      <c r="Q38" s="91">
        <v>0</v>
      </c>
      <c r="R38" s="91">
        <v>0</v>
      </c>
      <c r="S38" s="91">
        <v>0</v>
      </c>
      <c r="T38" s="91">
        <v>2364.63</v>
      </c>
      <c r="U38" s="91">
        <v>304088.77</v>
      </c>
      <c r="V38" s="91">
        <v>-41963.400000000031</v>
      </c>
      <c r="W38" s="91">
        <v>0</v>
      </c>
      <c r="X38" s="91">
        <v>0</v>
      </c>
      <c r="Y38" s="119">
        <v>0</v>
      </c>
      <c r="Z38" s="92">
        <f t="shared" si="0"/>
        <v>-41963.400000000031</v>
      </c>
    </row>
    <row r="39" spans="1:26" x14ac:dyDescent="0.2">
      <c r="A39" s="89" t="s">
        <v>1257</v>
      </c>
      <c r="B39" s="89" t="s">
        <v>1258</v>
      </c>
      <c r="C39" s="89" t="s">
        <v>630</v>
      </c>
      <c r="D39" s="89" t="s">
        <v>631</v>
      </c>
      <c r="E39" s="67" t="s">
        <v>1259</v>
      </c>
      <c r="F39" s="89" t="s">
        <v>1260</v>
      </c>
      <c r="G39" s="90">
        <v>45280</v>
      </c>
      <c r="H39" s="90"/>
      <c r="I39" s="91">
        <v>60000</v>
      </c>
      <c r="J39" s="91">
        <v>0</v>
      </c>
      <c r="K39" s="91">
        <v>0</v>
      </c>
      <c r="L39" s="91">
        <v>0</v>
      </c>
      <c r="M39" s="91">
        <v>0</v>
      </c>
      <c r="N39" s="91">
        <v>0</v>
      </c>
      <c r="O39" s="91">
        <v>0</v>
      </c>
      <c r="P39" s="91">
        <v>0</v>
      </c>
      <c r="Q39" s="91">
        <v>0</v>
      </c>
      <c r="R39" s="91">
        <v>0</v>
      </c>
      <c r="S39" s="91">
        <v>11509.24</v>
      </c>
      <c r="T39" s="91">
        <v>4072.83</v>
      </c>
      <c r="U39" s="91">
        <v>15582.07</v>
      </c>
      <c r="V39" s="91">
        <v>-15582.07</v>
      </c>
      <c r="W39" s="91">
        <v>9955.75</v>
      </c>
      <c r="X39" s="91">
        <v>9563.0999999999985</v>
      </c>
      <c r="Y39" s="119">
        <v>19518.849999999999</v>
      </c>
      <c r="Z39" s="92">
        <f t="shared" si="0"/>
        <v>-35100.92</v>
      </c>
    </row>
    <row r="40" spans="1:26" x14ac:dyDescent="0.2">
      <c r="A40" s="89" t="s">
        <v>1288</v>
      </c>
      <c r="B40" s="89" t="s">
        <v>1289</v>
      </c>
      <c r="C40" s="89" t="s">
        <v>630</v>
      </c>
      <c r="D40" s="89" t="s">
        <v>631</v>
      </c>
      <c r="E40" s="67">
        <v>781</v>
      </c>
      <c r="F40" s="89" t="s">
        <v>267</v>
      </c>
      <c r="G40" s="90">
        <v>45345</v>
      </c>
      <c r="H40" s="90"/>
      <c r="I40" s="91">
        <v>875600</v>
      </c>
      <c r="J40" s="91">
        <v>0</v>
      </c>
      <c r="K40" s="91">
        <v>0</v>
      </c>
      <c r="L40" s="91">
        <v>0</v>
      </c>
      <c r="M40" s="91">
        <v>0</v>
      </c>
      <c r="N40" s="91">
        <v>0</v>
      </c>
      <c r="O40" s="91">
        <v>0</v>
      </c>
      <c r="P40" s="91">
        <v>0</v>
      </c>
      <c r="Q40" s="91">
        <v>0</v>
      </c>
      <c r="R40" s="91">
        <v>0</v>
      </c>
      <c r="S40" s="91">
        <v>5050.01</v>
      </c>
      <c r="T40" s="91">
        <v>7494.6600000000008</v>
      </c>
      <c r="U40" s="91">
        <v>12544.670000000002</v>
      </c>
      <c r="V40" s="91">
        <v>-12544.669999999998</v>
      </c>
      <c r="W40" s="91">
        <v>0</v>
      </c>
      <c r="X40" s="91">
        <v>0</v>
      </c>
      <c r="Y40" s="119">
        <v>0</v>
      </c>
      <c r="Z40" s="92">
        <f t="shared" si="0"/>
        <v>-12544.669999999998</v>
      </c>
    </row>
    <row r="41" spans="1:26" x14ac:dyDescent="0.2">
      <c r="A41" s="89" t="s">
        <v>1355</v>
      </c>
      <c r="B41" s="89" t="s">
        <v>1356</v>
      </c>
      <c r="C41" s="89" t="s">
        <v>630</v>
      </c>
      <c r="D41" s="89" t="s">
        <v>631</v>
      </c>
      <c r="E41" s="67" t="s">
        <v>702</v>
      </c>
      <c r="F41" s="89" t="s">
        <v>267</v>
      </c>
      <c r="G41" s="90">
        <v>45369</v>
      </c>
      <c r="H41" s="90"/>
      <c r="I41" s="91">
        <v>569052</v>
      </c>
      <c r="J41" s="91">
        <v>0</v>
      </c>
      <c r="K41" s="91">
        <v>0</v>
      </c>
      <c r="L41" s="91">
        <v>0</v>
      </c>
      <c r="M41" s="91">
        <v>0</v>
      </c>
      <c r="N41" s="91">
        <v>0</v>
      </c>
      <c r="O41" s="91">
        <v>0</v>
      </c>
      <c r="P41" s="91">
        <v>0</v>
      </c>
      <c r="Q41" s="91">
        <v>0</v>
      </c>
      <c r="R41" s="91">
        <v>0</v>
      </c>
      <c r="S41" s="91">
        <v>1317.41</v>
      </c>
      <c r="T41" s="91">
        <v>4493.6900000000005</v>
      </c>
      <c r="U41" s="91">
        <v>5811.1</v>
      </c>
      <c r="V41" s="91">
        <v>-5811.1</v>
      </c>
      <c r="W41" s="91">
        <v>0</v>
      </c>
      <c r="X41" s="91">
        <v>0</v>
      </c>
      <c r="Y41" s="119">
        <v>0</v>
      </c>
      <c r="Z41" s="92">
        <f t="shared" si="0"/>
        <v>-5811.1</v>
      </c>
    </row>
    <row r="42" spans="1:26" x14ac:dyDescent="0.2">
      <c r="A42" s="89" t="s">
        <v>1325</v>
      </c>
      <c r="B42" s="89" t="s">
        <v>1326</v>
      </c>
      <c r="C42" s="89" t="s">
        <v>630</v>
      </c>
      <c r="D42" s="89" t="s">
        <v>631</v>
      </c>
      <c r="E42" s="67" t="s">
        <v>122</v>
      </c>
      <c r="F42" s="89" t="s">
        <v>975</v>
      </c>
      <c r="G42" s="90">
        <v>45384</v>
      </c>
      <c r="H42" s="90"/>
      <c r="I42" s="91">
        <v>1150000</v>
      </c>
      <c r="J42" s="91">
        <v>0</v>
      </c>
      <c r="K42" s="91">
        <v>0</v>
      </c>
      <c r="L42" s="91">
        <v>28899</v>
      </c>
      <c r="M42" s="91">
        <v>0</v>
      </c>
      <c r="N42" s="91">
        <v>0</v>
      </c>
      <c r="O42" s="91">
        <v>28899</v>
      </c>
      <c r="P42" s="91">
        <v>0</v>
      </c>
      <c r="Q42" s="91">
        <v>0</v>
      </c>
      <c r="R42" s="91">
        <v>0</v>
      </c>
      <c r="S42" s="91">
        <v>35638.559999999998</v>
      </c>
      <c r="T42" s="91">
        <v>5796.63</v>
      </c>
      <c r="U42" s="91">
        <v>41435.189999999995</v>
      </c>
      <c r="V42" s="91">
        <v>-12536.189999999997</v>
      </c>
      <c r="W42" s="91">
        <v>3980.2799999999997</v>
      </c>
      <c r="X42" s="91">
        <v>0</v>
      </c>
      <c r="Y42" s="119">
        <v>3980.2799999999997</v>
      </c>
      <c r="Z42" s="92">
        <f t="shared" si="0"/>
        <v>-16516.469999999998</v>
      </c>
    </row>
    <row r="43" spans="1:26" x14ac:dyDescent="0.2">
      <c r="A43" s="89" t="s">
        <v>1388</v>
      </c>
      <c r="B43" s="89" t="s">
        <v>1389</v>
      </c>
      <c r="C43" s="89" t="s">
        <v>630</v>
      </c>
      <c r="D43" s="89" t="s">
        <v>631</v>
      </c>
      <c r="E43" s="67" t="s">
        <v>122</v>
      </c>
      <c r="F43" s="89" t="s">
        <v>975</v>
      </c>
      <c r="G43" s="90">
        <v>45400</v>
      </c>
      <c r="H43" s="90"/>
      <c r="I43" s="91">
        <v>137010</v>
      </c>
      <c r="J43" s="91">
        <v>0</v>
      </c>
      <c r="K43" s="91">
        <v>0</v>
      </c>
      <c r="L43" s="91">
        <v>1472.79</v>
      </c>
      <c r="M43" s="91">
        <v>0</v>
      </c>
      <c r="N43" s="91">
        <v>0</v>
      </c>
      <c r="O43" s="91">
        <v>1472.79</v>
      </c>
      <c r="P43" s="91">
        <v>0</v>
      </c>
      <c r="Q43" s="91">
        <v>0</v>
      </c>
      <c r="R43" s="91">
        <v>0</v>
      </c>
      <c r="S43" s="91">
        <v>3196.5699999999997</v>
      </c>
      <c r="T43" s="91">
        <v>674.27</v>
      </c>
      <c r="U43" s="91">
        <v>3870.8399999999997</v>
      </c>
      <c r="V43" s="91">
        <v>-2398.0500000000002</v>
      </c>
      <c r="W43" s="91">
        <v>0</v>
      </c>
      <c r="X43" s="91">
        <v>0</v>
      </c>
      <c r="Y43" s="119">
        <v>0</v>
      </c>
      <c r="Z43" s="92">
        <f t="shared" si="0"/>
        <v>-2398.0500000000002</v>
      </c>
    </row>
    <row r="44" spans="1:26" x14ac:dyDescent="0.2">
      <c r="A44" s="89" t="s">
        <v>1372</v>
      </c>
      <c r="B44" s="89" t="s">
        <v>1373</v>
      </c>
      <c r="C44" s="89" t="s">
        <v>630</v>
      </c>
      <c r="D44" s="89" t="s">
        <v>631</v>
      </c>
      <c r="E44" s="67" t="s">
        <v>1374</v>
      </c>
      <c r="F44" s="89" t="s">
        <v>1375</v>
      </c>
      <c r="G44" s="90">
        <v>45426</v>
      </c>
      <c r="H44" s="90"/>
      <c r="I44" s="91">
        <v>1540000</v>
      </c>
      <c r="J44" s="91">
        <v>0</v>
      </c>
      <c r="K44" s="91">
        <v>0</v>
      </c>
      <c r="L44" s="91">
        <v>0</v>
      </c>
      <c r="M44" s="91">
        <v>0</v>
      </c>
      <c r="N44" s="91">
        <v>0</v>
      </c>
      <c r="O44" s="91">
        <v>0</v>
      </c>
      <c r="P44" s="91">
        <v>0</v>
      </c>
      <c r="Q44" s="91">
        <v>0</v>
      </c>
      <c r="R44" s="91">
        <v>0</v>
      </c>
      <c r="S44" s="91">
        <v>17355.810000000001</v>
      </c>
      <c r="T44" s="91">
        <v>5237.5300000000007</v>
      </c>
      <c r="U44" s="91">
        <v>22593.340000000004</v>
      </c>
      <c r="V44" s="91">
        <v>-22593.340000000004</v>
      </c>
      <c r="W44" s="91">
        <v>0</v>
      </c>
      <c r="X44" s="91">
        <v>0</v>
      </c>
      <c r="Y44" s="119">
        <v>0</v>
      </c>
      <c r="Z44" s="92">
        <f t="shared" si="0"/>
        <v>-22593.340000000004</v>
      </c>
    </row>
    <row r="45" spans="1:26" x14ac:dyDescent="0.2">
      <c r="A45" s="89" t="s">
        <v>1376</v>
      </c>
      <c r="B45" s="89" t="s">
        <v>1377</v>
      </c>
      <c r="C45" s="89" t="s">
        <v>630</v>
      </c>
      <c r="D45" s="89" t="s">
        <v>631</v>
      </c>
      <c r="E45" s="67" t="s">
        <v>122</v>
      </c>
      <c r="F45" s="89" t="s">
        <v>975</v>
      </c>
      <c r="G45" s="90">
        <v>45390</v>
      </c>
      <c r="H45" s="90"/>
      <c r="I45" s="91">
        <v>1160000</v>
      </c>
      <c r="J45" s="91">
        <v>0</v>
      </c>
      <c r="K45" s="91">
        <v>0</v>
      </c>
      <c r="L45" s="91">
        <v>60470.880000000005</v>
      </c>
      <c r="M45" s="91">
        <v>0</v>
      </c>
      <c r="N45" s="91">
        <v>0</v>
      </c>
      <c r="O45" s="91">
        <v>60470.880000000005</v>
      </c>
      <c r="P45" s="91">
        <v>3623.74</v>
      </c>
      <c r="Q45" s="91">
        <v>0</v>
      </c>
      <c r="R45" s="91">
        <v>0</v>
      </c>
      <c r="S45" s="91">
        <v>8773.2800000000007</v>
      </c>
      <c r="T45" s="91">
        <v>26293.39</v>
      </c>
      <c r="U45" s="91">
        <v>38690.410000000003</v>
      </c>
      <c r="V45" s="91">
        <v>21780.47</v>
      </c>
      <c r="W45" s="91">
        <v>0</v>
      </c>
      <c r="X45" s="91">
        <v>0</v>
      </c>
      <c r="Y45" s="119">
        <v>0</v>
      </c>
      <c r="Z45" s="92">
        <f t="shared" si="0"/>
        <v>21780.47</v>
      </c>
    </row>
    <row r="46" spans="1:26" x14ac:dyDescent="0.2">
      <c r="A46" s="89" t="s">
        <v>1396</v>
      </c>
      <c r="B46" s="89" t="s">
        <v>1397</v>
      </c>
      <c r="C46" s="89" t="s">
        <v>630</v>
      </c>
      <c r="D46" s="89" t="s">
        <v>631</v>
      </c>
      <c r="E46" s="67" t="s">
        <v>1398</v>
      </c>
      <c r="F46" s="89" t="s">
        <v>1399</v>
      </c>
      <c r="G46" s="90">
        <v>45420</v>
      </c>
      <c r="H46" s="90"/>
      <c r="I46" s="91">
        <v>1479040</v>
      </c>
      <c r="J46" s="91">
        <v>0</v>
      </c>
      <c r="K46" s="91">
        <v>0</v>
      </c>
      <c r="L46" s="91">
        <v>0</v>
      </c>
      <c r="M46" s="91">
        <v>12480</v>
      </c>
      <c r="N46" s="91">
        <v>0</v>
      </c>
      <c r="O46" s="91">
        <v>12480</v>
      </c>
      <c r="P46" s="91">
        <v>0</v>
      </c>
      <c r="Q46" s="91">
        <v>0</v>
      </c>
      <c r="R46" s="91">
        <v>0</v>
      </c>
      <c r="S46" s="91">
        <v>7471.59</v>
      </c>
      <c r="T46" s="91">
        <v>4821.99</v>
      </c>
      <c r="U46" s="91">
        <v>12293.58</v>
      </c>
      <c r="V46" s="91">
        <v>186.42000000000007</v>
      </c>
      <c r="W46" s="91">
        <v>0</v>
      </c>
      <c r="X46" s="91">
        <v>0</v>
      </c>
      <c r="Y46" s="119">
        <v>0</v>
      </c>
      <c r="Z46" s="92">
        <f t="shared" si="0"/>
        <v>186.42000000000007</v>
      </c>
    </row>
    <row r="47" spans="1:26" x14ac:dyDescent="0.2">
      <c r="A47" s="89" t="s">
        <v>1437</v>
      </c>
      <c r="B47" s="89" t="s">
        <v>1438</v>
      </c>
      <c r="C47" s="89" t="s">
        <v>630</v>
      </c>
      <c r="D47" s="89" t="s">
        <v>631</v>
      </c>
      <c r="E47" s="67" t="s">
        <v>1042</v>
      </c>
      <c r="F47" s="89" t="s">
        <v>1043</v>
      </c>
      <c r="G47" s="90">
        <v>45398</v>
      </c>
      <c r="H47" s="90"/>
      <c r="I47" s="91">
        <v>261800</v>
      </c>
      <c r="J47" s="91">
        <v>0</v>
      </c>
      <c r="K47" s="91">
        <v>0</v>
      </c>
      <c r="L47" s="91">
        <v>0</v>
      </c>
      <c r="M47" s="91">
        <v>0</v>
      </c>
      <c r="N47" s="91">
        <v>0</v>
      </c>
      <c r="O47" s="91">
        <v>0</v>
      </c>
      <c r="P47" s="91">
        <v>0</v>
      </c>
      <c r="Q47" s="91">
        <v>0</v>
      </c>
      <c r="R47" s="91">
        <v>0</v>
      </c>
      <c r="S47" s="91">
        <v>2956.21</v>
      </c>
      <c r="T47" s="91">
        <v>561.67999999999995</v>
      </c>
      <c r="U47" s="91">
        <v>3517.89</v>
      </c>
      <c r="V47" s="91">
        <v>-3517.89</v>
      </c>
      <c r="W47" s="91">
        <v>0</v>
      </c>
      <c r="X47" s="91">
        <v>0</v>
      </c>
      <c r="Y47" s="119">
        <v>0</v>
      </c>
      <c r="Z47" s="92">
        <f t="shared" si="0"/>
        <v>-3517.89</v>
      </c>
    </row>
    <row r="48" spans="1:26" x14ac:dyDescent="0.2">
      <c r="A48" s="89" t="s">
        <v>1447</v>
      </c>
      <c r="B48" s="89" t="s">
        <v>1448</v>
      </c>
      <c r="C48" s="89" t="s">
        <v>630</v>
      </c>
      <c r="D48" s="89" t="s">
        <v>631</v>
      </c>
      <c r="E48" s="67" t="s">
        <v>1449</v>
      </c>
      <c r="F48" s="89" t="s">
        <v>1450</v>
      </c>
      <c r="G48" s="90">
        <v>45432</v>
      </c>
      <c r="H48" s="90"/>
      <c r="I48" s="91">
        <v>887685.9</v>
      </c>
      <c r="J48" s="91">
        <v>0</v>
      </c>
      <c r="K48" s="91">
        <v>0</v>
      </c>
      <c r="L48" s="91">
        <v>0</v>
      </c>
      <c r="M48" s="91">
        <v>0</v>
      </c>
      <c r="N48" s="91">
        <v>0</v>
      </c>
      <c r="O48" s="91">
        <v>0</v>
      </c>
      <c r="P48" s="91">
        <v>0</v>
      </c>
      <c r="Q48" s="91">
        <v>0</v>
      </c>
      <c r="R48" s="91">
        <v>0</v>
      </c>
      <c r="S48" s="91">
        <v>1241.5999999999999</v>
      </c>
      <c r="T48" s="91">
        <v>0</v>
      </c>
      <c r="U48" s="91">
        <v>1241.5999999999999</v>
      </c>
      <c r="V48" s="91">
        <v>-1241.5999999999999</v>
      </c>
      <c r="W48" s="91">
        <v>0</v>
      </c>
      <c r="X48" s="91">
        <v>0</v>
      </c>
      <c r="Y48" s="119">
        <v>0</v>
      </c>
      <c r="Z48" s="92">
        <f t="shared" si="0"/>
        <v>-1241.5999999999999</v>
      </c>
    </row>
    <row r="49" spans="1:26" x14ac:dyDescent="0.2">
      <c r="A49" s="89" t="s">
        <v>853</v>
      </c>
      <c r="B49" s="89"/>
      <c r="C49" s="89" t="s">
        <v>630</v>
      </c>
      <c r="D49" s="89" t="s">
        <v>631</v>
      </c>
      <c r="E49" s="67"/>
      <c r="F49" s="89"/>
      <c r="G49" s="90"/>
      <c r="H49" s="90"/>
      <c r="I49" s="91">
        <v>0</v>
      </c>
      <c r="J49" s="91">
        <v>0</v>
      </c>
      <c r="K49" s="91">
        <v>0</v>
      </c>
      <c r="L49" s="91">
        <v>0</v>
      </c>
      <c r="M49" s="91">
        <v>0</v>
      </c>
      <c r="N49" s="91">
        <v>0</v>
      </c>
      <c r="O49" s="91">
        <v>0</v>
      </c>
      <c r="P49" s="91">
        <v>-28637.71</v>
      </c>
      <c r="Q49" s="91">
        <v>0</v>
      </c>
      <c r="R49" s="91">
        <v>0</v>
      </c>
      <c r="S49" s="91">
        <v>0</v>
      </c>
      <c r="T49" s="91">
        <v>0</v>
      </c>
      <c r="U49" s="91">
        <v>-28637.71</v>
      </c>
      <c r="V49" s="91">
        <v>28637.71</v>
      </c>
      <c r="W49" s="91">
        <v>0</v>
      </c>
      <c r="X49" s="91">
        <v>0</v>
      </c>
      <c r="Y49" s="119">
        <v>0</v>
      </c>
      <c r="Z49" s="92">
        <f t="shared" si="0"/>
        <v>28637.71</v>
      </c>
    </row>
    <row r="50" spans="1:26" s="100" customFormat="1" ht="11.25" customHeight="1" x14ac:dyDescent="0.2">
      <c r="A50" s="93" t="s">
        <v>613</v>
      </c>
      <c r="B50" s="93"/>
      <c r="C50" s="93"/>
      <c r="D50" s="93"/>
      <c r="E50" s="94"/>
      <c r="F50" s="93"/>
      <c r="G50" s="93"/>
      <c r="H50" s="93"/>
      <c r="I50" s="93">
        <f t="shared" ref="I50:Y50" si="1">SUM(I4:I49)</f>
        <v>72016291.700000003</v>
      </c>
      <c r="J50" s="95">
        <f t="shared" si="1"/>
        <v>5900287.04</v>
      </c>
      <c r="K50" s="95">
        <f t="shared" si="1"/>
        <v>0</v>
      </c>
      <c r="L50" s="95">
        <f t="shared" si="1"/>
        <v>404781.88999999996</v>
      </c>
      <c r="M50" s="95">
        <f t="shared" si="1"/>
        <v>543798.52</v>
      </c>
      <c r="N50" s="95">
        <f t="shared" si="1"/>
        <v>1349.51</v>
      </c>
      <c r="O50" s="96">
        <f t="shared" si="1"/>
        <v>6850216.959999999</v>
      </c>
      <c r="P50" s="95">
        <f t="shared" si="1"/>
        <v>4468932.16</v>
      </c>
      <c r="Q50" s="95">
        <f t="shared" si="1"/>
        <v>274002.17</v>
      </c>
      <c r="R50" s="95">
        <f t="shared" si="1"/>
        <v>23537.530000000002</v>
      </c>
      <c r="S50" s="97">
        <f t="shared" si="1"/>
        <v>413746.80000000005</v>
      </c>
      <c r="T50" s="97">
        <f t="shared" si="1"/>
        <v>329507.23000000004</v>
      </c>
      <c r="U50" s="98">
        <f t="shared" si="1"/>
        <v>5509725.8899999997</v>
      </c>
      <c r="V50" s="99">
        <f t="shared" si="1"/>
        <v>1340491.0699999994</v>
      </c>
      <c r="W50" s="95">
        <f t="shared" si="1"/>
        <v>109229.06999999999</v>
      </c>
      <c r="X50" s="95">
        <f t="shared" si="1"/>
        <v>133534.78000000003</v>
      </c>
      <c r="Y50" s="120">
        <f t="shared" si="1"/>
        <v>242763.85000000003</v>
      </c>
      <c r="Z50" s="122">
        <f t="shared" si="0"/>
        <v>1097727.2199999993</v>
      </c>
    </row>
    <row r="51" spans="1:26" ht="11.25" customHeight="1" x14ac:dyDescent="0.2"/>
    <row r="52" spans="1:26" ht="11.25" customHeight="1" x14ac:dyDescent="0.2"/>
    <row r="53" spans="1:26" ht="11.25" customHeight="1" x14ac:dyDescent="0.2"/>
  </sheetData>
  <autoFilter ref="A3:Y15" xr:uid="{00000000-0009-0000-0000-00000C000000}"/>
  <phoneticPr fontId="10" type="noConversion"/>
  <conditionalFormatting sqref="A1">
    <cfRule type="duplicateValues" dxfId="19" priority="3"/>
  </conditionalFormatting>
  <conditionalFormatting sqref="A3">
    <cfRule type="duplicateValues" dxfId="18" priority="2"/>
  </conditionalFormatting>
  <conditionalFormatting sqref="A50">
    <cfRule type="duplicateValues" dxfId="17" priority="1"/>
  </conditionalFormatting>
  <conditionalFormatting sqref="A168">
    <cfRule type="duplicateValues" dxfId="16" priority="5"/>
  </conditionalFormatting>
  <conditionalFormatting sqref="A169:A1048576 A2 A51:A167 A4:A49">
    <cfRule type="duplicateValues" dxfId="15" priority="6"/>
  </conditionalFormatting>
  <pageMargins left="0.7" right="0.7" top="0.75" bottom="0.75" header="0.3" footer="0.3"/>
  <legacy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00B0F0"/>
  </sheetPr>
  <dimension ref="A1:Z50"/>
  <sheetViews>
    <sheetView zoomScaleNormal="100" workbookViewId="0">
      <pane xSplit="6" ySplit="4" topLeftCell="G32" activePane="bottomRight" state="frozen"/>
      <selection activeCell="F56" sqref="E56:F57"/>
      <selection pane="topRight" activeCell="F56" sqref="E56:F57"/>
      <selection pane="bottomLeft" activeCell="F56" sqref="E56:F57"/>
      <selection pane="bottomRight" activeCell="I55" sqref="I55"/>
    </sheetView>
  </sheetViews>
  <sheetFormatPr defaultRowHeight="12.75" outlineLevelCol="1" x14ac:dyDescent="0.2"/>
  <cols>
    <col min="1" max="1" width="10.140625" style="72" customWidth="1"/>
    <col min="2" max="2" width="8" style="72" bestFit="1" customWidth="1"/>
    <col min="3" max="3" width="9" style="72" bestFit="1" customWidth="1"/>
    <col min="4" max="4" width="12.5703125" style="72" customWidth="1"/>
    <col min="5" max="5" width="6" style="80" bestFit="1" customWidth="1"/>
    <col min="6" max="6" width="8.140625" style="72" customWidth="1"/>
    <col min="7" max="7" width="13" style="72" bestFit="1" customWidth="1"/>
    <col min="8" max="8" width="11.7109375" style="72" customWidth="1"/>
    <col min="9" max="9" width="12.85546875" style="72" customWidth="1"/>
    <col min="10" max="14" width="11.7109375" style="72" hidden="1" customWidth="1" outlineLevel="1"/>
    <col min="15" max="15" width="11.7109375" style="72" customWidth="1" collapsed="1"/>
    <col min="16" max="20" width="11.7109375" style="72" hidden="1" customWidth="1" outlineLevel="1"/>
    <col min="21" max="21" width="11.7109375" style="72" customWidth="1" collapsed="1"/>
    <col min="22" max="22" width="11.7109375" style="72" customWidth="1"/>
    <col min="23" max="24" width="11.7109375" style="72" hidden="1" customWidth="1" outlineLevel="1"/>
    <col min="25" max="25" width="11.7109375" style="72" customWidth="1" collapsed="1"/>
    <col min="26" max="26" width="12" style="72" customWidth="1"/>
    <col min="27" max="16384" width="9.140625" style="72"/>
  </cols>
  <sheetData>
    <row r="1" spans="1:26" ht="23.25" customHeight="1" x14ac:dyDescent="0.2">
      <c r="A1" s="79" t="s">
        <v>1405</v>
      </c>
    </row>
    <row r="2" spans="1:26" ht="15" customHeight="1" x14ac:dyDescent="0.2">
      <c r="A2" s="81" t="s">
        <v>1299</v>
      </c>
    </row>
    <row r="3" spans="1:26" s="88" customFormat="1" x14ac:dyDescent="0.2">
      <c r="A3" s="82" t="s">
        <v>651</v>
      </c>
      <c r="B3" s="82" t="s">
        <v>577</v>
      </c>
      <c r="C3" s="82" t="s">
        <v>599</v>
      </c>
      <c r="D3" s="82" t="s">
        <v>600</v>
      </c>
      <c r="E3" s="83" t="s">
        <v>578</v>
      </c>
      <c r="F3" s="82" t="s">
        <v>579</v>
      </c>
      <c r="G3" s="82" t="s">
        <v>580</v>
      </c>
      <c r="H3" s="82" t="s">
        <v>581</v>
      </c>
      <c r="I3" s="82" t="s">
        <v>582</v>
      </c>
      <c r="J3" s="84" t="s">
        <v>614</v>
      </c>
      <c r="K3" s="84" t="s">
        <v>584</v>
      </c>
      <c r="L3" s="84" t="s">
        <v>601</v>
      </c>
      <c r="M3" s="84" t="s">
        <v>586</v>
      </c>
      <c r="N3" s="84" t="s">
        <v>587</v>
      </c>
      <c r="O3" s="85" t="s">
        <v>588</v>
      </c>
      <c r="P3" s="84" t="s">
        <v>589</v>
      </c>
      <c r="Q3" s="84" t="s">
        <v>590</v>
      </c>
      <c r="R3" s="84" t="s">
        <v>591</v>
      </c>
      <c r="S3" s="84" t="s">
        <v>673</v>
      </c>
      <c r="T3" s="84" t="s">
        <v>593</v>
      </c>
      <c r="U3" s="85" t="s">
        <v>594</v>
      </c>
      <c r="V3" s="86" t="s">
        <v>595</v>
      </c>
      <c r="W3" s="84" t="s">
        <v>596</v>
      </c>
      <c r="X3" s="84" t="s">
        <v>597</v>
      </c>
      <c r="Y3" s="118" t="s">
        <v>598</v>
      </c>
      <c r="Z3" s="87" t="s">
        <v>1308</v>
      </c>
    </row>
    <row r="4" spans="1:26" x14ac:dyDescent="0.2">
      <c r="A4" s="89" t="s">
        <v>225</v>
      </c>
      <c r="B4" s="89" t="s">
        <v>226</v>
      </c>
      <c r="C4" s="89" t="s">
        <v>641</v>
      </c>
      <c r="D4" s="89" t="s">
        <v>1358</v>
      </c>
      <c r="E4" s="67" t="s">
        <v>166</v>
      </c>
      <c r="F4" s="89" t="s">
        <v>167</v>
      </c>
      <c r="G4" s="90">
        <v>44226</v>
      </c>
      <c r="H4" s="90">
        <v>44223</v>
      </c>
      <c r="I4" s="91">
        <v>3703800</v>
      </c>
      <c r="J4" s="91">
        <v>0</v>
      </c>
      <c r="K4" s="91">
        <v>0</v>
      </c>
      <c r="L4" s="91">
        <v>0</v>
      </c>
      <c r="M4" s="91">
        <v>0</v>
      </c>
      <c r="N4" s="91">
        <v>0</v>
      </c>
      <c r="O4" s="91">
        <v>0</v>
      </c>
      <c r="P4" s="91">
        <v>8869.9000000000015</v>
      </c>
      <c r="Q4" s="91">
        <v>0</v>
      </c>
      <c r="R4" s="91">
        <v>0</v>
      </c>
      <c r="S4" s="91">
        <v>0</v>
      </c>
      <c r="T4" s="91">
        <v>0</v>
      </c>
      <c r="U4" s="91">
        <v>8869.9000000000015</v>
      </c>
      <c r="V4" s="91">
        <v>-8869.9000000000015</v>
      </c>
      <c r="W4" s="91">
        <v>1525.79</v>
      </c>
      <c r="X4" s="91">
        <v>0</v>
      </c>
      <c r="Y4" s="119">
        <v>1525.79</v>
      </c>
      <c r="Z4" s="92">
        <f>V4-Y4</f>
        <v>-10395.690000000002</v>
      </c>
    </row>
    <row r="5" spans="1:26" x14ac:dyDescent="0.2">
      <c r="A5" s="89" t="s">
        <v>164</v>
      </c>
      <c r="B5" s="89" t="s">
        <v>165</v>
      </c>
      <c r="C5" s="89" t="s">
        <v>641</v>
      </c>
      <c r="D5" s="89" t="s">
        <v>1358</v>
      </c>
      <c r="E5" s="67" t="s">
        <v>166</v>
      </c>
      <c r="F5" s="89" t="s">
        <v>167</v>
      </c>
      <c r="G5" s="90">
        <v>44613</v>
      </c>
      <c r="H5" s="90"/>
      <c r="I5" s="91">
        <v>968000</v>
      </c>
      <c r="J5" s="91">
        <v>0</v>
      </c>
      <c r="K5" s="91">
        <v>0</v>
      </c>
      <c r="L5" s="91">
        <v>0</v>
      </c>
      <c r="M5" s="91">
        <v>0</v>
      </c>
      <c r="N5" s="91">
        <v>0</v>
      </c>
      <c r="O5" s="91">
        <v>0</v>
      </c>
      <c r="P5" s="91">
        <v>0</v>
      </c>
      <c r="Q5" s="91">
        <v>0</v>
      </c>
      <c r="R5" s="91">
        <v>19124.080000000002</v>
      </c>
      <c r="S5" s="91">
        <v>0</v>
      </c>
      <c r="T5" s="91">
        <v>2991.87</v>
      </c>
      <c r="U5" s="91">
        <v>22115.949999999997</v>
      </c>
      <c r="V5" s="91">
        <v>-22115.949999999997</v>
      </c>
      <c r="W5" s="91">
        <v>0</v>
      </c>
      <c r="X5" s="91">
        <v>0</v>
      </c>
      <c r="Y5" s="119">
        <v>0</v>
      </c>
      <c r="Z5" s="92">
        <f t="shared" ref="Z5:Z50" si="0">V5-Y5</f>
        <v>-22115.949999999997</v>
      </c>
    </row>
    <row r="6" spans="1:26" x14ac:dyDescent="0.2">
      <c r="A6" s="89" t="s">
        <v>154</v>
      </c>
      <c r="B6" s="89" t="s">
        <v>155</v>
      </c>
      <c r="C6" s="89" t="s">
        <v>641</v>
      </c>
      <c r="D6" s="89" t="s">
        <v>1358</v>
      </c>
      <c r="E6" s="67" t="s">
        <v>56</v>
      </c>
      <c r="F6" s="89" t="s">
        <v>57</v>
      </c>
      <c r="G6" s="90">
        <v>44652</v>
      </c>
      <c r="H6" s="90">
        <v>45027</v>
      </c>
      <c r="I6" s="91">
        <v>46053750</v>
      </c>
      <c r="J6" s="91">
        <v>0</v>
      </c>
      <c r="K6" s="91">
        <v>0</v>
      </c>
      <c r="L6" s="91">
        <v>0</v>
      </c>
      <c r="M6" s="91">
        <v>0</v>
      </c>
      <c r="N6" s="91">
        <v>0</v>
      </c>
      <c r="O6" s="91">
        <v>0</v>
      </c>
      <c r="P6" s="91">
        <v>3508.63</v>
      </c>
      <c r="Q6" s="91">
        <v>0</v>
      </c>
      <c r="R6" s="91">
        <v>22311.410000000003</v>
      </c>
      <c r="S6" s="91">
        <v>0</v>
      </c>
      <c r="T6" s="91">
        <v>0</v>
      </c>
      <c r="U6" s="91">
        <v>25820.04</v>
      </c>
      <c r="V6" s="91">
        <v>-25820.04</v>
      </c>
      <c r="W6" s="91">
        <v>0</v>
      </c>
      <c r="X6" s="91">
        <v>47.06</v>
      </c>
      <c r="Y6" s="119">
        <v>47.06</v>
      </c>
      <c r="Z6" s="92">
        <f t="shared" si="0"/>
        <v>-25867.100000000002</v>
      </c>
    </row>
    <row r="7" spans="1:26" x14ac:dyDescent="0.2">
      <c r="A7" s="89" t="s">
        <v>720</v>
      </c>
      <c r="B7" s="89" t="s">
        <v>266</v>
      </c>
      <c r="C7" s="89" t="s">
        <v>641</v>
      </c>
      <c r="D7" s="89" t="s">
        <v>1358</v>
      </c>
      <c r="E7" s="67" t="s">
        <v>56</v>
      </c>
      <c r="F7" s="89" t="s">
        <v>57</v>
      </c>
      <c r="G7" s="90">
        <v>44788</v>
      </c>
      <c r="H7" s="90"/>
      <c r="I7" s="91">
        <v>18151760</v>
      </c>
      <c r="J7" s="91">
        <v>262516.34999999998</v>
      </c>
      <c r="K7" s="91">
        <v>0</v>
      </c>
      <c r="L7" s="91">
        <v>0</v>
      </c>
      <c r="M7" s="91">
        <v>0</v>
      </c>
      <c r="N7" s="91">
        <v>0</v>
      </c>
      <c r="O7" s="91">
        <v>262516.34999999998</v>
      </c>
      <c r="P7" s="91">
        <v>153426.5</v>
      </c>
      <c r="Q7" s="91">
        <v>0</v>
      </c>
      <c r="R7" s="91">
        <v>0</v>
      </c>
      <c r="S7" s="91">
        <v>0</v>
      </c>
      <c r="T7" s="91">
        <v>0</v>
      </c>
      <c r="U7" s="91">
        <v>153426.5</v>
      </c>
      <c r="V7" s="91">
        <v>109089.84999999998</v>
      </c>
      <c r="W7" s="91">
        <v>0</v>
      </c>
      <c r="X7" s="91">
        <v>0</v>
      </c>
      <c r="Y7" s="119">
        <v>0</v>
      </c>
      <c r="Z7" s="92">
        <f t="shared" si="0"/>
        <v>109089.84999999998</v>
      </c>
    </row>
    <row r="8" spans="1:26" x14ac:dyDescent="0.2">
      <c r="A8" s="89" t="s">
        <v>193</v>
      </c>
      <c r="B8" s="89" t="s">
        <v>194</v>
      </c>
      <c r="C8" s="89" t="s">
        <v>641</v>
      </c>
      <c r="D8" s="89" t="s">
        <v>1358</v>
      </c>
      <c r="E8" s="67" t="s">
        <v>195</v>
      </c>
      <c r="F8" s="89" t="s">
        <v>196</v>
      </c>
      <c r="G8" s="90">
        <v>44279</v>
      </c>
      <c r="H8" s="90"/>
      <c r="I8" s="91">
        <v>176000</v>
      </c>
      <c r="J8" s="91">
        <v>0</v>
      </c>
      <c r="K8" s="91">
        <v>0</v>
      </c>
      <c r="L8" s="91">
        <v>0</v>
      </c>
      <c r="M8" s="91">
        <v>0</v>
      </c>
      <c r="N8" s="91">
        <v>0</v>
      </c>
      <c r="O8" s="91">
        <v>0</v>
      </c>
      <c r="P8" s="91">
        <v>1525.79</v>
      </c>
      <c r="Q8" s="91">
        <v>0</v>
      </c>
      <c r="R8" s="91">
        <v>0</v>
      </c>
      <c r="S8" s="91">
        <v>0</v>
      </c>
      <c r="T8" s="91">
        <v>0</v>
      </c>
      <c r="U8" s="91">
        <v>1525.79</v>
      </c>
      <c r="V8" s="91">
        <v>-1525.79</v>
      </c>
      <c r="W8" s="91">
        <v>0</v>
      </c>
      <c r="X8" s="91">
        <v>163.1</v>
      </c>
      <c r="Y8" s="119">
        <v>163.1</v>
      </c>
      <c r="Z8" s="92">
        <f t="shared" si="0"/>
        <v>-1688.8899999999999</v>
      </c>
    </row>
    <row r="9" spans="1:26" x14ac:dyDescent="0.2">
      <c r="A9" s="89" t="s">
        <v>178</v>
      </c>
      <c r="B9" s="89" t="s">
        <v>179</v>
      </c>
      <c r="C9" s="89" t="s">
        <v>641</v>
      </c>
      <c r="D9" s="89" t="s">
        <v>1358</v>
      </c>
      <c r="E9" s="67" t="s">
        <v>31</v>
      </c>
      <c r="F9" s="89" t="s">
        <v>32</v>
      </c>
      <c r="G9" s="90">
        <v>44279</v>
      </c>
      <c r="H9" s="90"/>
      <c r="I9" s="91">
        <v>0</v>
      </c>
      <c r="J9" s="91">
        <v>0</v>
      </c>
      <c r="K9" s="91">
        <v>0</v>
      </c>
      <c r="L9" s="91">
        <v>0</v>
      </c>
      <c r="M9" s="91">
        <v>0</v>
      </c>
      <c r="N9" s="91">
        <v>0</v>
      </c>
      <c r="O9" s="91">
        <v>0</v>
      </c>
      <c r="P9" s="91">
        <v>0</v>
      </c>
      <c r="Q9" s="91">
        <v>0</v>
      </c>
      <c r="R9" s="91">
        <v>0</v>
      </c>
      <c r="S9" s="91">
        <v>0</v>
      </c>
      <c r="T9" s="91">
        <v>0</v>
      </c>
      <c r="U9" s="91">
        <v>0</v>
      </c>
      <c r="V9" s="91">
        <v>0</v>
      </c>
      <c r="W9" s="91">
        <v>0</v>
      </c>
      <c r="X9" s="91">
        <v>0</v>
      </c>
      <c r="Y9" s="119">
        <v>0</v>
      </c>
      <c r="Z9" s="92">
        <f t="shared" si="0"/>
        <v>0</v>
      </c>
    </row>
    <row r="10" spans="1:26" x14ac:dyDescent="0.2">
      <c r="A10" s="89" t="s">
        <v>29</v>
      </c>
      <c r="B10" s="89" t="s">
        <v>30</v>
      </c>
      <c r="C10" s="89" t="s">
        <v>641</v>
      </c>
      <c r="D10" s="89" t="s">
        <v>1358</v>
      </c>
      <c r="E10" s="67" t="s">
        <v>31</v>
      </c>
      <c r="F10" s="89" t="s">
        <v>32</v>
      </c>
      <c r="G10" s="90">
        <v>44427</v>
      </c>
      <c r="H10" s="90"/>
      <c r="I10" s="91">
        <v>93305.3</v>
      </c>
      <c r="J10" s="91">
        <v>0</v>
      </c>
      <c r="K10" s="91">
        <v>0</v>
      </c>
      <c r="L10" s="91">
        <v>0</v>
      </c>
      <c r="M10" s="91">
        <v>0</v>
      </c>
      <c r="N10" s="91">
        <v>0</v>
      </c>
      <c r="O10" s="91">
        <v>0</v>
      </c>
      <c r="P10" s="91">
        <v>2923.87</v>
      </c>
      <c r="Q10" s="91">
        <v>0</v>
      </c>
      <c r="R10" s="91">
        <v>0</v>
      </c>
      <c r="S10" s="91">
        <v>0</v>
      </c>
      <c r="T10" s="91">
        <v>0</v>
      </c>
      <c r="U10" s="91">
        <v>2923.87</v>
      </c>
      <c r="V10" s="91">
        <v>-2923.87</v>
      </c>
      <c r="W10" s="91">
        <v>0</v>
      </c>
      <c r="X10" s="91">
        <v>0</v>
      </c>
      <c r="Y10" s="119">
        <v>0</v>
      </c>
      <c r="Z10" s="92">
        <f t="shared" si="0"/>
        <v>-2923.87</v>
      </c>
    </row>
    <row r="11" spans="1:26" x14ac:dyDescent="0.2">
      <c r="A11" s="89" t="s">
        <v>180</v>
      </c>
      <c r="B11" s="89" t="s">
        <v>181</v>
      </c>
      <c r="C11" s="89" t="s">
        <v>641</v>
      </c>
      <c r="D11" s="89" t="s">
        <v>1358</v>
      </c>
      <c r="E11" s="67" t="s">
        <v>182</v>
      </c>
      <c r="F11" s="89" t="s">
        <v>183</v>
      </c>
      <c r="G11" s="90">
        <v>44279</v>
      </c>
      <c r="H11" s="90"/>
      <c r="I11" s="91">
        <v>0</v>
      </c>
      <c r="J11" s="91">
        <v>0</v>
      </c>
      <c r="K11" s="91">
        <v>0</v>
      </c>
      <c r="L11" s="91">
        <v>0</v>
      </c>
      <c r="M11" s="91">
        <v>0</v>
      </c>
      <c r="N11" s="91">
        <v>0</v>
      </c>
      <c r="O11" s="91">
        <v>0</v>
      </c>
      <c r="P11" s="91">
        <v>0</v>
      </c>
      <c r="Q11" s="91">
        <v>0</v>
      </c>
      <c r="R11" s="91">
        <v>0</v>
      </c>
      <c r="S11" s="91">
        <v>0</v>
      </c>
      <c r="T11" s="91">
        <v>0</v>
      </c>
      <c r="U11" s="91">
        <v>0</v>
      </c>
      <c r="V11" s="91">
        <v>0</v>
      </c>
      <c r="W11" s="91">
        <v>0</v>
      </c>
      <c r="X11" s="91">
        <v>0</v>
      </c>
      <c r="Y11" s="119">
        <v>0</v>
      </c>
      <c r="Z11" s="92">
        <f t="shared" si="0"/>
        <v>0</v>
      </c>
    </row>
    <row r="12" spans="1:26" x14ac:dyDescent="0.2">
      <c r="A12" s="89" t="s">
        <v>184</v>
      </c>
      <c r="B12" s="89" t="s">
        <v>185</v>
      </c>
      <c r="C12" s="89" t="s">
        <v>641</v>
      </c>
      <c r="D12" s="89" t="s">
        <v>1358</v>
      </c>
      <c r="E12" s="67" t="s">
        <v>186</v>
      </c>
      <c r="F12" s="89" t="s">
        <v>187</v>
      </c>
      <c r="G12" s="90">
        <v>44279</v>
      </c>
      <c r="H12" s="90"/>
      <c r="I12" s="91">
        <v>0</v>
      </c>
      <c r="J12" s="91">
        <v>0</v>
      </c>
      <c r="K12" s="91">
        <v>0</v>
      </c>
      <c r="L12" s="91">
        <v>0</v>
      </c>
      <c r="M12" s="91">
        <v>0</v>
      </c>
      <c r="N12" s="91">
        <v>0</v>
      </c>
      <c r="O12" s="91">
        <v>0</v>
      </c>
      <c r="P12" s="91">
        <v>0</v>
      </c>
      <c r="Q12" s="91">
        <v>0</v>
      </c>
      <c r="R12" s="91">
        <v>0</v>
      </c>
      <c r="S12" s="91">
        <v>0</v>
      </c>
      <c r="T12" s="91">
        <v>0</v>
      </c>
      <c r="U12" s="91">
        <v>0</v>
      </c>
      <c r="V12" s="91">
        <v>0</v>
      </c>
      <c r="W12" s="91">
        <v>0</v>
      </c>
      <c r="X12" s="91">
        <v>0</v>
      </c>
      <c r="Y12" s="119">
        <v>0</v>
      </c>
      <c r="Z12" s="92">
        <f t="shared" si="0"/>
        <v>0</v>
      </c>
    </row>
    <row r="13" spans="1:26" x14ac:dyDescent="0.2">
      <c r="A13" s="89" t="s">
        <v>737</v>
      </c>
      <c r="B13" s="89" t="s">
        <v>738</v>
      </c>
      <c r="C13" s="89" t="s">
        <v>641</v>
      </c>
      <c r="D13" s="89" t="s">
        <v>1358</v>
      </c>
      <c r="E13" s="67" t="s">
        <v>186</v>
      </c>
      <c r="F13" s="89" t="s">
        <v>187</v>
      </c>
      <c r="G13" s="90">
        <v>44743</v>
      </c>
      <c r="H13" s="90">
        <v>44937</v>
      </c>
      <c r="I13" s="91">
        <v>0</v>
      </c>
      <c r="J13" s="91">
        <v>0</v>
      </c>
      <c r="K13" s="91">
        <v>0</v>
      </c>
      <c r="L13" s="91">
        <v>0</v>
      </c>
      <c r="M13" s="91">
        <v>0</v>
      </c>
      <c r="N13" s="91">
        <v>0</v>
      </c>
      <c r="O13" s="91">
        <v>0</v>
      </c>
      <c r="P13" s="91">
        <v>0</v>
      </c>
      <c r="Q13" s="91">
        <v>0</v>
      </c>
      <c r="R13" s="91">
        <v>0</v>
      </c>
      <c r="S13" s="91">
        <v>0</v>
      </c>
      <c r="T13" s="91">
        <v>0</v>
      </c>
      <c r="U13" s="91">
        <v>0</v>
      </c>
      <c r="V13" s="91">
        <v>0</v>
      </c>
      <c r="W13" s="91">
        <v>0</v>
      </c>
      <c r="X13" s="91">
        <v>0</v>
      </c>
      <c r="Y13" s="119">
        <v>0</v>
      </c>
      <c r="Z13" s="92">
        <f t="shared" si="0"/>
        <v>0</v>
      </c>
    </row>
    <row r="14" spans="1:26" x14ac:dyDescent="0.2">
      <c r="A14" s="89" t="s">
        <v>758</v>
      </c>
      <c r="B14" s="89" t="s">
        <v>759</v>
      </c>
      <c r="C14" s="89" t="s">
        <v>641</v>
      </c>
      <c r="D14" s="89" t="s">
        <v>1358</v>
      </c>
      <c r="E14" s="67" t="s">
        <v>186</v>
      </c>
      <c r="F14" s="89" t="s">
        <v>187</v>
      </c>
      <c r="G14" s="90">
        <v>44797</v>
      </c>
      <c r="H14" s="90">
        <v>44937</v>
      </c>
      <c r="I14" s="91">
        <v>0</v>
      </c>
      <c r="J14" s="91">
        <v>0</v>
      </c>
      <c r="K14" s="91">
        <v>0</v>
      </c>
      <c r="L14" s="91">
        <v>0</v>
      </c>
      <c r="M14" s="91">
        <v>0</v>
      </c>
      <c r="N14" s="91">
        <v>0</v>
      </c>
      <c r="O14" s="91">
        <v>0</v>
      </c>
      <c r="P14" s="91">
        <v>0</v>
      </c>
      <c r="Q14" s="91">
        <v>0</v>
      </c>
      <c r="R14" s="91">
        <v>0</v>
      </c>
      <c r="S14" s="91">
        <v>0</v>
      </c>
      <c r="T14" s="91">
        <v>0</v>
      </c>
      <c r="U14" s="91">
        <v>0</v>
      </c>
      <c r="V14" s="91">
        <v>0</v>
      </c>
      <c r="W14" s="91">
        <v>0</v>
      </c>
      <c r="X14" s="91">
        <v>0</v>
      </c>
      <c r="Y14" s="119">
        <v>0</v>
      </c>
      <c r="Z14" s="92">
        <f t="shared" si="0"/>
        <v>0</v>
      </c>
    </row>
    <row r="15" spans="1:26" x14ac:dyDescent="0.2">
      <c r="A15" s="89" t="s">
        <v>803</v>
      </c>
      <c r="B15" s="89" t="s">
        <v>804</v>
      </c>
      <c r="C15" s="89" t="s">
        <v>641</v>
      </c>
      <c r="D15" s="89" t="s">
        <v>1358</v>
      </c>
      <c r="E15" s="67" t="s">
        <v>1320</v>
      </c>
      <c r="F15" s="89" t="s">
        <v>1359</v>
      </c>
      <c r="G15" s="90">
        <v>44279</v>
      </c>
      <c r="H15" s="90"/>
      <c r="I15" s="91">
        <v>0</v>
      </c>
      <c r="J15" s="91">
        <v>0</v>
      </c>
      <c r="K15" s="91">
        <v>0</v>
      </c>
      <c r="L15" s="91">
        <v>0</v>
      </c>
      <c r="M15" s="91">
        <v>0</v>
      </c>
      <c r="N15" s="91">
        <v>0</v>
      </c>
      <c r="O15" s="91">
        <v>0</v>
      </c>
      <c r="P15" s="91">
        <v>0</v>
      </c>
      <c r="Q15" s="91">
        <v>0</v>
      </c>
      <c r="R15" s="91">
        <v>0</v>
      </c>
      <c r="S15" s="91">
        <v>0</v>
      </c>
      <c r="T15" s="91">
        <v>0</v>
      </c>
      <c r="U15" s="91">
        <v>0</v>
      </c>
      <c r="V15" s="91">
        <v>0</v>
      </c>
      <c r="W15" s="91">
        <v>0</v>
      </c>
      <c r="X15" s="91">
        <v>0</v>
      </c>
      <c r="Y15" s="119">
        <v>0</v>
      </c>
      <c r="Z15" s="92">
        <f t="shared" si="0"/>
        <v>0</v>
      </c>
    </row>
    <row r="16" spans="1:26" x14ac:dyDescent="0.2">
      <c r="A16" s="89" t="s">
        <v>112</v>
      </c>
      <c r="B16" s="89" t="s">
        <v>113</v>
      </c>
      <c r="C16" s="89" t="s">
        <v>641</v>
      </c>
      <c r="D16" s="89" t="s">
        <v>1358</v>
      </c>
      <c r="E16" s="67" t="s">
        <v>114</v>
      </c>
      <c r="F16" s="89" t="s">
        <v>115</v>
      </c>
      <c r="G16" s="90">
        <v>44606</v>
      </c>
      <c r="H16" s="90"/>
      <c r="I16" s="91">
        <v>10261764</v>
      </c>
      <c r="J16" s="91">
        <v>9355.76</v>
      </c>
      <c r="K16" s="91">
        <v>0</v>
      </c>
      <c r="L16" s="91">
        <v>12903.390000000001</v>
      </c>
      <c r="M16" s="91">
        <v>0</v>
      </c>
      <c r="N16" s="91">
        <v>0</v>
      </c>
      <c r="O16" s="91">
        <v>22259.15</v>
      </c>
      <c r="P16" s="91">
        <v>4833.1499999999996</v>
      </c>
      <c r="Q16" s="91">
        <v>0</v>
      </c>
      <c r="R16" s="91">
        <v>0</v>
      </c>
      <c r="S16" s="91">
        <v>5914.4699999999993</v>
      </c>
      <c r="T16" s="91">
        <v>0</v>
      </c>
      <c r="U16" s="91">
        <v>10747.619999999999</v>
      </c>
      <c r="V16" s="91">
        <v>11511.529999999999</v>
      </c>
      <c r="W16" s="91">
        <v>0</v>
      </c>
      <c r="X16" s="91">
        <v>107227.17</v>
      </c>
      <c r="Y16" s="119">
        <v>107227.17</v>
      </c>
      <c r="Z16" s="92">
        <f t="shared" si="0"/>
        <v>-95715.64</v>
      </c>
    </row>
    <row r="17" spans="1:26" x14ac:dyDescent="0.2">
      <c r="A17" s="89" t="s">
        <v>709</v>
      </c>
      <c r="B17" s="89" t="s">
        <v>710</v>
      </c>
      <c r="C17" s="89" t="s">
        <v>641</v>
      </c>
      <c r="D17" s="89" t="s">
        <v>1358</v>
      </c>
      <c r="E17" s="67" t="s">
        <v>114</v>
      </c>
      <c r="F17" s="89" t="s">
        <v>115</v>
      </c>
      <c r="G17" s="90">
        <v>44776</v>
      </c>
      <c r="H17" s="90"/>
      <c r="I17" s="91">
        <v>7687368</v>
      </c>
      <c r="J17" s="91">
        <v>0</v>
      </c>
      <c r="K17" s="91">
        <v>0</v>
      </c>
      <c r="L17" s="91">
        <v>77393.650000000009</v>
      </c>
      <c r="M17" s="91">
        <v>0</v>
      </c>
      <c r="N17" s="91">
        <v>0</v>
      </c>
      <c r="O17" s="91">
        <v>77393.650000000009</v>
      </c>
      <c r="P17" s="91">
        <v>26273.760000000002</v>
      </c>
      <c r="Q17" s="91">
        <v>0</v>
      </c>
      <c r="R17" s="91">
        <v>5683.84</v>
      </c>
      <c r="S17" s="91">
        <v>6822.35</v>
      </c>
      <c r="T17" s="91">
        <v>0</v>
      </c>
      <c r="U17" s="91">
        <v>38779.950000000004</v>
      </c>
      <c r="V17" s="91">
        <v>38613.700000000012</v>
      </c>
      <c r="W17" s="91">
        <v>1154.29</v>
      </c>
      <c r="X17" s="91">
        <v>38877.879999999997</v>
      </c>
      <c r="Y17" s="119">
        <v>40032.17</v>
      </c>
      <c r="Z17" s="92">
        <f t="shared" si="0"/>
        <v>-1418.4699999999866</v>
      </c>
    </row>
    <row r="18" spans="1:26" x14ac:dyDescent="0.2">
      <c r="A18" s="89" t="s">
        <v>746</v>
      </c>
      <c r="B18" s="89" t="s">
        <v>747</v>
      </c>
      <c r="C18" s="89" t="s">
        <v>641</v>
      </c>
      <c r="D18" s="89" t="s">
        <v>1358</v>
      </c>
      <c r="E18" s="67" t="s">
        <v>748</v>
      </c>
      <c r="F18" s="89" t="s">
        <v>954</v>
      </c>
      <c r="G18" s="90">
        <v>44806</v>
      </c>
      <c r="H18" s="90"/>
      <c r="I18" s="91">
        <v>0</v>
      </c>
      <c r="J18" s="91">
        <v>0</v>
      </c>
      <c r="K18" s="91">
        <v>0</v>
      </c>
      <c r="L18" s="91">
        <v>0</v>
      </c>
      <c r="M18" s="91">
        <v>0</v>
      </c>
      <c r="N18" s="91">
        <v>0</v>
      </c>
      <c r="O18" s="91">
        <v>0</v>
      </c>
      <c r="P18" s="91">
        <v>0</v>
      </c>
      <c r="Q18" s="91">
        <v>0</v>
      </c>
      <c r="R18" s="91">
        <v>0</v>
      </c>
      <c r="S18" s="91">
        <v>0</v>
      </c>
      <c r="T18" s="91">
        <v>0</v>
      </c>
      <c r="U18" s="91">
        <v>0</v>
      </c>
      <c r="V18" s="91">
        <v>0</v>
      </c>
      <c r="W18" s="91">
        <v>0</v>
      </c>
      <c r="X18" s="91">
        <v>0</v>
      </c>
      <c r="Y18" s="119">
        <v>0</v>
      </c>
      <c r="Z18" s="92">
        <f t="shared" si="0"/>
        <v>0</v>
      </c>
    </row>
    <row r="19" spans="1:26" x14ac:dyDescent="0.2">
      <c r="A19" s="89" t="s">
        <v>739</v>
      </c>
      <c r="B19" s="89" t="s">
        <v>1250</v>
      </c>
      <c r="C19" s="89" t="s">
        <v>641</v>
      </c>
      <c r="D19" s="89" t="s">
        <v>1358</v>
      </c>
      <c r="E19" s="67" t="s">
        <v>1228</v>
      </c>
      <c r="F19" s="89" t="s">
        <v>1360</v>
      </c>
      <c r="G19" s="90">
        <v>44810</v>
      </c>
      <c r="H19" s="90"/>
      <c r="I19" s="91">
        <v>0</v>
      </c>
      <c r="J19" s="91">
        <v>0</v>
      </c>
      <c r="K19" s="91">
        <v>0</v>
      </c>
      <c r="L19" s="91">
        <v>0</v>
      </c>
      <c r="M19" s="91">
        <v>0</v>
      </c>
      <c r="N19" s="91">
        <v>0</v>
      </c>
      <c r="O19" s="91">
        <v>0</v>
      </c>
      <c r="P19" s="91">
        <v>0</v>
      </c>
      <c r="Q19" s="91">
        <v>0</v>
      </c>
      <c r="R19" s="91">
        <v>0</v>
      </c>
      <c r="S19" s="91">
        <v>0</v>
      </c>
      <c r="T19" s="91">
        <v>0</v>
      </c>
      <c r="U19" s="91">
        <v>0</v>
      </c>
      <c r="V19" s="91">
        <v>0</v>
      </c>
      <c r="W19" s="91">
        <v>0</v>
      </c>
      <c r="X19" s="91">
        <v>0</v>
      </c>
      <c r="Y19" s="119">
        <v>0</v>
      </c>
      <c r="Z19" s="92">
        <f t="shared" si="0"/>
        <v>0</v>
      </c>
    </row>
    <row r="20" spans="1:26" x14ac:dyDescent="0.2">
      <c r="A20" s="89" t="s">
        <v>796</v>
      </c>
      <c r="B20" s="89" t="s">
        <v>797</v>
      </c>
      <c r="C20" s="89" t="s">
        <v>641</v>
      </c>
      <c r="D20" s="89" t="s">
        <v>1358</v>
      </c>
      <c r="E20" s="67" t="s">
        <v>798</v>
      </c>
      <c r="F20" s="89" t="s">
        <v>1361</v>
      </c>
      <c r="G20" s="90">
        <v>44826</v>
      </c>
      <c r="H20" s="90"/>
      <c r="I20" s="91">
        <v>256484.8</v>
      </c>
      <c r="J20" s="91">
        <v>0</v>
      </c>
      <c r="K20" s="91">
        <v>0</v>
      </c>
      <c r="L20" s="91">
        <v>10736.24</v>
      </c>
      <c r="M20" s="91">
        <v>0</v>
      </c>
      <c r="N20" s="91">
        <v>0</v>
      </c>
      <c r="O20" s="91">
        <v>10736.24</v>
      </c>
      <c r="P20" s="91">
        <v>1072.08</v>
      </c>
      <c r="Q20" s="91">
        <v>0</v>
      </c>
      <c r="R20" s="91">
        <v>0</v>
      </c>
      <c r="S20" s="91">
        <v>0</v>
      </c>
      <c r="T20" s="91">
        <v>2645.47</v>
      </c>
      <c r="U20" s="91">
        <v>3717.55</v>
      </c>
      <c r="V20" s="91">
        <v>7018.69</v>
      </c>
      <c r="W20" s="91">
        <v>0</v>
      </c>
      <c r="X20" s="91">
        <v>0</v>
      </c>
      <c r="Y20" s="119">
        <v>0</v>
      </c>
      <c r="Z20" s="92">
        <f t="shared" si="0"/>
        <v>7018.69</v>
      </c>
    </row>
    <row r="21" spans="1:26" x14ac:dyDescent="0.2">
      <c r="A21" s="89" t="s">
        <v>809</v>
      </c>
      <c r="B21" s="89" t="s">
        <v>810</v>
      </c>
      <c r="C21" s="89" t="s">
        <v>641</v>
      </c>
      <c r="D21" s="89" t="s">
        <v>1358</v>
      </c>
      <c r="E21" s="67" t="s">
        <v>811</v>
      </c>
      <c r="F21" s="89" t="s">
        <v>1362</v>
      </c>
      <c r="G21" s="90">
        <v>44889</v>
      </c>
      <c r="H21" s="90"/>
      <c r="I21" s="91">
        <v>109720</v>
      </c>
      <c r="J21" s="91">
        <v>15233.95</v>
      </c>
      <c r="K21" s="91">
        <v>0</v>
      </c>
      <c r="L21" s="91">
        <v>0</v>
      </c>
      <c r="M21" s="91">
        <v>0</v>
      </c>
      <c r="N21" s="91">
        <v>0</v>
      </c>
      <c r="O21" s="91">
        <v>15233.95</v>
      </c>
      <c r="P21" s="91">
        <v>16568.560000000001</v>
      </c>
      <c r="Q21" s="91">
        <v>0</v>
      </c>
      <c r="R21" s="91">
        <v>0</v>
      </c>
      <c r="S21" s="91">
        <v>0</v>
      </c>
      <c r="T21" s="91">
        <v>0</v>
      </c>
      <c r="U21" s="91">
        <v>16568.560000000001</v>
      </c>
      <c r="V21" s="91">
        <v>-1334.6100000000006</v>
      </c>
      <c r="W21" s="91">
        <v>0</v>
      </c>
      <c r="X21" s="91">
        <v>0</v>
      </c>
      <c r="Y21" s="119">
        <v>0</v>
      </c>
      <c r="Z21" s="92">
        <f t="shared" si="0"/>
        <v>-1334.6100000000006</v>
      </c>
    </row>
    <row r="22" spans="1:26" x14ac:dyDescent="0.2">
      <c r="A22" s="89" t="s">
        <v>873</v>
      </c>
      <c r="B22" s="89" t="s">
        <v>874</v>
      </c>
      <c r="C22" s="89" t="s">
        <v>641</v>
      </c>
      <c r="D22" s="89" t="s">
        <v>1358</v>
      </c>
      <c r="E22" s="67" t="s">
        <v>875</v>
      </c>
      <c r="F22" s="89" t="s">
        <v>1363</v>
      </c>
      <c r="G22" s="90">
        <v>44804</v>
      </c>
      <c r="H22" s="90"/>
      <c r="I22" s="91">
        <v>167774.2</v>
      </c>
      <c r="J22" s="91">
        <v>0</v>
      </c>
      <c r="K22" s="91">
        <v>0</v>
      </c>
      <c r="L22" s="91">
        <v>0</v>
      </c>
      <c r="M22" s="91">
        <v>0</v>
      </c>
      <c r="N22" s="91">
        <v>0</v>
      </c>
      <c r="O22" s="91">
        <v>0</v>
      </c>
      <c r="P22" s="91">
        <v>0</v>
      </c>
      <c r="Q22" s="91">
        <v>0</v>
      </c>
      <c r="R22" s="91">
        <v>0</v>
      </c>
      <c r="S22" s="91">
        <v>0</v>
      </c>
      <c r="T22" s="91">
        <v>0</v>
      </c>
      <c r="U22" s="91">
        <v>0</v>
      </c>
      <c r="V22" s="91">
        <v>0</v>
      </c>
      <c r="W22" s="91">
        <v>0</v>
      </c>
      <c r="X22" s="91">
        <v>0</v>
      </c>
      <c r="Y22" s="119">
        <v>0</v>
      </c>
      <c r="Z22" s="92">
        <f t="shared" si="0"/>
        <v>0</v>
      </c>
    </row>
    <row r="23" spans="1:26" x14ac:dyDescent="0.2">
      <c r="A23" s="89" t="s">
        <v>876</v>
      </c>
      <c r="B23" s="89" t="s">
        <v>877</v>
      </c>
      <c r="C23" s="89" t="s">
        <v>641</v>
      </c>
      <c r="D23" s="89" t="s">
        <v>1358</v>
      </c>
      <c r="E23" s="67" t="s">
        <v>878</v>
      </c>
      <c r="F23" s="89" t="s">
        <v>1364</v>
      </c>
      <c r="G23" s="90">
        <v>44901</v>
      </c>
      <c r="H23" s="90"/>
      <c r="I23" s="91">
        <v>22000</v>
      </c>
      <c r="J23" s="91">
        <v>0</v>
      </c>
      <c r="K23" s="91">
        <v>0</v>
      </c>
      <c r="L23" s="91">
        <v>0</v>
      </c>
      <c r="M23" s="91">
        <v>0</v>
      </c>
      <c r="N23" s="91">
        <v>0</v>
      </c>
      <c r="O23" s="91">
        <v>0</v>
      </c>
      <c r="P23" s="91">
        <v>0</v>
      </c>
      <c r="Q23" s="91">
        <v>0</v>
      </c>
      <c r="R23" s="91">
        <v>796.84999999999991</v>
      </c>
      <c r="S23" s="91">
        <v>0</v>
      </c>
      <c r="T23" s="91">
        <v>0</v>
      </c>
      <c r="U23" s="91">
        <v>796.84999999999991</v>
      </c>
      <c r="V23" s="91">
        <v>-796.84999999999991</v>
      </c>
      <c r="W23" s="91">
        <v>0</v>
      </c>
      <c r="X23" s="91">
        <v>0</v>
      </c>
      <c r="Y23" s="119">
        <v>0</v>
      </c>
      <c r="Z23" s="92">
        <f t="shared" si="0"/>
        <v>-796.84999999999991</v>
      </c>
    </row>
    <row r="24" spans="1:26" x14ac:dyDescent="0.2">
      <c r="A24" s="89" t="s">
        <v>881</v>
      </c>
      <c r="B24" s="89" t="s">
        <v>882</v>
      </c>
      <c r="C24" s="89" t="s">
        <v>641</v>
      </c>
      <c r="D24" s="89" t="s">
        <v>1358</v>
      </c>
      <c r="E24" s="67" t="s">
        <v>830</v>
      </c>
      <c r="F24" s="89" t="s">
        <v>1365</v>
      </c>
      <c r="G24" s="90">
        <v>44931</v>
      </c>
      <c r="H24" s="90"/>
      <c r="I24" s="91">
        <v>275000</v>
      </c>
      <c r="J24" s="91">
        <v>0</v>
      </c>
      <c r="K24" s="91">
        <v>0</v>
      </c>
      <c r="L24" s="91">
        <v>0</v>
      </c>
      <c r="M24" s="91">
        <v>0</v>
      </c>
      <c r="N24" s="91">
        <v>0</v>
      </c>
      <c r="O24" s="91">
        <v>0</v>
      </c>
      <c r="P24" s="91">
        <v>0</v>
      </c>
      <c r="Q24" s="91">
        <v>0</v>
      </c>
      <c r="R24" s="91">
        <v>0</v>
      </c>
      <c r="S24" s="91">
        <v>0</v>
      </c>
      <c r="T24" s="91">
        <v>0</v>
      </c>
      <c r="U24" s="91">
        <v>0</v>
      </c>
      <c r="V24" s="91">
        <v>0</v>
      </c>
      <c r="W24" s="91">
        <v>0</v>
      </c>
      <c r="X24" s="91">
        <v>0</v>
      </c>
      <c r="Y24" s="119">
        <v>0</v>
      </c>
      <c r="Z24" s="92">
        <f t="shared" si="0"/>
        <v>0</v>
      </c>
    </row>
    <row r="25" spans="1:26" x14ac:dyDescent="0.2">
      <c r="A25" s="89" t="s">
        <v>887</v>
      </c>
      <c r="B25" s="89" t="s">
        <v>888</v>
      </c>
      <c r="C25" s="89" t="s">
        <v>641</v>
      </c>
      <c r="D25" s="89" t="s">
        <v>1358</v>
      </c>
      <c r="E25" s="67" t="s">
        <v>875</v>
      </c>
      <c r="F25" s="89" t="s">
        <v>1363</v>
      </c>
      <c r="G25" s="90">
        <v>44932</v>
      </c>
      <c r="H25" s="90"/>
      <c r="I25" s="91">
        <v>0</v>
      </c>
      <c r="J25" s="91">
        <v>0</v>
      </c>
      <c r="K25" s="91">
        <v>0</v>
      </c>
      <c r="L25" s="91">
        <v>0</v>
      </c>
      <c r="M25" s="91">
        <v>0</v>
      </c>
      <c r="N25" s="91">
        <v>0</v>
      </c>
      <c r="O25" s="91">
        <v>0</v>
      </c>
      <c r="P25" s="91">
        <v>0</v>
      </c>
      <c r="Q25" s="91">
        <v>0</v>
      </c>
      <c r="R25" s="91">
        <v>6215.3</v>
      </c>
      <c r="S25" s="91">
        <v>0</v>
      </c>
      <c r="T25" s="91">
        <v>0</v>
      </c>
      <c r="U25" s="91">
        <v>6215.3</v>
      </c>
      <c r="V25" s="91">
        <v>-6215.3</v>
      </c>
      <c r="W25" s="91">
        <v>0</v>
      </c>
      <c r="X25" s="91">
        <v>0</v>
      </c>
      <c r="Y25" s="119">
        <v>0</v>
      </c>
      <c r="Z25" s="92">
        <f t="shared" si="0"/>
        <v>-6215.3</v>
      </c>
    </row>
    <row r="26" spans="1:26" x14ac:dyDescent="0.2">
      <c r="A26" s="89" t="s">
        <v>707</v>
      </c>
      <c r="B26" s="89" t="s">
        <v>708</v>
      </c>
      <c r="C26" s="89" t="s">
        <v>641</v>
      </c>
      <c r="D26" s="89" t="s">
        <v>1358</v>
      </c>
      <c r="E26" s="67" t="s">
        <v>166</v>
      </c>
      <c r="F26" s="89" t="s">
        <v>167</v>
      </c>
      <c r="G26" s="90">
        <v>44799</v>
      </c>
      <c r="H26" s="90"/>
      <c r="I26" s="91">
        <v>479000</v>
      </c>
      <c r="J26" s="91">
        <v>0</v>
      </c>
      <c r="K26" s="91">
        <v>0</v>
      </c>
      <c r="L26" s="91">
        <v>0</v>
      </c>
      <c r="M26" s="91">
        <v>0</v>
      </c>
      <c r="N26" s="91">
        <v>0</v>
      </c>
      <c r="O26" s="91">
        <v>0</v>
      </c>
      <c r="P26" s="91">
        <v>7796.97</v>
      </c>
      <c r="Q26" s="91">
        <v>0</v>
      </c>
      <c r="R26" s="91">
        <v>0</v>
      </c>
      <c r="S26" s="91">
        <v>2714.95</v>
      </c>
      <c r="T26" s="91">
        <v>0</v>
      </c>
      <c r="U26" s="91">
        <v>10511.92</v>
      </c>
      <c r="V26" s="91">
        <v>-10511.92</v>
      </c>
      <c r="W26" s="91">
        <v>584.77</v>
      </c>
      <c r="X26" s="91">
        <v>0</v>
      </c>
      <c r="Y26" s="119">
        <v>584.77</v>
      </c>
      <c r="Z26" s="92">
        <f t="shared" si="0"/>
        <v>-11096.69</v>
      </c>
    </row>
    <row r="27" spans="1:26" x14ac:dyDescent="0.2">
      <c r="A27" s="89" t="s">
        <v>152</v>
      </c>
      <c r="B27" s="89" t="s">
        <v>153</v>
      </c>
      <c r="C27" s="89" t="s">
        <v>641</v>
      </c>
      <c r="D27" s="89" t="s">
        <v>1358</v>
      </c>
      <c r="E27" s="67" t="s">
        <v>62</v>
      </c>
      <c r="F27" s="89" t="s">
        <v>63</v>
      </c>
      <c r="G27" s="90">
        <v>44729</v>
      </c>
      <c r="H27" s="90"/>
      <c r="I27" s="91">
        <v>1199000</v>
      </c>
      <c r="J27" s="91">
        <v>0</v>
      </c>
      <c r="K27" s="91">
        <v>0</v>
      </c>
      <c r="L27" s="91">
        <v>0</v>
      </c>
      <c r="M27" s="91">
        <v>0</v>
      </c>
      <c r="N27" s="91">
        <v>0</v>
      </c>
      <c r="O27" s="91">
        <v>0</v>
      </c>
      <c r="P27" s="91">
        <v>0</v>
      </c>
      <c r="Q27" s="91">
        <v>0</v>
      </c>
      <c r="R27" s="91">
        <v>0</v>
      </c>
      <c r="S27" s="91">
        <v>0</v>
      </c>
      <c r="T27" s="91">
        <v>0</v>
      </c>
      <c r="U27" s="91">
        <v>0</v>
      </c>
      <c r="V27" s="91">
        <v>0</v>
      </c>
      <c r="W27" s="91">
        <v>0</v>
      </c>
      <c r="X27" s="91">
        <v>0</v>
      </c>
      <c r="Y27" s="119">
        <v>0</v>
      </c>
      <c r="Z27" s="92">
        <f t="shared" si="0"/>
        <v>0</v>
      </c>
    </row>
    <row r="28" spans="1:26" x14ac:dyDescent="0.2">
      <c r="A28" s="89" t="s">
        <v>931</v>
      </c>
      <c r="B28" s="89" t="s">
        <v>932</v>
      </c>
      <c r="C28" s="89" t="s">
        <v>641</v>
      </c>
      <c r="D28" s="89" t="s">
        <v>1358</v>
      </c>
      <c r="E28" s="67" t="s">
        <v>933</v>
      </c>
      <c r="F28" s="89" t="s">
        <v>934</v>
      </c>
      <c r="G28" s="90">
        <v>45057</v>
      </c>
      <c r="H28" s="90"/>
      <c r="I28" s="91">
        <v>24860</v>
      </c>
      <c r="J28" s="91">
        <v>0</v>
      </c>
      <c r="K28" s="91">
        <v>0</v>
      </c>
      <c r="L28" s="91">
        <v>0</v>
      </c>
      <c r="M28" s="91">
        <v>0</v>
      </c>
      <c r="N28" s="91">
        <v>0</v>
      </c>
      <c r="O28" s="91">
        <v>0</v>
      </c>
      <c r="P28" s="91">
        <v>0</v>
      </c>
      <c r="Q28" s="91">
        <v>0</v>
      </c>
      <c r="R28" s="91">
        <v>0</v>
      </c>
      <c r="S28" s="91">
        <v>16481.809999999998</v>
      </c>
      <c r="T28" s="91">
        <v>0</v>
      </c>
      <c r="U28" s="91">
        <v>16481.809999999998</v>
      </c>
      <c r="V28" s="91">
        <v>-16481.809999999998</v>
      </c>
      <c r="W28" s="91">
        <v>0</v>
      </c>
      <c r="X28" s="91">
        <v>-3932.02</v>
      </c>
      <c r="Y28" s="119">
        <v>-3932.02</v>
      </c>
      <c r="Z28" s="92">
        <f t="shared" si="0"/>
        <v>-12549.789999999997</v>
      </c>
    </row>
    <row r="29" spans="1:26" x14ac:dyDescent="0.2">
      <c r="A29" s="89" t="s">
        <v>935</v>
      </c>
      <c r="B29" s="89" t="s">
        <v>945</v>
      </c>
      <c r="C29" s="89" t="s">
        <v>641</v>
      </c>
      <c r="D29" s="89" t="s">
        <v>1358</v>
      </c>
      <c r="E29" s="67" t="s">
        <v>748</v>
      </c>
      <c r="F29" s="89" t="s">
        <v>954</v>
      </c>
      <c r="G29" s="90">
        <v>45077</v>
      </c>
      <c r="H29" s="90"/>
      <c r="I29" s="91">
        <v>49500</v>
      </c>
      <c r="J29" s="91">
        <v>122892.77</v>
      </c>
      <c r="K29" s="91">
        <v>0</v>
      </c>
      <c r="L29" s="91">
        <v>0</v>
      </c>
      <c r="M29" s="91">
        <v>0</v>
      </c>
      <c r="N29" s="91">
        <v>0</v>
      </c>
      <c r="O29" s="91">
        <v>122892.77</v>
      </c>
      <c r="P29" s="91">
        <v>111735.25</v>
      </c>
      <c r="Q29" s="91">
        <v>0</v>
      </c>
      <c r="R29" s="91">
        <v>6626.75</v>
      </c>
      <c r="S29" s="91">
        <v>20034.21</v>
      </c>
      <c r="T29" s="91">
        <v>0</v>
      </c>
      <c r="U29" s="91">
        <v>138396.21000000002</v>
      </c>
      <c r="V29" s="91">
        <v>-15503.440000000006</v>
      </c>
      <c r="W29" s="91">
        <v>2308.59</v>
      </c>
      <c r="X29" s="91">
        <v>0</v>
      </c>
      <c r="Y29" s="119">
        <v>2308.59</v>
      </c>
      <c r="Z29" s="92">
        <f t="shared" si="0"/>
        <v>-17812.030000000006</v>
      </c>
    </row>
    <row r="30" spans="1:26" x14ac:dyDescent="0.2">
      <c r="A30" s="89" t="s">
        <v>828</v>
      </c>
      <c r="B30" s="89" t="s">
        <v>829</v>
      </c>
      <c r="C30" s="89" t="s">
        <v>641</v>
      </c>
      <c r="D30" s="89" t="s">
        <v>1358</v>
      </c>
      <c r="E30" s="67" t="s">
        <v>830</v>
      </c>
      <c r="F30" s="89" t="s">
        <v>1365</v>
      </c>
      <c r="G30" s="90">
        <v>44930</v>
      </c>
      <c r="H30" s="90"/>
      <c r="I30" s="91">
        <v>0</v>
      </c>
      <c r="J30" s="91">
        <v>0</v>
      </c>
      <c r="K30" s="91">
        <v>0</v>
      </c>
      <c r="L30" s="91">
        <v>0</v>
      </c>
      <c r="M30" s="91">
        <v>0</v>
      </c>
      <c r="N30" s="91">
        <v>0</v>
      </c>
      <c r="O30" s="91">
        <v>0</v>
      </c>
      <c r="P30" s="91">
        <v>0</v>
      </c>
      <c r="Q30" s="91">
        <v>0</v>
      </c>
      <c r="R30" s="91">
        <v>0</v>
      </c>
      <c r="S30" s="91">
        <v>0</v>
      </c>
      <c r="T30" s="91">
        <v>0</v>
      </c>
      <c r="U30" s="91">
        <v>0</v>
      </c>
      <c r="V30" s="91">
        <v>0</v>
      </c>
      <c r="W30" s="91">
        <v>0</v>
      </c>
      <c r="X30" s="91">
        <v>0</v>
      </c>
      <c r="Y30" s="119">
        <v>0</v>
      </c>
      <c r="Z30" s="92">
        <f t="shared" si="0"/>
        <v>0</v>
      </c>
    </row>
    <row r="31" spans="1:26" x14ac:dyDescent="0.2">
      <c r="A31" s="89" t="s">
        <v>978</v>
      </c>
      <c r="B31" s="89" t="s">
        <v>979</v>
      </c>
      <c r="C31" s="89" t="s">
        <v>641</v>
      </c>
      <c r="D31" s="89" t="s">
        <v>1358</v>
      </c>
      <c r="E31" s="67" t="s">
        <v>748</v>
      </c>
      <c r="F31" s="89" t="s">
        <v>954</v>
      </c>
      <c r="G31" s="90">
        <v>45061</v>
      </c>
      <c r="H31" s="90"/>
      <c r="I31" s="91">
        <v>38500</v>
      </c>
      <c r="J31" s="91">
        <v>46075.25</v>
      </c>
      <c r="K31" s="91">
        <v>0</v>
      </c>
      <c r="L31" s="91">
        <v>0</v>
      </c>
      <c r="M31" s="91">
        <v>0</v>
      </c>
      <c r="N31" s="91">
        <v>0</v>
      </c>
      <c r="O31" s="91">
        <v>46075.25</v>
      </c>
      <c r="P31" s="91">
        <v>66528.790000000008</v>
      </c>
      <c r="Q31" s="91">
        <v>0</v>
      </c>
      <c r="R31" s="91">
        <v>0</v>
      </c>
      <c r="S31" s="91">
        <v>13644.69</v>
      </c>
      <c r="T31" s="91">
        <v>0</v>
      </c>
      <c r="U31" s="91">
        <v>80173.48000000001</v>
      </c>
      <c r="V31" s="91">
        <v>-34098.230000000003</v>
      </c>
      <c r="W31" s="91">
        <v>0</v>
      </c>
      <c r="X31" s="91">
        <v>0</v>
      </c>
      <c r="Y31" s="119">
        <v>0</v>
      </c>
      <c r="Z31" s="92">
        <f t="shared" si="0"/>
        <v>-34098.230000000003</v>
      </c>
    </row>
    <row r="32" spans="1:26" x14ac:dyDescent="0.2">
      <c r="A32" s="89" t="s">
        <v>188</v>
      </c>
      <c r="B32" s="89" t="s">
        <v>189</v>
      </c>
      <c r="C32" s="89" t="s">
        <v>641</v>
      </c>
      <c r="D32" s="89" t="s">
        <v>1358</v>
      </c>
      <c r="E32" s="67" t="s">
        <v>45</v>
      </c>
      <c r="F32" s="89" t="s">
        <v>46</v>
      </c>
      <c r="G32" s="90">
        <v>44306</v>
      </c>
      <c r="H32" s="90"/>
      <c r="I32" s="91">
        <v>16500</v>
      </c>
      <c r="J32" s="91">
        <v>0</v>
      </c>
      <c r="K32" s="91">
        <v>0</v>
      </c>
      <c r="L32" s="91">
        <v>0</v>
      </c>
      <c r="M32" s="91">
        <v>0</v>
      </c>
      <c r="N32" s="91">
        <v>0</v>
      </c>
      <c r="O32" s="91">
        <v>0</v>
      </c>
      <c r="P32" s="91">
        <v>0</v>
      </c>
      <c r="Q32" s="91">
        <v>0</v>
      </c>
      <c r="R32" s="91">
        <v>0</v>
      </c>
      <c r="S32" s="91">
        <v>0</v>
      </c>
      <c r="T32" s="91">
        <v>0</v>
      </c>
      <c r="U32" s="91">
        <v>0</v>
      </c>
      <c r="V32" s="91">
        <v>0</v>
      </c>
      <c r="W32" s="91">
        <v>0</v>
      </c>
      <c r="X32" s="91">
        <v>0</v>
      </c>
      <c r="Y32" s="119">
        <v>0</v>
      </c>
      <c r="Z32" s="92">
        <f t="shared" si="0"/>
        <v>0</v>
      </c>
    </row>
    <row r="33" spans="1:26" x14ac:dyDescent="0.2">
      <c r="A33" s="89" t="s">
        <v>957</v>
      </c>
      <c r="B33" s="89" t="s">
        <v>958</v>
      </c>
      <c r="C33" s="89" t="s">
        <v>641</v>
      </c>
      <c r="D33" s="89" t="s">
        <v>642</v>
      </c>
      <c r="E33" s="67" t="s">
        <v>56</v>
      </c>
      <c r="F33" s="89" t="s">
        <v>57</v>
      </c>
      <c r="G33" s="90">
        <v>45091</v>
      </c>
      <c r="H33" s="90"/>
      <c r="I33" s="91">
        <v>485600</v>
      </c>
      <c r="J33" s="91">
        <v>0</v>
      </c>
      <c r="K33" s="91">
        <v>0</v>
      </c>
      <c r="L33" s="91">
        <v>0</v>
      </c>
      <c r="M33" s="91">
        <v>0</v>
      </c>
      <c r="N33" s="91">
        <v>0</v>
      </c>
      <c r="O33" s="91">
        <v>0</v>
      </c>
      <c r="P33" s="91">
        <v>0</v>
      </c>
      <c r="Q33" s="91">
        <v>0</v>
      </c>
      <c r="R33" s="91">
        <v>0</v>
      </c>
      <c r="S33" s="91">
        <v>0</v>
      </c>
      <c r="T33" s="91">
        <v>4803.6899999999996</v>
      </c>
      <c r="U33" s="91">
        <v>4803.6899999999996</v>
      </c>
      <c r="V33" s="91">
        <v>-4803.6899999999996</v>
      </c>
      <c r="W33" s="91">
        <v>11208.14</v>
      </c>
      <c r="X33" s="91">
        <v>0</v>
      </c>
      <c r="Y33" s="119">
        <v>11208.14</v>
      </c>
      <c r="Z33" s="92">
        <f t="shared" si="0"/>
        <v>-16011.829999999998</v>
      </c>
    </row>
    <row r="34" spans="1:26" x14ac:dyDescent="0.2">
      <c r="A34" s="89" t="s">
        <v>1077</v>
      </c>
      <c r="B34" s="89" t="s">
        <v>1078</v>
      </c>
      <c r="C34" s="89" t="s">
        <v>641</v>
      </c>
      <c r="D34" s="89" t="s">
        <v>642</v>
      </c>
      <c r="E34" s="67" t="s">
        <v>933</v>
      </c>
      <c r="F34" s="89" t="s">
        <v>934</v>
      </c>
      <c r="G34" s="90">
        <v>45076</v>
      </c>
      <c r="H34" s="90"/>
      <c r="I34" s="91">
        <v>15910.4</v>
      </c>
      <c r="J34" s="91">
        <v>0</v>
      </c>
      <c r="K34" s="91">
        <v>0</v>
      </c>
      <c r="L34" s="91">
        <v>0</v>
      </c>
      <c r="M34" s="91">
        <v>0</v>
      </c>
      <c r="N34" s="91">
        <v>0</v>
      </c>
      <c r="O34" s="91">
        <v>0</v>
      </c>
      <c r="P34" s="91">
        <v>0</v>
      </c>
      <c r="Q34" s="91">
        <v>0</v>
      </c>
      <c r="R34" s="91">
        <v>0</v>
      </c>
      <c r="S34" s="91">
        <v>0</v>
      </c>
      <c r="T34" s="91">
        <v>0</v>
      </c>
      <c r="U34" s="91">
        <v>0</v>
      </c>
      <c r="V34" s="91">
        <v>0</v>
      </c>
      <c r="W34" s="91">
        <v>0</v>
      </c>
      <c r="X34" s="91">
        <v>0</v>
      </c>
      <c r="Y34" s="119">
        <v>0</v>
      </c>
      <c r="Z34" s="92">
        <f t="shared" si="0"/>
        <v>0</v>
      </c>
    </row>
    <row r="35" spans="1:26" x14ac:dyDescent="0.2">
      <c r="A35" s="89" t="s">
        <v>1036</v>
      </c>
      <c r="B35" s="89" t="s">
        <v>1037</v>
      </c>
      <c r="C35" s="89" t="s">
        <v>641</v>
      </c>
      <c r="D35" s="89" t="s">
        <v>642</v>
      </c>
      <c r="E35" s="67" t="s">
        <v>1038</v>
      </c>
      <c r="F35" s="89" t="s">
        <v>1039</v>
      </c>
      <c r="G35" s="90">
        <v>45161</v>
      </c>
      <c r="H35" s="90"/>
      <c r="I35" s="91">
        <v>22000</v>
      </c>
      <c r="J35" s="91">
        <v>0</v>
      </c>
      <c r="K35" s="91">
        <v>0</v>
      </c>
      <c r="L35" s="91">
        <v>0</v>
      </c>
      <c r="M35" s="91">
        <v>0</v>
      </c>
      <c r="N35" s="91">
        <v>0</v>
      </c>
      <c r="O35" s="91">
        <v>0</v>
      </c>
      <c r="P35" s="91">
        <v>572.78</v>
      </c>
      <c r="Q35" s="91">
        <v>0</v>
      </c>
      <c r="R35" s="91">
        <v>0</v>
      </c>
      <c r="S35" s="91">
        <v>0</v>
      </c>
      <c r="T35" s="91">
        <v>0</v>
      </c>
      <c r="U35" s="91">
        <v>572.78</v>
      </c>
      <c r="V35" s="91">
        <v>-572.78</v>
      </c>
      <c r="W35" s="91">
        <v>0</v>
      </c>
      <c r="X35" s="91">
        <v>0</v>
      </c>
      <c r="Y35" s="119">
        <v>0</v>
      </c>
      <c r="Z35" s="92">
        <f t="shared" si="0"/>
        <v>-572.78</v>
      </c>
    </row>
    <row r="36" spans="1:26" x14ac:dyDescent="0.2">
      <c r="A36" s="89" t="s">
        <v>1048</v>
      </c>
      <c r="B36" s="89" t="s">
        <v>1049</v>
      </c>
      <c r="C36" s="89" t="s">
        <v>641</v>
      </c>
      <c r="D36" s="89" t="s">
        <v>642</v>
      </c>
      <c r="E36" s="67" t="s">
        <v>1050</v>
      </c>
      <c r="F36" s="89" t="s">
        <v>1051</v>
      </c>
      <c r="G36" s="90">
        <v>45239</v>
      </c>
      <c r="H36" s="90"/>
      <c r="I36" s="91">
        <v>69608</v>
      </c>
      <c r="J36" s="91">
        <v>0</v>
      </c>
      <c r="K36" s="91">
        <v>0</v>
      </c>
      <c r="L36" s="91">
        <v>0</v>
      </c>
      <c r="M36" s="91">
        <v>0</v>
      </c>
      <c r="N36" s="91">
        <v>0</v>
      </c>
      <c r="O36" s="91">
        <v>0</v>
      </c>
      <c r="P36" s="91">
        <v>0</v>
      </c>
      <c r="Q36" s="91">
        <v>0</v>
      </c>
      <c r="R36" s="91">
        <v>0</v>
      </c>
      <c r="S36" s="91">
        <v>0</v>
      </c>
      <c r="T36" s="91">
        <v>0</v>
      </c>
      <c r="U36" s="91">
        <v>0</v>
      </c>
      <c r="V36" s="91">
        <v>0</v>
      </c>
      <c r="W36" s="91">
        <v>0</v>
      </c>
      <c r="X36" s="91">
        <v>0</v>
      </c>
      <c r="Y36" s="119">
        <v>0</v>
      </c>
      <c r="Z36" s="92">
        <f t="shared" si="0"/>
        <v>0</v>
      </c>
    </row>
    <row r="37" spans="1:26" x14ac:dyDescent="0.2">
      <c r="A37" s="89" t="s">
        <v>1097</v>
      </c>
      <c r="B37" s="89" t="s">
        <v>1098</v>
      </c>
      <c r="C37" s="89" t="s">
        <v>641</v>
      </c>
      <c r="D37" s="89" t="s">
        <v>642</v>
      </c>
      <c r="E37" s="67" t="s">
        <v>166</v>
      </c>
      <c r="F37" s="89" t="s">
        <v>167</v>
      </c>
      <c r="G37" s="90">
        <v>45212</v>
      </c>
      <c r="H37" s="90"/>
      <c r="I37" s="91">
        <v>1554800</v>
      </c>
      <c r="J37" s="91">
        <v>0</v>
      </c>
      <c r="K37" s="91">
        <v>0</v>
      </c>
      <c r="L37" s="91">
        <v>30547.35</v>
      </c>
      <c r="M37" s="91">
        <v>0</v>
      </c>
      <c r="N37" s="91">
        <v>0</v>
      </c>
      <c r="O37" s="91">
        <v>30547.35</v>
      </c>
      <c r="P37" s="91">
        <v>0</v>
      </c>
      <c r="Q37" s="91">
        <v>0</v>
      </c>
      <c r="R37" s="91">
        <v>0</v>
      </c>
      <c r="S37" s="91">
        <v>16076.61</v>
      </c>
      <c r="T37" s="91">
        <v>33963.72</v>
      </c>
      <c r="U37" s="91">
        <v>50040.33</v>
      </c>
      <c r="V37" s="91">
        <v>-19492.980000000007</v>
      </c>
      <c r="W37" s="91">
        <v>0</v>
      </c>
      <c r="X37" s="91">
        <v>0</v>
      </c>
      <c r="Y37" s="119">
        <v>0</v>
      </c>
      <c r="Z37" s="92">
        <f t="shared" si="0"/>
        <v>-19492.980000000007</v>
      </c>
    </row>
    <row r="38" spans="1:26" x14ac:dyDescent="0.2">
      <c r="A38" s="89" t="s">
        <v>1115</v>
      </c>
      <c r="B38" s="89" t="s">
        <v>1116</v>
      </c>
      <c r="C38" s="89" t="s">
        <v>641</v>
      </c>
      <c r="D38" s="89" t="s">
        <v>642</v>
      </c>
      <c r="E38" s="67" t="s">
        <v>56</v>
      </c>
      <c r="F38" s="89" t="s">
        <v>57</v>
      </c>
      <c r="G38" s="90">
        <v>45240</v>
      </c>
      <c r="H38" s="90"/>
      <c r="I38" s="91">
        <v>1542670</v>
      </c>
      <c r="J38" s="91">
        <v>0</v>
      </c>
      <c r="K38" s="91">
        <v>0</v>
      </c>
      <c r="L38" s="91">
        <v>38658.400000000001</v>
      </c>
      <c r="M38" s="91">
        <v>0</v>
      </c>
      <c r="N38" s="91">
        <v>0</v>
      </c>
      <c r="O38" s="91">
        <v>38658.400000000001</v>
      </c>
      <c r="P38" s="91">
        <v>22195.49</v>
      </c>
      <c r="Q38" s="91">
        <v>0</v>
      </c>
      <c r="R38" s="91">
        <v>556.57999999999993</v>
      </c>
      <c r="S38" s="91">
        <v>1807.93</v>
      </c>
      <c r="T38" s="91">
        <v>87556.67</v>
      </c>
      <c r="U38" s="91">
        <v>112116.67000000001</v>
      </c>
      <c r="V38" s="91">
        <v>-73458.270000000019</v>
      </c>
      <c r="W38" s="91">
        <v>0</v>
      </c>
      <c r="X38" s="91">
        <v>0</v>
      </c>
      <c r="Y38" s="119">
        <v>0</v>
      </c>
      <c r="Z38" s="92">
        <f t="shared" si="0"/>
        <v>-73458.270000000019</v>
      </c>
    </row>
    <row r="39" spans="1:26" x14ac:dyDescent="0.2">
      <c r="A39" s="89" t="s">
        <v>1105</v>
      </c>
      <c r="B39" s="89" t="s">
        <v>1106</v>
      </c>
      <c r="C39" s="89" t="s">
        <v>641</v>
      </c>
      <c r="D39" s="89" t="s">
        <v>642</v>
      </c>
      <c r="E39" s="67" t="s">
        <v>1107</v>
      </c>
      <c r="F39" s="89" t="s">
        <v>1108</v>
      </c>
      <c r="G39" s="90">
        <v>45218</v>
      </c>
      <c r="H39" s="90"/>
      <c r="I39" s="91">
        <v>64636</v>
      </c>
      <c r="J39" s="91">
        <v>0</v>
      </c>
      <c r="K39" s="91">
        <v>0</v>
      </c>
      <c r="L39" s="91">
        <v>0</v>
      </c>
      <c r="M39" s="91">
        <v>0</v>
      </c>
      <c r="N39" s="91">
        <v>0</v>
      </c>
      <c r="O39" s="91">
        <v>0</v>
      </c>
      <c r="P39" s="91">
        <v>14444.33</v>
      </c>
      <c r="Q39" s="91">
        <v>0</v>
      </c>
      <c r="R39" s="91">
        <v>0</v>
      </c>
      <c r="S39" s="91">
        <v>0</v>
      </c>
      <c r="T39" s="91">
        <v>677.68</v>
      </c>
      <c r="U39" s="91">
        <v>15122.01</v>
      </c>
      <c r="V39" s="91">
        <v>-15122.01</v>
      </c>
      <c r="W39" s="91">
        <v>0</v>
      </c>
      <c r="X39" s="91">
        <v>0</v>
      </c>
      <c r="Y39" s="119">
        <v>0</v>
      </c>
      <c r="Z39" s="92">
        <f t="shared" si="0"/>
        <v>-15122.01</v>
      </c>
    </row>
    <row r="40" spans="1:26" x14ac:dyDescent="0.2">
      <c r="A40" s="89" t="s">
        <v>1131</v>
      </c>
      <c r="B40" s="89" t="s">
        <v>1132</v>
      </c>
      <c r="C40" s="89" t="s">
        <v>641</v>
      </c>
      <c r="D40" s="89" t="s">
        <v>642</v>
      </c>
      <c r="E40" s="67" t="s">
        <v>1028</v>
      </c>
      <c r="F40" s="89" t="s">
        <v>1029</v>
      </c>
      <c r="G40" s="90">
        <v>45265</v>
      </c>
      <c r="H40" s="90"/>
      <c r="I40" s="91">
        <v>401489</v>
      </c>
      <c r="J40" s="91">
        <v>0</v>
      </c>
      <c r="K40" s="91">
        <v>0</v>
      </c>
      <c r="L40" s="91">
        <v>0</v>
      </c>
      <c r="M40" s="91">
        <v>0</v>
      </c>
      <c r="N40" s="91">
        <v>0</v>
      </c>
      <c r="O40" s="91">
        <v>0</v>
      </c>
      <c r="P40" s="91">
        <v>3559.07</v>
      </c>
      <c r="Q40" s="91">
        <v>0</v>
      </c>
      <c r="R40" s="91">
        <v>0</v>
      </c>
      <c r="S40" s="91">
        <v>0</v>
      </c>
      <c r="T40" s="91">
        <v>10909.099999999999</v>
      </c>
      <c r="U40" s="91">
        <v>14468.169999999998</v>
      </c>
      <c r="V40" s="91">
        <v>-14468.169999999998</v>
      </c>
      <c r="W40" s="91">
        <v>0</v>
      </c>
      <c r="X40" s="91">
        <v>4911.43</v>
      </c>
      <c r="Y40" s="119">
        <v>4911.43</v>
      </c>
      <c r="Z40" s="92">
        <f t="shared" si="0"/>
        <v>-19379.599999999999</v>
      </c>
    </row>
    <row r="41" spans="1:26" x14ac:dyDescent="0.2">
      <c r="A41" s="89" t="s">
        <v>1027</v>
      </c>
      <c r="B41" s="89" t="s">
        <v>945</v>
      </c>
      <c r="C41" s="89" t="s">
        <v>641</v>
      </c>
      <c r="D41" s="89" t="s">
        <v>642</v>
      </c>
      <c r="E41" s="67" t="s">
        <v>1028</v>
      </c>
      <c r="F41" s="89" t="s">
        <v>1029</v>
      </c>
      <c r="G41" s="90">
        <v>45265</v>
      </c>
      <c r="H41" s="90"/>
      <c r="I41" s="91">
        <v>372900</v>
      </c>
      <c r="J41" s="91">
        <v>0</v>
      </c>
      <c r="K41" s="91">
        <v>0</v>
      </c>
      <c r="L41" s="91">
        <v>0</v>
      </c>
      <c r="M41" s="91">
        <v>0</v>
      </c>
      <c r="N41" s="91">
        <v>0</v>
      </c>
      <c r="O41" s="91">
        <v>0</v>
      </c>
      <c r="P41" s="91">
        <v>9438.17</v>
      </c>
      <c r="Q41" s="91">
        <v>0</v>
      </c>
      <c r="R41" s="91">
        <v>13505.65</v>
      </c>
      <c r="S41" s="91">
        <v>0</v>
      </c>
      <c r="T41" s="91">
        <v>13020.789999999999</v>
      </c>
      <c r="U41" s="91">
        <v>35964.61</v>
      </c>
      <c r="V41" s="91">
        <v>-35964.61</v>
      </c>
      <c r="W41" s="91">
        <v>0</v>
      </c>
      <c r="X41" s="91">
        <v>18309.54</v>
      </c>
      <c r="Y41" s="119">
        <v>18309.54</v>
      </c>
      <c r="Z41" s="92">
        <f t="shared" si="0"/>
        <v>-54274.15</v>
      </c>
    </row>
    <row r="42" spans="1:26" x14ac:dyDescent="0.2">
      <c r="A42" s="89" t="s">
        <v>1200</v>
      </c>
      <c r="B42" s="89" t="s">
        <v>1201</v>
      </c>
      <c r="C42" s="89" t="s">
        <v>641</v>
      </c>
      <c r="D42" s="89" t="s">
        <v>642</v>
      </c>
      <c r="E42" s="67" t="s">
        <v>1202</v>
      </c>
      <c r="F42" s="89" t="s">
        <v>1203</v>
      </c>
      <c r="G42" s="90">
        <v>45300</v>
      </c>
      <c r="H42" s="90"/>
      <c r="I42" s="91">
        <v>44000</v>
      </c>
      <c r="J42" s="91">
        <v>0</v>
      </c>
      <c r="K42" s="91">
        <v>0</v>
      </c>
      <c r="L42" s="91">
        <v>1157.47</v>
      </c>
      <c r="M42" s="91">
        <v>0</v>
      </c>
      <c r="N42" s="91">
        <v>0</v>
      </c>
      <c r="O42" s="91">
        <v>1157.47</v>
      </c>
      <c r="P42" s="91">
        <v>0</v>
      </c>
      <c r="Q42" s="91">
        <v>0</v>
      </c>
      <c r="R42" s="91">
        <v>0</v>
      </c>
      <c r="S42" s="91">
        <v>0</v>
      </c>
      <c r="T42" s="91">
        <v>2600.6499999999996</v>
      </c>
      <c r="U42" s="91">
        <v>2600.6499999999996</v>
      </c>
      <c r="V42" s="91">
        <v>-1443.1799999999998</v>
      </c>
      <c r="W42" s="91">
        <v>0</v>
      </c>
      <c r="X42" s="91">
        <v>0</v>
      </c>
      <c r="Y42" s="119">
        <v>0</v>
      </c>
      <c r="Z42" s="92">
        <f t="shared" si="0"/>
        <v>-1443.1799999999998</v>
      </c>
    </row>
    <row r="43" spans="1:26" x14ac:dyDescent="0.2">
      <c r="A43" s="89" t="s">
        <v>1209</v>
      </c>
      <c r="B43" s="89" t="s">
        <v>1210</v>
      </c>
      <c r="C43" s="89" t="s">
        <v>641</v>
      </c>
      <c r="D43" s="89" t="s">
        <v>642</v>
      </c>
      <c r="E43" s="67" t="s">
        <v>1211</v>
      </c>
      <c r="F43" s="89" t="s">
        <v>1212</v>
      </c>
      <c r="G43" s="90">
        <v>45282</v>
      </c>
      <c r="H43" s="90"/>
      <c r="I43" s="91">
        <v>106700</v>
      </c>
      <c r="J43" s="91">
        <v>0</v>
      </c>
      <c r="K43" s="91">
        <v>0</v>
      </c>
      <c r="L43" s="91">
        <v>0</v>
      </c>
      <c r="M43" s="91">
        <v>0</v>
      </c>
      <c r="N43" s="91">
        <v>0</v>
      </c>
      <c r="O43" s="91">
        <v>0</v>
      </c>
      <c r="P43" s="91">
        <v>3818.58</v>
      </c>
      <c r="Q43" s="91">
        <v>0</v>
      </c>
      <c r="R43" s="91">
        <v>0</v>
      </c>
      <c r="S43" s="91">
        <v>0</v>
      </c>
      <c r="T43" s="91">
        <v>1131.4900000000002</v>
      </c>
      <c r="U43" s="91">
        <v>4950.07</v>
      </c>
      <c r="V43" s="91">
        <v>-4950.07</v>
      </c>
      <c r="W43" s="91">
        <v>0</v>
      </c>
      <c r="X43" s="91">
        <v>0</v>
      </c>
      <c r="Y43" s="119">
        <v>0</v>
      </c>
      <c r="Z43" s="92">
        <f t="shared" si="0"/>
        <v>-4950.07</v>
      </c>
    </row>
    <row r="44" spans="1:26" x14ac:dyDescent="0.2">
      <c r="A44" s="89" t="s">
        <v>1268</v>
      </c>
      <c r="B44" s="89" t="s">
        <v>1269</v>
      </c>
      <c r="C44" s="89" t="s">
        <v>641</v>
      </c>
      <c r="D44" s="89" t="s">
        <v>642</v>
      </c>
      <c r="E44" s="67" t="s">
        <v>1032</v>
      </c>
      <c r="F44" s="89" t="s">
        <v>1033</v>
      </c>
      <c r="G44" s="90">
        <v>45320</v>
      </c>
      <c r="H44" s="90"/>
      <c r="I44" s="91">
        <v>412080</v>
      </c>
      <c r="J44" s="91">
        <v>0</v>
      </c>
      <c r="K44" s="91">
        <v>0</v>
      </c>
      <c r="L44" s="91">
        <v>0</v>
      </c>
      <c r="M44" s="91">
        <v>0</v>
      </c>
      <c r="N44" s="91">
        <v>0</v>
      </c>
      <c r="O44" s="91">
        <v>0</v>
      </c>
      <c r="P44" s="91">
        <v>0</v>
      </c>
      <c r="Q44" s="91">
        <v>0</v>
      </c>
      <c r="R44" s="91">
        <v>286.23</v>
      </c>
      <c r="S44" s="91">
        <v>2479.4</v>
      </c>
      <c r="T44" s="91">
        <v>2018.97</v>
      </c>
      <c r="U44" s="91">
        <v>4784.6000000000004</v>
      </c>
      <c r="V44" s="91">
        <v>-4784.6000000000004</v>
      </c>
      <c r="W44" s="91">
        <v>0</v>
      </c>
      <c r="X44" s="91">
        <v>0</v>
      </c>
      <c r="Y44" s="119">
        <v>0</v>
      </c>
      <c r="Z44" s="92">
        <f t="shared" si="0"/>
        <v>-4784.6000000000004</v>
      </c>
    </row>
    <row r="45" spans="1:26" x14ac:dyDescent="0.2">
      <c r="A45" s="89" t="s">
        <v>1341</v>
      </c>
      <c r="B45" s="89" t="s">
        <v>1342</v>
      </c>
      <c r="C45" s="89" t="s">
        <v>641</v>
      </c>
      <c r="D45" s="89" t="s">
        <v>642</v>
      </c>
      <c r="E45" s="67" t="s">
        <v>685</v>
      </c>
      <c r="F45" s="89" t="s">
        <v>91</v>
      </c>
      <c r="G45" s="90">
        <v>45348</v>
      </c>
      <c r="H45" s="90"/>
      <c r="I45" s="91">
        <v>1315730</v>
      </c>
      <c r="J45" s="91">
        <v>0</v>
      </c>
      <c r="K45" s="91">
        <v>0</v>
      </c>
      <c r="L45" s="91">
        <v>0</v>
      </c>
      <c r="M45" s="91">
        <v>0</v>
      </c>
      <c r="N45" s="91">
        <v>0</v>
      </c>
      <c r="O45" s="91">
        <v>0</v>
      </c>
      <c r="P45" s="91">
        <v>0</v>
      </c>
      <c r="Q45" s="91">
        <v>0</v>
      </c>
      <c r="R45" s="91">
        <v>0</v>
      </c>
      <c r="S45" s="91">
        <v>0</v>
      </c>
      <c r="T45" s="91">
        <v>3854.77</v>
      </c>
      <c r="U45" s="91">
        <v>3854.77</v>
      </c>
      <c r="V45" s="91">
        <v>-3854.77</v>
      </c>
      <c r="W45" s="91">
        <v>0</v>
      </c>
      <c r="X45" s="91">
        <v>0</v>
      </c>
      <c r="Y45" s="119">
        <v>0</v>
      </c>
      <c r="Z45" s="92">
        <f t="shared" si="0"/>
        <v>-3854.77</v>
      </c>
    </row>
    <row r="46" spans="1:26" x14ac:dyDescent="0.2">
      <c r="A46" s="89" t="s">
        <v>1347</v>
      </c>
      <c r="B46" s="89" t="s">
        <v>1348</v>
      </c>
      <c r="C46" s="89" t="s">
        <v>641</v>
      </c>
      <c r="D46" s="89" t="s">
        <v>642</v>
      </c>
      <c r="E46" s="67" t="s">
        <v>1349</v>
      </c>
      <c r="F46" s="89" t="s">
        <v>1350</v>
      </c>
      <c r="G46" s="90">
        <v>45351</v>
      </c>
      <c r="H46" s="90"/>
      <c r="I46" s="91">
        <v>294800</v>
      </c>
      <c r="J46" s="91">
        <v>0</v>
      </c>
      <c r="K46" s="91">
        <v>0</v>
      </c>
      <c r="L46" s="91">
        <v>0</v>
      </c>
      <c r="M46" s="91">
        <v>0</v>
      </c>
      <c r="N46" s="91">
        <v>0</v>
      </c>
      <c r="O46" s="91">
        <v>0</v>
      </c>
      <c r="P46" s="91">
        <v>0</v>
      </c>
      <c r="Q46" s="91">
        <v>0</v>
      </c>
      <c r="R46" s="91">
        <v>0</v>
      </c>
      <c r="S46" s="91">
        <v>90184.82</v>
      </c>
      <c r="T46" s="91">
        <v>6073.57</v>
      </c>
      <c r="U46" s="91">
        <v>96258.390000000014</v>
      </c>
      <c r="V46" s="91">
        <v>-96258.390000000014</v>
      </c>
      <c r="W46" s="91">
        <v>0</v>
      </c>
      <c r="X46" s="91">
        <v>0</v>
      </c>
      <c r="Y46" s="119">
        <v>0</v>
      </c>
      <c r="Z46" s="92">
        <f t="shared" si="0"/>
        <v>-96258.390000000014</v>
      </c>
    </row>
    <row r="47" spans="1:26" x14ac:dyDescent="0.2">
      <c r="A47" s="89" t="s">
        <v>1213</v>
      </c>
      <c r="B47" s="89" t="s">
        <v>1214</v>
      </c>
      <c r="C47" s="89" t="s">
        <v>641</v>
      </c>
      <c r="D47" s="89" t="s">
        <v>642</v>
      </c>
      <c r="E47" s="67" t="s">
        <v>9</v>
      </c>
      <c r="F47" s="89" t="s">
        <v>10</v>
      </c>
      <c r="G47" s="90">
        <v>45268</v>
      </c>
      <c r="H47" s="90"/>
      <c r="I47" s="91">
        <v>183964</v>
      </c>
      <c r="J47" s="91">
        <v>0</v>
      </c>
      <c r="K47" s="91">
        <v>0</v>
      </c>
      <c r="L47" s="91">
        <v>0</v>
      </c>
      <c r="M47" s="91">
        <v>0</v>
      </c>
      <c r="N47" s="91">
        <v>0</v>
      </c>
      <c r="O47" s="91">
        <v>0</v>
      </c>
      <c r="P47" s="91">
        <v>0</v>
      </c>
      <c r="Q47" s="91">
        <v>0</v>
      </c>
      <c r="R47" s="91">
        <v>0</v>
      </c>
      <c r="S47" s="91">
        <v>14304.24</v>
      </c>
      <c r="T47" s="91">
        <v>1157.6399999999999</v>
      </c>
      <c r="U47" s="91">
        <v>15461.88</v>
      </c>
      <c r="V47" s="91">
        <v>-15461.88</v>
      </c>
      <c r="W47" s="91">
        <v>0</v>
      </c>
      <c r="X47" s="91">
        <v>0</v>
      </c>
      <c r="Y47" s="119">
        <v>0</v>
      </c>
      <c r="Z47" s="92">
        <f t="shared" si="0"/>
        <v>-15461.88</v>
      </c>
    </row>
    <row r="48" spans="1:26" x14ac:dyDescent="0.2">
      <c r="A48" s="89" t="s">
        <v>1443</v>
      </c>
      <c r="B48" s="89" t="s">
        <v>1444</v>
      </c>
      <c r="C48" s="89" t="s">
        <v>641</v>
      </c>
      <c r="D48" s="89" t="s">
        <v>642</v>
      </c>
      <c r="E48" s="67" t="s">
        <v>1445</v>
      </c>
      <c r="F48" s="89" t="s">
        <v>1446</v>
      </c>
      <c r="G48" s="90">
        <v>45394</v>
      </c>
      <c r="H48" s="90"/>
      <c r="I48" s="91">
        <v>0</v>
      </c>
      <c r="J48" s="91">
        <v>0</v>
      </c>
      <c r="K48" s="91">
        <v>0</v>
      </c>
      <c r="L48" s="91">
        <v>0</v>
      </c>
      <c r="M48" s="91">
        <v>0</v>
      </c>
      <c r="N48" s="91">
        <v>0</v>
      </c>
      <c r="O48" s="91">
        <v>0</v>
      </c>
      <c r="P48" s="91">
        <v>0</v>
      </c>
      <c r="Q48" s="91">
        <v>0</v>
      </c>
      <c r="R48" s="91">
        <v>0</v>
      </c>
      <c r="S48" s="91">
        <v>0</v>
      </c>
      <c r="T48" s="91">
        <v>0</v>
      </c>
      <c r="U48" s="91">
        <v>0</v>
      </c>
      <c r="V48" s="91">
        <v>0</v>
      </c>
      <c r="W48" s="91">
        <v>0</v>
      </c>
      <c r="X48" s="91">
        <v>58.93</v>
      </c>
      <c r="Y48" s="119">
        <v>58.93</v>
      </c>
      <c r="Z48" s="92">
        <f t="shared" si="0"/>
        <v>-58.93</v>
      </c>
    </row>
    <row r="49" spans="1:26" x14ac:dyDescent="0.2">
      <c r="A49" s="89" t="s">
        <v>1451</v>
      </c>
      <c r="B49" s="89" t="s">
        <v>1452</v>
      </c>
      <c r="C49" s="89" t="s">
        <v>641</v>
      </c>
      <c r="D49" s="89" t="s">
        <v>642</v>
      </c>
      <c r="E49" s="67" t="s">
        <v>1453</v>
      </c>
      <c r="F49" s="89" t="s">
        <v>1454</v>
      </c>
      <c r="G49" s="90">
        <v>45433</v>
      </c>
      <c r="H49" s="90"/>
      <c r="I49" s="91">
        <v>74800</v>
      </c>
      <c r="J49" s="91">
        <v>0</v>
      </c>
      <c r="K49" s="91">
        <v>0</v>
      </c>
      <c r="L49" s="91">
        <v>0</v>
      </c>
      <c r="M49" s="91">
        <v>0</v>
      </c>
      <c r="N49" s="91">
        <v>0</v>
      </c>
      <c r="O49" s="91">
        <v>0</v>
      </c>
      <c r="P49" s="91">
        <v>0</v>
      </c>
      <c r="Q49" s="91">
        <v>0</v>
      </c>
      <c r="R49" s="91">
        <v>0</v>
      </c>
      <c r="S49" s="91">
        <v>0</v>
      </c>
      <c r="T49" s="91">
        <v>1038.1600000000001</v>
      </c>
      <c r="U49" s="91">
        <v>1038.1600000000001</v>
      </c>
      <c r="V49" s="91">
        <v>-1038.1600000000001</v>
      </c>
      <c r="W49" s="91">
        <v>0</v>
      </c>
      <c r="X49" s="91">
        <v>0</v>
      </c>
      <c r="Y49" s="119">
        <v>0</v>
      </c>
      <c r="Z49" s="92">
        <f t="shared" si="0"/>
        <v>-1038.1600000000001</v>
      </c>
    </row>
    <row r="50" spans="1:26" s="100" customFormat="1" x14ac:dyDescent="0.2">
      <c r="A50" s="93" t="s">
        <v>613</v>
      </c>
      <c r="B50" s="93"/>
      <c r="C50" s="93"/>
      <c r="D50" s="93"/>
      <c r="E50" s="94"/>
      <c r="F50" s="93"/>
      <c r="G50" s="93"/>
      <c r="H50" s="93"/>
      <c r="I50" s="93">
        <f t="shared" ref="I50:Y50" si="1">SUM(I4:I49)</f>
        <v>96695773.700000003</v>
      </c>
      <c r="J50" s="95">
        <f t="shared" si="1"/>
        <v>456074.08</v>
      </c>
      <c r="K50" s="95">
        <f t="shared" si="1"/>
        <v>0</v>
      </c>
      <c r="L50" s="95">
        <f t="shared" si="1"/>
        <v>171396.5</v>
      </c>
      <c r="M50" s="95">
        <f t="shared" si="1"/>
        <v>0</v>
      </c>
      <c r="N50" s="95">
        <f t="shared" si="1"/>
        <v>0</v>
      </c>
      <c r="O50" s="96">
        <f t="shared" si="1"/>
        <v>627470.58000000007</v>
      </c>
      <c r="P50" s="95">
        <f t="shared" si="1"/>
        <v>459091.67000000004</v>
      </c>
      <c r="Q50" s="95">
        <f t="shared" si="1"/>
        <v>0</v>
      </c>
      <c r="R50" s="95">
        <f t="shared" si="1"/>
        <v>75106.69</v>
      </c>
      <c r="S50" s="97">
        <f t="shared" si="1"/>
        <v>190465.47999999998</v>
      </c>
      <c r="T50" s="97">
        <f t="shared" si="1"/>
        <v>174444.24</v>
      </c>
      <c r="U50" s="98">
        <f t="shared" si="1"/>
        <v>899108.08</v>
      </c>
      <c r="V50" s="99">
        <f t="shared" si="1"/>
        <v>-271637.5</v>
      </c>
      <c r="W50" s="95">
        <f t="shared" si="1"/>
        <v>16781.580000000002</v>
      </c>
      <c r="X50" s="95">
        <f t="shared" si="1"/>
        <v>165663.09</v>
      </c>
      <c r="Y50" s="120">
        <f t="shared" si="1"/>
        <v>182444.66999999995</v>
      </c>
      <c r="Z50" s="122">
        <f t="shared" si="0"/>
        <v>-454082.16999999993</v>
      </c>
    </row>
  </sheetData>
  <autoFilter ref="A3:Y50" xr:uid="{00000000-0009-0000-0000-00000D000000}"/>
  <phoneticPr fontId="3" type="noConversion"/>
  <conditionalFormatting sqref="A1">
    <cfRule type="duplicateValues" dxfId="14" priority="3"/>
  </conditionalFormatting>
  <conditionalFormatting sqref="A3">
    <cfRule type="duplicateValues" dxfId="13" priority="2"/>
  </conditionalFormatting>
  <conditionalFormatting sqref="A50">
    <cfRule type="duplicateValues" dxfId="12" priority="1"/>
  </conditionalFormatting>
  <conditionalFormatting sqref="A167">
    <cfRule type="duplicateValues" dxfId="11" priority="5"/>
  </conditionalFormatting>
  <conditionalFormatting sqref="A168:A1048576 A2 A51:A166 A4:A49">
    <cfRule type="duplicateValues" dxfId="10" priority="6"/>
  </conditionalFormatting>
  <pageMargins left="0.7" right="0.7" top="0.75" bottom="0.75" header="0.3" footer="0.3"/>
  <pageSetup paperSize="9" orientation="portrait" r:id="rId1"/>
  <legacy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00B0F0"/>
  </sheetPr>
  <dimension ref="A1:Z19"/>
  <sheetViews>
    <sheetView workbookViewId="0">
      <pane xSplit="6" ySplit="4" topLeftCell="G5" activePane="bottomRight" state="frozen"/>
      <selection activeCell="F56" sqref="E56:F57"/>
      <selection pane="topRight" activeCell="F56" sqref="E56:F57"/>
      <selection pane="bottomLeft" activeCell="F56" sqref="E56:F57"/>
      <selection pane="bottomRight" activeCell="O28" sqref="O28"/>
    </sheetView>
  </sheetViews>
  <sheetFormatPr defaultRowHeight="12.75" outlineLevelCol="1" x14ac:dyDescent="0.2"/>
  <cols>
    <col min="1" max="1" width="10.140625" style="72" customWidth="1"/>
    <col min="2" max="2" width="8" style="72" bestFit="1" customWidth="1"/>
    <col min="3" max="3" width="9" style="72" bestFit="1" customWidth="1"/>
    <col min="4" max="4" width="12.5703125" style="72" customWidth="1"/>
    <col min="5" max="5" width="6" style="80" bestFit="1" customWidth="1"/>
    <col min="6" max="6" width="8.140625" style="72" customWidth="1"/>
    <col min="7" max="7" width="13" style="72" bestFit="1" customWidth="1"/>
    <col min="8" max="8" width="11.7109375" style="72" customWidth="1"/>
    <col min="9" max="9" width="12.85546875" style="72" customWidth="1"/>
    <col min="10" max="14" width="11.7109375" style="72" hidden="1" customWidth="1" outlineLevel="1"/>
    <col min="15" max="15" width="11.7109375" style="72" customWidth="1" collapsed="1"/>
    <col min="16" max="20" width="11.7109375" style="72" hidden="1" customWidth="1" outlineLevel="1"/>
    <col min="21" max="21" width="11.7109375" style="72" customWidth="1" collapsed="1"/>
    <col min="22" max="22" width="11.7109375" style="72" customWidth="1"/>
    <col min="23" max="24" width="11.7109375" style="72" hidden="1" customWidth="1" outlineLevel="1"/>
    <col min="25" max="25" width="11.7109375" style="72" customWidth="1" collapsed="1"/>
    <col min="26" max="26" width="12" style="72" customWidth="1"/>
    <col min="27" max="16384" width="9.140625" style="72"/>
  </cols>
  <sheetData>
    <row r="1" spans="1:26" ht="23.25" customHeight="1" x14ac:dyDescent="0.2">
      <c r="A1" s="79" t="s">
        <v>1404</v>
      </c>
    </row>
    <row r="2" spans="1:26" ht="15" customHeight="1" x14ac:dyDescent="0.2">
      <c r="A2" s="81" t="s">
        <v>1139</v>
      </c>
    </row>
    <row r="3" spans="1:26" s="88" customFormat="1" x14ac:dyDescent="0.2">
      <c r="A3" s="82" t="s">
        <v>1298</v>
      </c>
      <c r="B3" s="82" t="s">
        <v>577</v>
      </c>
      <c r="C3" s="82" t="s">
        <v>599</v>
      </c>
      <c r="D3" s="82" t="s">
        <v>600</v>
      </c>
      <c r="E3" s="83" t="s">
        <v>578</v>
      </c>
      <c r="F3" s="82" t="s">
        <v>579</v>
      </c>
      <c r="G3" s="82" t="s">
        <v>580</v>
      </c>
      <c r="H3" s="82" t="s">
        <v>581</v>
      </c>
      <c r="I3" s="82" t="s">
        <v>582</v>
      </c>
      <c r="J3" s="84" t="s">
        <v>583</v>
      </c>
      <c r="K3" s="84" t="s">
        <v>584</v>
      </c>
      <c r="L3" s="84" t="s">
        <v>585</v>
      </c>
      <c r="M3" s="84" t="s">
        <v>586</v>
      </c>
      <c r="N3" s="84" t="s">
        <v>587</v>
      </c>
      <c r="O3" s="85" t="s">
        <v>588</v>
      </c>
      <c r="P3" s="84" t="s">
        <v>589</v>
      </c>
      <c r="Q3" s="84" t="s">
        <v>590</v>
      </c>
      <c r="R3" s="84" t="s">
        <v>591</v>
      </c>
      <c r="S3" s="84" t="s">
        <v>673</v>
      </c>
      <c r="T3" s="84" t="s">
        <v>593</v>
      </c>
      <c r="U3" s="85" t="s">
        <v>594</v>
      </c>
      <c r="V3" s="86" t="s">
        <v>595</v>
      </c>
      <c r="W3" s="84" t="s">
        <v>596</v>
      </c>
      <c r="X3" s="84" t="s">
        <v>647</v>
      </c>
      <c r="Y3" s="118" t="s">
        <v>598</v>
      </c>
      <c r="Z3" s="87" t="s">
        <v>1308</v>
      </c>
    </row>
    <row r="4" spans="1:26" x14ac:dyDescent="0.2">
      <c r="A4" s="89" t="s">
        <v>849</v>
      </c>
      <c r="B4" s="89" t="s">
        <v>850</v>
      </c>
      <c r="C4" s="89" t="s">
        <v>648</v>
      </c>
      <c r="D4" s="89" t="s">
        <v>649</v>
      </c>
      <c r="E4" s="67">
        <v>360</v>
      </c>
      <c r="F4" s="89" t="s">
        <v>91</v>
      </c>
      <c r="G4" s="90">
        <v>44226</v>
      </c>
      <c r="H4" s="90">
        <v>43805</v>
      </c>
      <c r="I4" s="91">
        <v>0</v>
      </c>
      <c r="J4" s="91">
        <v>0</v>
      </c>
      <c r="K4" s="91">
        <v>0</v>
      </c>
      <c r="L4" s="91">
        <v>0</v>
      </c>
      <c r="M4" s="91">
        <v>0</v>
      </c>
      <c r="N4" s="91">
        <v>0</v>
      </c>
      <c r="O4" s="91">
        <v>0</v>
      </c>
      <c r="P4" s="91">
        <v>0</v>
      </c>
      <c r="Q4" s="91">
        <v>0</v>
      </c>
      <c r="R4" s="91">
        <v>0</v>
      </c>
      <c r="S4" s="91">
        <v>0</v>
      </c>
      <c r="T4" s="91">
        <v>0</v>
      </c>
      <c r="U4" s="91">
        <v>0</v>
      </c>
      <c r="V4" s="91">
        <v>0</v>
      </c>
      <c r="W4" s="91">
        <v>0</v>
      </c>
      <c r="X4" s="91">
        <v>0</v>
      </c>
      <c r="Y4" s="119">
        <v>0</v>
      </c>
      <c r="Z4" s="92">
        <f>V4-Y4</f>
        <v>0</v>
      </c>
    </row>
    <row r="5" spans="1:26" x14ac:dyDescent="0.2">
      <c r="A5" s="89" t="s">
        <v>508</v>
      </c>
      <c r="B5" s="89" t="s">
        <v>509</v>
      </c>
      <c r="C5" s="89" t="s">
        <v>648</v>
      </c>
      <c r="D5" s="89" t="s">
        <v>649</v>
      </c>
      <c r="E5" s="67">
        <v>360</v>
      </c>
      <c r="F5" s="89" t="s">
        <v>91</v>
      </c>
      <c r="G5" s="90">
        <v>44226</v>
      </c>
      <c r="H5" s="90">
        <v>42620</v>
      </c>
      <c r="I5" s="91">
        <v>0</v>
      </c>
      <c r="J5" s="91">
        <v>0</v>
      </c>
      <c r="K5" s="91">
        <v>0</v>
      </c>
      <c r="L5" s="91">
        <v>0</v>
      </c>
      <c r="M5" s="91">
        <v>0</v>
      </c>
      <c r="N5" s="91">
        <v>0</v>
      </c>
      <c r="O5" s="91">
        <v>0</v>
      </c>
      <c r="P5" s="91">
        <v>0</v>
      </c>
      <c r="Q5" s="91">
        <v>0</v>
      </c>
      <c r="R5" s="91">
        <v>0</v>
      </c>
      <c r="S5" s="91">
        <v>0</v>
      </c>
      <c r="T5" s="91">
        <v>0</v>
      </c>
      <c r="U5" s="91">
        <v>0</v>
      </c>
      <c r="V5" s="91">
        <v>0</v>
      </c>
      <c r="W5" s="91">
        <v>0</v>
      </c>
      <c r="X5" s="91">
        <v>0</v>
      </c>
      <c r="Y5" s="119">
        <v>0</v>
      </c>
      <c r="Z5" s="92">
        <f t="shared" ref="Z5:Z19" si="0">V5-Y5</f>
        <v>0</v>
      </c>
    </row>
    <row r="6" spans="1:26" x14ac:dyDescent="0.2">
      <c r="A6" s="89" t="s">
        <v>190</v>
      </c>
      <c r="B6" s="89" t="s">
        <v>944</v>
      </c>
      <c r="C6" s="89" t="s">
        <v>648</v>
      </c>
      <c r="D6" s="89" t="s">
        <v>649</v>
      </c>
      <c r="E6" s="67">
        <v>291</v>
      </c>
      <c r="F6" s="89" t="s">
        <v>192</v>
      </c>
      <c r="G6" s="90">
        <v>44226</v>
      </c>
      <c r="H6" s="90"/>
      <c r="I6" s="91">
        <v>0</v>
      </c>
      <c r="J6" s="91">
        <v>0</v>
      </c>
      <c r="K6" s="91">
        <v>0</v>
      </c>
      <c r="L6" s="91">
        <v>0</v>
      </c>
      <c r="M6" s="91">
        <v>0</v>
      </c>
      <c r="N6" s="91">
        <v>0</v>
      </c>
      <c r="O6" s="91">
        <v>0</v>
      </c>
      <c r="P6" s="91">
        <v>0</v>
      </c>
      <c r="Q6" s="91">
        <v>0</v>
      </c>
      <c r="R6" s="91">
        <v>4801.75</v>
      </c>
      <c r="S6" s="91">
        <v>0</v>
      </c>
      <c r="T6" s="91">
        <v>0</v>
      </c>
      <c r="U6" s="91">
        <v>4801.75</v>
      </c>
      <c r="V6" s="91">
        <v>-4801.75</v>
      </c>
      <c r="W6" s="91">
        <v>0</v>
      </c>
      <c r="X6" s="91">
        <v>0</v>
      </c>
      <c r="Y6" s="119">
        <v>0</v>
      </c>
      <c r="Z6" s="92">
        <f t="shared" si="0"/>
        <v>-4801.75</v>
      </c>
    </row>
    <row r="7" spans="1:26" x14ac:dyDescent="0.2">
      <c r="A7" s="89" t="s">
        <v>299</v>
      </c>
      <c r="B7" s="89" t="s">
        <v>300</v>
      </c>
      <c r="C7" s="89" t="s">
        <v>648</v>
      </c>
      <c r="D7" s="89" t="s">
        <v>649</v>
      </c>
      <c r="E7" s="67" t="s">
        <v>5</v>
      </c>
      <c r="F7" s="89" t="s">
        <v>6</v>
      </c>
      <c r="G7" s="90">
        <v>44277</v>
      </c>
      <c r="H7" s="90">
        <v>44306</v>
      </c>
      <c r="I7" s="91">
        <v>200200</v>
      </c>
      <c r="J7" s="91">
        <v>0</v>
      </c>
      <c r="K7" s="91">
        <v>0</v>
      </c>
      <c r="L7" s="91">
        <v>0</v>
      </c>
      <c r="M7" s="91">
        <v>0</v>
      </c>
      <c r="N7" s="91">
        <v>0</v>
      </c>
      <c r="O7" s="91">
        <v>0</v>
      </c>
      <c r="P7" s="91">
        <v>0</v>
      </c>
      <c r="Q7" s="91">
        <v>0</v>
      </c>
      <c r="R7" s="91">
        <v>4885.3100000000004</v>
      </c>
      <c r="S7" s="91">
        <v>0</v>
      </c>
      <c r="T7" s="91">
        <v>0</v>
      </c>
      <c r="U7" s="91">
        <v>4885.3100000000004</v>
      </c>
      <c r="V7" s="91">
        <v>-4885.3100000000004</v>
      </c>
      <c r="W7" s="91">
        <v>0</v>
      </c>
      <c r="X7" s="91">
        <v>0</v>
      </c>
      <c r="Y7" s="119">
        <v>0</v>
      </c>
      <c r="Z7" s="92">
        <f t="shared" si="0"/>
        <v>-4885.3100000000004</v>
      </c>
    </row>
    <row r="8" spans="1:26" x14ac:dyDescent="0.2">
      <c r="A8" s="89" t="s">
        <v>717</v>
      </c>
      <c r="B8" s="89" t="s">
        <v>300</v>
      </c>
      <c r="C8" s="89" t="s">
        <v>648</v>
      </c>
      <c r="D8" s="89" t="s">
        <v>649</v>
      </c>
      <c r="E8" s="67" t="s">
        <v>5</v>
      </c>
      <c r="F8" s="89" t="s">
        <v>6</v>
      </c>
      <c r="G8" s="90">
        <v>44770</v>
      </c>
      <c r="H8" s="90">
        <v>45093</v>
      </c>
      <c r="I8" s="91">
        <v>1509200</v>
      </c>
      <c r="J8" s="91">
        <v>0</v>
      </c>
      <c r="K8" s="91">
        <v>0</v>
      </c>
      <c r="L8" s="91">
        <v>0</v>
      </c>
      <c r="M8" s="91">
        <v>0</v>
      </c>
      <c r="N8" s="91">
        <v>0</v>
      </c>
      <c r="O8" s="91">
        <v>0</v>
      </c>
      <c r="P8" s="91">
        <v>3269.7</v>
      </c>
      <c r="Q8" s="91">
        <v>0</v>
      </c>
      <c r="R8" s="91">
        <v>0</v>
      </c>
      <c r="S8" s="91">
        <v>0</v>
      </c>
      <c r="T8" s="91">
        <v>2436.34</v>
      </c>
      <c r="U8" s="91">
        <v>5706.04</v>
      </c>
      <c r="V8" s="91">
        <v>-5706.04</v>
      </c>
      <c r="W8" s="91">
        <v>0</v>
      </c>
      <c r="X8" s="91">
        <v>1693.8700000000001</v>
      </c>
      <c r="Y8" s="119">
        <v>1693.8700000000001</v>
      </c>
      <c r="Z8" s="92">
        <f t="shared" si="0"/>
        <v>-7399.91</v>
      </c>
    </row>
    <row r="9" spans="1:26" x14ac:dyDescent="0.2">
      <c r="A9" s="89" t="s">
        <v>943</v>
      </c>
      <c r="B9" s="89" t="s">
        <v>953</v>
      </c>
      <c r="C9" s="89" t="s">
        <v>648</v>
      </c>
      <c r="D9" s="89" t="s">
        <v>649</v>
      </c>
      <c r="E9" s="67" t="s">
        <v>96</v>
      </c>
      <c r="F9" s="89" t="s">
        <v>97</v>
      </c>
      <c r="G9" s="90">
        <v>45049</v>
      </c>
      <c r="H9" s="90"/>
      <c r="I9" s="91">
        <v>3687000</v>
      </c>
      <c r="J9" s="91">
        <v>0</v>
      </c>
      <c r="K9" s="91">
        <v>0</v>
      </c>
      <c r="L9" s="91">
        <v>0</v>
      </c>
      <c r="M9" s="91">
        <v>0</v>
      </c>
      <c r="N9" s="91">
        <v>0</v>
      </c>
      <c r="O9" s="91">
        <v>0</v>
      </c>
      <c r="P9" s="91">
        <v>729988.3691304347</v>
      </c>
      <c r="Q9" s="91">
        <v>0</v>
      </c>
      <c r="R9" s="91">
        <v>0</v>
      </c>
      <c r="S9" s="91">
        <v>107262.59000000001</v>
      </c>
      <c r="T9" s="91">
        <v>29507.190000000002</v>
      </c>
      <c r="U9" s="91">
        <v>866758.14913043461</v>
      </c>
      <c r="V9" s="91">
        <v>-866758.14913043461</v>
      </c>
      <c r="W9" s="91">
        <v>10440.140000000001</v>
      </c>
      <c r="X9" s="91">
        <v>7776.3200000000006</v>
      </c>
      <c r="Y9" s="119">
        <v>18216.46</v>
      </c>
      <c r="Z9" s="92">
        <f t="shared" si="0"/>
        <v>-884974.60913043458</v>
      </c>
    </row>
    <row r="10" spans="1:26" x14ac:dyDescent="0.2">
      <c r="A10" s="89" t="s">
        <v>1023</v>
      </c>
      <c r="B10" s="89" t="s">
        <v>1024</v>
      </c>
      <c r="C10" s="89" t="s">
        <v>648</v>
      </c>
      <c r="D10" s="89" t="s">
        <v>649</v>
      </c>
      <c r="E10" s="67" t="s">
        <v>56</v>
      </c>
      <c r="F10" s="89" t="s">
        <v>57</v>
      </c>
      <c r="G10" s="90">
        <v>45141</v>
      </c>
      <c r="H10" s="90"/>
      <c r="I10" s="91">
        <v>385000</v>
      </c>
      <c r="J10" s="91">
        <v>0</v>
      </c>
      <c r="K10" s="91">
        <v>0</v>
      </c>
      <c r="L10" s="91">
        <v>0</v>
      </c>
      <c r="M10" s="91">
        <v>0</v>
      </c>
      <c r="N10" s="91">
        <v>0</v>
      </c>
      <c r="O10" s="91">
        <v>0</v>
      </c>
      <c r="P10" s="91">
        <v>4969.66</v>
      </c>
      <c r="Q10" s="91">
        <v>0</v>
      </c>
      <c r="R10" s="91">
        <v>0</v>
      </c>
      <c r="S10" s="91">
        <v>0</v>
      </c>
      <c r="T10" s="91">
        <v>10115.66</v>
      </c>
      <c r="U10" s="91">
        <v>15085.32</v>
      </c>
      <c r="V10" s="91">
        <v>-15085.32</v>
      </c>
      <c r="W10" s="91">
        <v>0</v>
      </c>
      <c r="X10" s="91">
        <v>0</v>
      </c>
      <c r="Y10" s="119">
        <v>0</v>
      </c>
      <c r="Z10" s="92">
        <f t="shared" si="0"/>
        <v>-15085.32</v>
      </c>
    </row>
    <row r="11" spans="1:26" x14ac:dyDescent="0.2">
      <c r="A11" s="89" t="s">
        <v>715</v>
      </c>
      <c r="B11" s="89" t="s">
        <v>716</v>
      </c>
      <c r="C11" s="89" t="s">
        <v>648</v>
      </c>
      <c r="D11" s="89" t="s">
        <v>649</v>
      </c>
      <c r="E11" s="67" t="s">
        <v>96</v>
      </c>
      <c r="F11" s="89" t="s">
        <v>97</v>
      </c>
      <c r="G11" s="90">
        <v>44784</v>
      </c>
      <c r="H11" s="90"/>
      <c r="I11" s="91">
        <v>370000</v>
      </c>
      <c r="J11" s="91">
        <v>0</v>
      </c>
      <c r="K11" s="91">
        <v>0</v>
      </c>
      <c r="L11" s="91">
        <v>0</v>
      </c>
      <c r="M11" s="91">
        <v>0</v>
      </c>
      <c r="N11" s="91">
        <v>0</v>
      </c>
      <c r="O11" s="91">
        <v>0</v>
      </c>
      <c r="P11" s="91">
        <v>0</v>
      </c>
      <c r="Q11" s="91">
        <v>0</v>
      </c>
      <c r="R11" s="91">
        <v>0</v>
      </c>
      <c r="S11" s="91">
        <v>0</v>
      </c>
      <c r="T11" s="91">
        <v>-369854.47</v>
      </c>
      <c r="U11" s="91">
        <v>-369854.47</v>
      </c>
      <c r="V11" s="91">
        <v>369854.47</v>
      </c>
      <c r="W11" s="91">
        <v>0</v>
      </c>
      <c r="X11" s="91">
        <v>0</v>
      </c>
      <c r="Y11" s="119">
        <v>0</v>
      </c>
      <c r="Z11" s="92">
        <f t="shared" si="0"/>
        <v>369854.47</v>
      </c>
    </row>
    <row r="12" spans="1:26" x14ac:dyDescent="0.2">
      <c r="A12" s="89" t="s">
        <v>273</v>
      </c>
      <c r="B12" s="89" t="s">
        <v>274</v>
      </c>
      <c r="C12" s="89" t="s">
        <v>648</v>
      </c>
      <c r="D12" s="89" t="s">
        <v>649</v>
      </c>
      <c r="E12" s="67" t="s">
        <v>56</v>
      </c>
      <c r="F12" s="89" t="s">
        <v>57</v>
      </c>
      <c r="G12" s="90">
        <v>44229</v>
      </c>
      <c r="H12" s="90">
        <v>44251</v>
      </c>
      <c r="I12" s="91">
        <v>291500</v>
      </c>
      <c r="J12" s="91">
        <v>0</v>
      </c>
      <c r="K12" s="91">
        <v>0</v>
      </c>
      <c r="L12" s="91">
        <v>0</v>
      </c>
      <c r="M12" s="91">
        <v>0</v>
      </c>
      <c r="N12" s="91">
        <v>0</v>
      </c>
      <c r="O12" s="91">
        <v>0</v>
      </c>
      <c r="P12" s="91">
        <v>149.69</v>
      </c>
      <c r="Q12" s="91">
        <v>0</v>
      </c>
      <c r="R12" s="91">
        <v>0</v>
      </c>
      <c r="S12" s="91">
        <v>0</v>
      </c>
      <c r="T12" s="91">
        <v>8697.19</v>
      </c>
      <c r="U12" s="91">
        <v>8846.880000000001</v>
      </c>
      <c r="V12" s="91">
        <v>-8846.880000000001</v>
      </c>
      <c r="W12" s="91">
        <v>0</v>
      </c>
      <c r="X12" s="91">
        <v>625.74</v>
      </c>
      <c r="Y12" s="119">
        <v>625.74</v>
      </c>
      <c r="Z12" s="92">
        <f t="shared" si="0"/>
        <v>-9472.6200000000008</v>
      </c>
    </row>
    <row r="13" spans="1:26" x14ac:dyDescent="0.2">
      <c r="A13" s="89" t="s">
        <v>1006</v>
      </c>
      <c r="B13" s="89" t="s">
        <v>1007</v>
      </c>
      <c r="C13" s="89" t="s">
        <v>648</v>
      </c>
      <c r="D13" s="89" t="s">
        <v>649</v>
      </c>
      <c r="E13" s="67" t="s">
        <v>5</v>
      </c>
      <c r="F13" s="89" t="s">
        <v>6</v>
      </c>
      <c r="G13" s="90">
        <v>45107</v>
      </c>
      <c r="H13" s="90"/>
      <c r="I13" s="91">
        <v>78155</v>
      </c>
      <c r="J13" s="91">
        <v>0</v>
      </c>
      <c r="K13" s="91">
        <v>0</v>
      </c>
      <c r="L13" s="91">
        <v>0</v>
      </c>
      <c r="M13" s="91">
        <v>0</v>
      </c>
      <c r="N13" s="91">
        <v>0</v>
      </c>
      <c r="O13" s="91">
        <v>0</v>
      </c>
      <c r="P13" s="91">
        <v>0</v>
      </c>
      <c r="Q13" s="91">
        <v>0</v>
      </c>
      <c r="R13" s="91">
        <v>0</v>
      </c>
      <c r="S13" s="91">
        <v>3083.7</v>
      </c>
      <c r="T13" s="91">
        <v>2532.94</v>
      </c>
      <c r="U13" s="91">
        <v>5616.6399999999994</v>
      </c>
      <c r="V13" s="91">
        <v>-5616.6399999999994</v>
      </c>
      <c r="W13" s="91">
        <v>0</v>
      </c>
      <c r="X13" s="91">
        <v>5.8</v>
      </c>
      <c r="Y13" s="119">
        <v>5.8</v>
      </c>
      <c r="Z13" s="92">
        <f t="shared" si="0"/>
        <v>-5622.44</v>
      </c>
    </row>
    <row r="14" spans="1:26" x14ac:dyDescent="0.2">
      <c r="A14" s="89" t="s">
        <v>102</v>
      </c>
      <c r="B14" s="89" t="s">
        <v>103</v>
      </c>
      <c r="C14" s="89" t="s">
        <v>648</v>
      </c>
      <c r="D14" s="89" t="s">
        <v>649</v>
      </c>
      <c r="E14" s="67" t="s">
        <v>5</v>
      </c>
      <c r="F14" s="89" t="s">
        <v>6</v>
      </c>
      <c r="G14" s="90">
        <v>44607</v>
      </c>
      <c r="H14" s="90">
        <v>45236</v>
      </c>
      <c r="I14" s="91">
        <v>785169</v>
      </c>
      <c r="J14" s="91">
        <v>0</v>
      </c>
      <c r="K14" s="91">
        <v>0</v>
      </c>
      <c r="L14" s="91">
        <v>0</v>
      </c>
      <c r="M14" s="91">
        <v>0</v>
      </c>
      <c r="N14" s="91">
        <v>0</v>
      </c>
      <c r="O14" s="91">
        <v>0</v>
      </c>
      <c r="P14" s="91">
        <v>0</v>
      </c>
      <c r="Q14" s="91">
        <v>0</v>
      </c>
      <c r="R14" s="91">
        <v>0</v>
      </c>
      <c r="S14" s="91">
        <v>320.26</v>
      </c>
      <c r="T14" s="91">
        <v>3668.21</v>
      </c>
      <c r="U14" s="91">
        <v>3988.4700000000003</v>
      </c>
      <c r="V14" s="91">
        <v>-3988.4700000000003</v>
      </c>
      <c r="W14" s="91">
        <v>0</v>
      </c>
      <c r="X14" s="91">
        <v>0</v>
      </c>
      <c r="Y14" s="119">
        <v>0</v>
      </c>
      <c r="Z14" s="92">
        <f t="shared" si="0"/>
        <v>-3988.4700000000003</v>
      </c>
    </row>
    <row r="15" spans="1:26" x14ac:dyDescent="0.2">
      <c r="A15" s="89" t="s">
        <v>3</v>
      </c>
      <c r="B15" s="89" t="s">
        <v>4</v>
      </c>
      <c r="C15" s="89" t="s">
        <v>648</v>
      </c>
      <c r="D15" s="89" t="s">
        <v>649</v>
      </c>
      <c r="E15" s="67" t="s">
        <v>5</v>
      </c>
      <c r="F15" s="89" t="s">
        <v>6</v>
      </c>
      <c r="G15" s="90">
        <v>44503</v>
      </c>
      <c r="H15" s="90">
        <v>45216</v>
      </c>
      <c r="I15" s="91">
        <v>562320</v>
      </c>
      <c r="J15" s="91">
        <v>0</v>
      </c>
      <c r="K15" s="91">
        <v>0</v>
      </c>
      <c r="L15" s="91">
        <v>0</v>
      </c>
      <c r="M15" s="91">
        <v>0</v>
      </c>
      <c r="N15" s="91">
        <v>0</v>
      </c>
      <c r="O15" s="91">
        <v>0</v>
      </c>
      <c r="P15" s="91">
        <v>0</v>
      </c>
      <c r="Q15" s="91">
        <v>0</v>
      </c>
      <c r="R15" s="91">
        <v>0</v>
      </c>
      <c r="S15" s="91">
        <v>0</v>
      </c>
      <c r="T15" s="91">
        <v>-1314.4199999999998</v>
      </c>
      <c r="U15" s="91">
        <v>-1314.4199999999998</v>
      </c>
      <c r="V15" s="91">
        <v>1314.4199999999998</v>
      </c>
      <c r="W15" s="91">
        <v>0</v>
      </c>
      <c r="X15" s="91">
        <v>0</v>
      </c>
      <c r="Y15" s="119">
        <v>0</v>
      </c>
      <c r="Z15" s="92">
        <f t="shared" si="0"/>
        <v>1314.4199999999998</v>
      </c>
    </row>
    <row r="16" spans="1:26" x14ac:dyDescent="0.2">
      <c r="A16" s="89" t="s">
        <v>297</v>
      </c>
      <c r="B16" s="89" t="s">
        <v>298</v>
      </c>
      <c r="C16" s="89" t="s">
        <v>648</v>
      </c>
      <c r="D16" s="89" t="s">
        <v>649</v>
      </c>
      <c r="E16" s="67" t="s">
        <v>5</v>
      </c>
      <c r="F16" s="89" t="s">
        <v>6</v>
      </c>
      <c r="G16" s="90">
        <v>44264</v>
      </c>
      <c r="H16" s="90">
        <v>44288</v>
      </c>
      <c r="I16" s="91">
        <v>1922753.8</v>
      </c>
      <c r="J16" s="91">
        <v>0</v>
      </c>
      <c r="K16" s="91">
        <v>0</v>
      </c>
      <c r="L16" s="91">
        <v>0</v>
      </c>
      <c r="M16" s="91">
        <v>0</v>
      </c>
      <c r="N16" s="91">
        <v>0</v>
      </c>
      <c r="O16" s="91">
        <v>0</v>
      </c>
      <c r="P16" s="91">
        <v>0</v>
      </c>
      <c r="Q16" s="91">
        <v>0</v>
      </c>
      <c r="R16" s="91">
        <v>0</v>
      </c>
      <c r="S16" s="91">
        <v>2483.4199999999996</v>
      </c>
      <c r="T16" s="91">
        <v>0</v>
      </c>
      <c r="U16" s="91">
        <v>2483.4199999999996</v>
      </c>
      <c r="V16" s="91">
        <v>-2483.4199999999996</v>
      </c>
      <c r="W16" s="91">
        <v>0</v>
      </c>
      <c r="X16" s="91">
        <v>0</v>
      </c>
      <c r="Y16" s="119">
        <v>0</v>
      </c>
      <c r="Z16" s="92">
        <f t="shared" si="0"/>
        <v>-2483.4199999999996</v>
      </c>
    </row>
    <row r="17" spans="1:26" x14ac:dyDescent="0.2">
      <c r="A17" s="89" t="s">
        <v>244</v>
      </c>
      <c r="B17" s="89" t="s">
        <v>245</v>
      </c>
      <c r="C17" s="89" t="s">
        <v>648</v>
      </c>
      <c r="D17" s="89" t="s">
        <v>649</v>
      </c>
      <c r="E17" s="67" t="s">
        <v>696</v>
      </c>
      <c r="F17" s="89" t="s">
        <v>246</v>
      </c>
      <c r="G17" s="90">
        <v>44226</v>
      </c>
      <c r="H17" s="90">
        <v>44175</v>
      </c>
      <c r="I17" s="91">
        <v>1742500</v>
      </c>
      <c r="J17" s="91">
        <v>0</v>
      </c>
      <c r="K17" s="91">
        <v>0</v>
      </c>
      <c r="L17" s="91">
        <v>0</v>
      </c>
      <c r="M17" s="91">
        <v>0</v>
      </c>
      <c r="N17" s="91">
        <v>0</v>
      </c>
      <c r="O17" s="91">
        <v>0</v>
      </c>
      <c r="P17" s="91">
        <v>0</v>
      </c>
      <c r="Q17" s="91">
        <v>0</v>
      </c>
      <c r="R17" s="91">
        <v>0</v>
      </c>
      <c r="S17" s="91">
        <v>0</v>
      </c>
      <c r="T17" s="91">
        <v>4304.53</v>
      </c>
      <c r="U17" s="91">
        <v>4304.53</v>
      </c>
      <c r="V17" s="91">
        <v>-4304.53</v>
      </c>
      <c r="W17" s="91">
        <v>0</v>
      </c>
      <c r="X17" s="91">
        <v>0</v>
      </c>
      <c r="Y17" s="119">
        <v>0</v>
      </c>
      <c r="Z17" s="92">
        <f t="shared" si="0"/>
        <v>-4304.53</v>
      </c>
    </row>
    <row r="18" spans="1:26" x14ac:dyDescent="0.2">
      <c r="A18" s="89" t="s">
        <v>847</v>
      </c>
      <c r="B18" s="89" t="s">
        <v>848</v>
      </c>
      <c r="C18" s="89" t="s">
        <v>648</v>
      </c>
      <c r="D18" s="89" t="s">
        <v>649</v>
      </c>
      <c r="E18" s="67" t="s">
        <v>166</v>
      </c>
      <c r="F18" s="89" t="s">
        <v>167</v>
      </c>
      <c r="G18" s="90">
        <v>44883</v>
      </c>
      <c r="H18" s="90">
        <v>45064</v>
      </c>
      <c r="I18" s="91">
        <v>3157800</v>
      </c>
      <c r="J18" s="91">
        <v>0</v>
      </c>
      <c r="K18" s="91">
        <v>0</v>
      </c>
      <c r="L18" s="91">
        <v>0</v>
      </c>
      <c r="M18" s="91">
        <v>0</v>
      </c>
      <c r="N18" s="91">
        <v>0</v>
      </c>
      <c r="O18" s="91">
        <v>0</v>
      </c>
      <c r="P18" s="91">
        <v>0</v>
      </c>
      <c r="Q18" s="91">
        <v>0</v>
      </c>
      <c r="R18" s="91">
        <v>0</v>
      </c>
      <c r="S18" s="91">
        <v>11110.220000000001</v>
      </c>
      <c r="T18" s="91">
        <v>0</v>
      </c>
      <c r="U18" s="91">
        <v>11110.220000000001</v>
      </c>
      <c r="V18" s="91">
        <v>-11110.220000000001</v>
      </c>
      <c r="W18" s="91">
        <v>0</v>
      </c>
      <c r="X18" s="91">
        <v>8192.91</v>
      </c>
      <c r="Y18" s="119">
        <v>8192.91</v>
      </c>
      <c r="Z18" s="92">
        <f t="shared" si="0"/>
        <v>-19303.13</v>
      </c>
    </row>
    <row r="19" spans="1:26" s="100" customFormat="1" x14ac:dyDescent="0.2">
      <c r="A19" s="93" t="s">
        <v>613</v>
      </c>
      <c r="B19" s="93"/>
      <c r="C19" s="93"/>
      <c r="D19" s="93"/>
      <c r="E19" s="94"/>
      <c r="F19" s="93"/>
      <c r="G19" s="93"/>
      <c r="H19" s="93"/>
      <c r="I19" s="93">
        <f t="shared" ref="I19:Y19" si="1">SUM(I4:I18)</f>
        <v>14691597.800000001</v>
      </c>
      <c r="J19" s="95">
        <f t="shared" si="1"/>
        <v>0</v>
      </c>
      <c r="K19" s="95">
        <f t="shared" si="1"/>
        <v>0</v>
      </c>
      <c r="L19" s="95">
        <f t="shared" si="1"/>
        <v>0</v>
      </c>
      <c r="M19" s="95">
        <f t="shared" si="1"/>
        <v>0</v>
      </c>
      <c r="N19" s="95">
        <f t="shared" si="1"/>
        <v>0</v>
      </c>
      <c r="O19" s="96">
        <f t="shared" si="1"/>
        <v>0</v>
      </c>
      <c r="P19" s="95">
        <f t="shared" si="1"/>
        <v>738377.41913043463</v>
      </c>
      <c r="Q19" s="95">
        <f t="shared" si="1"/>
        <v>0</v>
      </c>
      <c r="R19" s="95">
        <f t="shared" si="1"/>
        <v>9687.0600000000013</v>
      </c>
      <c r="S19" s="97">
        <f t="shared" si="1"/>
        <v>124260.19</v>
      </c>
      <c r="T19" s="97">
        <f t="shared" si="1"/>
        <v>-309906.8299999999</v>
      </c>
      <c r="U19" s="98">
        <f t="shared" si="1"/>
        <v>562417.83913043456</v>
      </c>
      <c r="V19" s="99">
        <f t="shared" si="1"/>
        <v>-562417.83913043456</v>
      </c>
      <c r="W19" s="95">
        <f t="shared" si="1"/>
        <v>10440.140000000001</v>
      </c>
      <c r="X19" s="95">
        <f t="shared" si="1"/>
        <v>18294.64</v>
      </c>
      <c r="Y19" s="120">
        <f t="shared" si="1"/>
        <v>28734.78</v>
      </c>
      <c r="Z19" s="122">
        <f t="shared" si="0"/>
        <v>-591152.61913043458</v>
      </c>
    </row>
  </sheetData>
  <phoneticPr fontId="10" type="noConversion"/>
  <conditionalFormatting sqref="A1">
    <cfRule type="duplicateValues" dxfId="9" priority="3"/>
  </conditionalFormatting>
  <conditionalFormatting sqref="A3">
    <cfRule type="duplicateValues" dxfId="8" priority="2"/>
  </conditionalFormatting>
  <conditionalFormatting sqref="A19">
    <cfRule type="duplicateValues" dxfId="7" priority="1"/>
  </conditionalFormatting>
  <conditionalFormatting sqref="A134">
    <cfRule type="duplicateValues" dxfId="6" priority="5"/>
  </conditionalFormatting>
  <conditionalFormatting sqref="A135:A1048576 A2 A20:A133 A4:A18">
    <cfRule type="duplicateValues" dxfId="5" priority="6"/>
  </conditionalFormatting>
  <pageMargins left="0.7" right="0.7" top="0.75" bottom="0.75" header="0.3" footer="0.3"/>
  <pageSetup paperSize="9" orientation="portrait" r:id="rId1"/>
  <legacy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rgb="FF00B0F0"/>
  </sheetPr>
  <dimension ref="A1:Z6"/>
  <sheetViews>
    <sheetView workbookViewId="0">
      <pane xSplit="6" ySplit="4" topLeftCell="G5" activePane="bottomRight" state="frozen"/>
      <selection activeCell="F56" sqref="E56:F57"/>
      <selection pane="topRight" activeCell="F56" sqref="E56:F57"/>
      <selection pane="bottomLeft" activeCell="F56" sqref="E56:F57"/>
      <selection pane="bottomRight" activeCell="U23" sqref="U23"/>
    </sheetView>
  </sheetViews>
  <sheetFormatPr defaultRowHeight="12.75" outlineLevelCol="1" x14ac:dyDescent="0.2"/>
  <cols>
    <col min="1" max="1" width="10.140625" style="72" customWidth="1"/>
    <col min="2" max="2" width="8" style="72" bestFit="1" customWidth="1"/>
    <col min="3" max="3" width="9" style="72" bestFit="1" customWidth="1"/>
    <col min="4" max="4" width="12.5703125" style="72" customWidth="1"/>
    <col min="5" max="5" width="6" style="80" bestFit="1" customWidth="1"/>
    <col min="6" max="6" width="8.140625" style="72" customWidth="1"/>
    <col min="7" max="7" width="13" style="72" bestFit="1" customWidth="1"/>
    <col min="8" max="8" width="11.7109375" style="72" customWidth="1"/>
    <col min="9" max="9" width="12.85546875" style="72" customWidth="1"/>
    <col min="10" max="14" width="11.7109375" style="72" hidden="1" customWidth="1" outlineLevel="1"/>
    <col min="15" max="15" width="11.7109375" style="72" customWidth="1" collapsed="1"/>
    <col min="16" max="20" width="11.7109375" style="72" hidden="1" customWidth="1" outlineLevel="1"/>
    <col min="21" max="21" width="11.7109375" style="72" customWidth="1" collapsed="1"/>
    <col min="22" max="22" width="11.7109375" style="72" customWidth="1"/>
    <col min="23" max="24" width="11.7109375" style="72" hidden="1" customWidth="1" outlineLevel="1"/>
    <col min="25" max="25" width="11.7109375" style="72" customWidth="1" collapsed="1"/>
    <col min="26" max="26" width="12" style="72" customWidth="1"/>
    <col min="27" max="16384" width="9.140625" style="72"/>
  </cols>
  <sheetData>
    <row r="1" spans="1:26" ht="23.25" customHeight="1" x14ac:dyDescent="0.2">
      <c r="A1" s="79" t="s">
        <v>1404</v>
      </c>
    </row>
    <row r="2" spans="1:26" ht="15" customHeight="1" x14ac:dyDescent="0.2">
      <c r="A2" s="81" t="s">
        <v>1293</v>
      </c>
    </row>
    <row r="3" spans="1:26" s="88" customFormat="1" x14ac:dyDescent="0.2">
      <c r="A3" s="82" t="s">
        <v>651</v>
      </c>
      <c r="B3" s="82" t="s">
        <v>577</v>
      </c>
      <c r="C3" s="82" t="s">
        <v>599</v>
      </c>
      <c r="D3" s="82" t="s">
        <v>600</v>
      </c>
      <c r="E3" s="83" t="s">
        <v>578</v>
      </c>
      <c r="F3" s="82" t="s">
        <v>579</v>
      </c>
      <c r="G3" s="82" t="s">
        <v>580</v>
      </c>
      <c r="H3" s="82" t="s">
        <v>581</v>
      </c>
      <c r="I3" s="82" t="s">
        <v>582</v>
      </c>
      <c r="J3" s="84" t="s">
        <v>583</v>
      </c>
      <c r="K3" s="84" t="s">
        <v>584</v>
      </c>
      <c r="L3" s="84" t="s">
        <v>585</v>
      </c>
      <c r="M3" s="84" t="s">
        <v>586</v>
      </c>
      <c r="N3" s="84" t="s">
        <v>587</v>
      </c>
      <c r="O3" s="85" t="s">
        <v>588</v>
      </c>
      <c r="P3" s="84" t="s">
        <v>589</v>
      </c>
      <c r="Q3" s="84" t="s">
        <v>590</v>
      </c>
      <c r="R3" s="84" t="s">
        <v>591</v>
      </c>
      <c r="S3" s="84" t="s">
        <v>1297</v>
      </c>
      <c r="T3" s="84" t="s">
        <v>593</v>
      </c>
      <c r="U3" s="85" t="s">
        <v>594</v>
      </c>
      <c r="V3" s="86" t="s">
        <v>595</v>
      </c>
      <c r="W3" s="84" t="s">
        <v>596</v>
      </c>
      <c r="X3" s="84" t="s">
        <v>608</v>
      </c>
      <c r="Y3" s="118" t="s">
        <v>598</v>
      </c>
      <c r="Z3" s="87" t="s">
        <v>1307</v>
      </c>
    </row>
    <row r="4" spans="1:26" x14ac:dyDescent="0.2">
      <c r="A4" s="89" t="s">
        <v>742</v>
      </c>
      <c r="B4" s="89" t="s">
        <v>743</v>
      </c>
      <c r="C4" s="89" t="s">
        <v>1117</v>
      </c>
      <c r="D4" s="89" t="s">
        <v>1118</v>
      </c>
      <c r="E4" s="67" t="s">
        <v>744</v>
      </c>
      <c r="F4" s="89" t="s">
        <v>745</v>
      </c>
      <c r="G4" s="90">
        <v>44830</v>
      </c>
      <c r="H4" s="90"/>
      <c r="I4" s="91">
        <v>21748000</v>
      </c>
      <c r="J4" s="91">
        <v>0</v>
      </c>
      <c r="K4" s="91">
        <v>0</v>
      </c>
      <c r="L4" s="91">
        <v>0</v>
      </c>
      <c r="M4" s="91">
        <v>0</v>
      </c>
      <c r="N4" s="91">
        <v>0</v>
      </c>
      <c r="O4" s="91">
        <v>0</v>
      </c>
      <c r="P4" s="91">
        <v>0</v>
      </c>
      <c r="Q4" s="91">
        <v>0</v>
      </c>
      <c r="R4" s="91">
        <v>0</v>
      </c>
      <c r="S4" s="91">
        <v>78457.120000000083</v>
      </c>
      <c r="T4" s="91">
        <v>29562.09</v>
      </c>
      <c r="U4" s="91">
        <v>108019.21000000008</v>
      </c>
      <c r="V4" s="91">
        <v>-108019.21000000008</v>
      </c>
      <c r="W4" s="91">
        <v>0</v>
      </c>
      <c r="X4" s="91">
        <v>0</v>
      </c>
      <c r="Y4" s="119">
        <v>0</v>
      </c>
      <c r="Z4" s="92">
        <f>V4-Y4</f>
        <v>-108019.21000000008</v>
      </c>
    </row>
    <row r="5" spans="1:26" x14ac:dyDescent="0.2">
      <c r="A5" s="89" t="s">
        <v>1030</v>
      </c>
      <c r="B5" s="89" t="s">
        <v>1031</v>
      </c>
      <c r="C5" s="89" t="s">
        <v>1117</v>
      </c>
      <c r="D5" s="89" t="s">
        <v>1118</v>
      </c>
      <c r="E5" s="67" t="s">
        <v>1032</v>
      </c>
      <c r="F5" s="89" t="s">
        <v>1033</v>
      </c>
      <c r="G5" s="90">
        <v>45260</v>
      </c>
      <c r="H5" s="90"/>
      <c r="I5" s="91">
        <v>0</v>
      </c>
      <c r="J5" s="91">
        <v>0</v>
      </c>
      <c r="K5" s="91">
        <v>0</v>
      </c>
      <c r="L5" s="91">
        <v>0</v>
      </c>
      <c r="M5" s="91">
        <v>0</v>
      </c>
      <c r="N5" s="91">
        <v>0</v>
      </c>
      <c r="O5" s="91">
        <v>0</v>
      </c>
      <c r="P5" s="91">
        <v>0</v>
      </c>
      <c r="Q5" s="91">
        <v>0</v>
      </c>
      <c r="R5" s="91">
        <v>0</v>
      </c>
      <c r="S5" s="91">
        <v>0</v>
      </c>
      <c r="T5" s="91">
        <v>0</v>
      </c>
      <c r="U5" s="91">
        <v>0</v>
      </c>
      <c r="V5" s="91">
        <v>0</v>
      </c>
      <c r="W5" s="91">
        <v>0</v>
      </c>
      <c r="X5" s="91">
        <v>0</v>
      </c>
      <c r="Y5" s="119">
        <v>0</v>
      </c>
      <c r="Z5" s="92">
        <f t="shared" ref="Z5:Z6" si="0">V5-Y5</f>
        <v>0</v>
      </c>
    </row>
    <row r="6" spans="1:26" s="100" customFormat="1" x14ac:dyDescent="0.2">
      <c r="A6" s="93" t="s">
        <v>1309</v>
      </c>
      <c r="B6" s="93"/>
      <c r="C6" s="93"/>
      <c r="D6" s="93"/>
      <c r="E6" s="94"/>
      <c r="F6" s="93"/>
      <c r="G6" s="93"/>
      <c r="H6" s="93"/>
      <c r="I6" s="93">
        <f t="shared" ref="I6:Y6" si="1">SUM(I4:I5)</f>
        <v>21748000</v>
      </c>
      <c r="J6" s="95">
        <f t="shared" si="1"/>
        <v>0</v>
      </c>
      <c r="K6" s="95">
        <f t="shared" si="1"/>
        <v>0</v>
      </c>
      <c r="L6" s="95">
        <f t="shared" si="1"/>
        <v>0</v>
      </c>
      <c r="M6" s="95">
        <f t="shared" si="1"/>
        <v>0</v>
      </c>
      <c r="N6" s="95">
        <f t="shared" si="1"/>
        <v>0</v>
      </c>
      <c r="O6" s="96">
        <f t="shared" si="1"/>
        <v>0</v>
      </c>
      <c r="P6" s="95">
        <f t="shared" si="1"/>
        <v>0</v>
      </c>
      <c r="Q6" s="95">
        <f t="shared" si="1"/>
        <v>0</v>
      </c>
      <c r="R6" s="95">
        <f t="shared" si="1"/>
        <v>0</v>
      </c>
      <c r="S6" s="97">
        <f t="shared" si="1"/>
        <v>78457.120000000083</v>
      </c>
      <c r="T6" s="97">
        <f t="shared" si="1"/>
        <v>29562.09</v>
      </c>
      <c r="U6" s="98">
        <f t="shared" si="1"/>
        <v>108019.21000000008</v>
      </c>
      <c r="V6" s="99">
        <f t="shared" si="1"/>
        <v>-108019.21000000008</v>
      </c>
      <c r="W6" s="95">
        <f t="shared" si="1"/>
        <v>0</v>
      </c>
      <c r="X6" s="95">
        <f t="shared" si="1"/>
        <v>0</v>
      </c>
      <c r="Y6" s="120">
        <f t="shared" si="1"/>
        <v>0</v>
      </c>
      <c r="Z6" s="122">
        <f t="shared" si="0"/>
        <v>-108019.21000000008</v>
      </c>
    </row>
  </sheetData>
  <phoneticPr fontId="10" type="noConversion"/>
  <conditionalFormatting sqref="A1">
    <cfRule type="duplicateValues" dxfId="4" priority="3"/>
  </conditionalFormatting>
  <conditionalFormatting sqref="A3">
    <cfRule type="duplicateValues" dxfId="3" priority="2"/>
  </conditionalFormatting>
  <conditionalFormatting sqref="A6">
    <cfRule type="duplicateValues" dxfId="2" priority="1"/>
  </conditionalFormatting>
  <conditionalFormatting sqref="A122">
    <cfRule type="duplicateValues" dxfId="1" priority="5"/>
  </conditionalFormatting>
  <conditionalFormatting sqref="A123:A1048576 A2 A7:A121 A4:A5">
    <cfRule type="duplicateValues" dxfId="0" priority="6"/>
  </conditionalFormatting>
  <pageMargins left="0.7" right="0.7" top="0.75" bottom="0.75" header="0.3" footer="0.3"/>
  <pageSetup paperSize="9" orientation="portrait" r:id="rId1"/>
  <legacy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B349"/>
  <sheetViews>
    <sheetView workbookViewId="0">
      <selection activeCell="F13" sqref="F13"/>
    </sheetView>
  </sheetViews>
  <sheetFormatPr defaultRowHeight="12.75" x14ac:dyDescent="0.2"/>
  <cols>
    <col min="1" max="1" width="6" style="11" bestFit="1" customWidth="1"/>
    <col min="2" max="2" width="15.28515625" style="11" customWidth="1"/>
    <col min="3" max="16384" width="9.140625" style="72"/>
  </cols>
  <sheetData>
    <row r="1" spans="1:2" x14ac:dyDescent="0.2">
      <c r="A1" s="73" t="s">
        <v>578</v>
      </c>
      <c r="B1" s="73" t="s">
        <v>579</v>
      </c>
    </row>
    <row r="2" spans="1:2" x14ac:dyDescent="0.2">
      <c r="A2" s="12">
        <v>440</v>
      </c>
      <c r="B2" s="12" t="s">
        <v>1161</v>
      </c>
    </row>
    <row r="3" spans="1:2" x14ac:dyDescent="0.2">
      <c r="A3" s="12" t="s">
        <v>5</v>
      </c>
      <c r="B3" s="12" t="s">
        <v>1162</v>
      </c>
    </row>
    <row r="4" spans="1:2" x14ac:dyDescent="0.2">
      <c r="A4" s="12" t="s">
        <v>9</v>
      </c>
      <c r="B4" s="12" t="s">
        <v>1197</v>
      </c>
    </row>
    <row r="5" spans="1:2" x14ac:dyDescent="0.2">
      <c r="A5" s="12">
        <v>440</v>
      </c>
      <c r="B5" s="12" t="s">
        <v>1161</v>
      </c>
    </row>
    <row r="6" spans="1:2" x14ac:dyDescent="0.2">
      <c r="A6" s="12">
        <v>440</v>
      </c>
      <c r="B6" s="12" t="s">
        <v>1161</v>
      </c>
    </row>
    <row r="7" spans="1:2" x14ac:dyDescent="0.2">
      <c r="A7" s="12">
        <v>440</v>
      </c>
      <c r="B7" s="12" t="s">
        <v>1161</v>
      </c>
    </row>
    <row r="8" spans="1:2" x14ac:dyDescent="0.2">
      <c r="A8" s="12">
        <v>440</v>
      </c>
      <c r="B8" s="12" t="s">
        <v>1161</v>
      </c>
    </row>
    <row r="9" spans="1:2" x14ac:dyDescent="0.2">
      <c r="A9" s="12">
        <v>440</v>
      </c>
      <c r="B9" s="12" t="s">
        <v>1161</v>
      </c>
    </row>
    <row r="10" spans="1:2" x14ac:dyDescent="0.2">
      <c r="A10" s="12" t="s">
        <v>31</v>
      </c>
      <c r="B10" s="12" t="s">
        <v>1193</v>
      </c>
    </row>
    <row r="11" spans="1:2" x14ac:dyDescent="0.2">
      <c r="A11" s="12">
        <v>330</v>
      </c>
      <c r="B11" s="12" t="s">
        <v>1148</v>
      </c>
    </row>
    <row r="12" spans="1:2" x14ac:dyDescent="0.2">
      <c r="A12" s="12" t="s">
        <v>56</v>
      </c>
      <c r="B12" s="12" t="s">
        <v>1151</v>
      </c>
    </row>
    <row r="13" spans="1:2" x14ac:dyDescent="0.2">
      <c r="A13" s="12" t="s">
        <v>68</v>
      </c>
      <c r="B13" s="12" t="s">
        <v>1179</v>
      </c>
    </row>
    <row r="14" spans="1:2" x14ac:dyDescent="0.2">
      <c r="A14" s="12" t="s">
        <v>56</v>
      </c>
      <c r="B14" s="12" t="s">
        <v>1151</v>
      </c>
    </row>
    <row r="15" spans="1:2" x14ac:dyDescent="0.2">
      <c r="A15" s="12" t="s">
        <v>74</v>
      </c>
      <c r="B15" s="12" t="s">
        <v>1218</v>
      </c>
    </row>
    <row r="16" spans="1:2" x14ac:dyDescent="0.2">
      <c r="A16" s="12">
        <v>330</v>
      </c>
      <c r="B16" s="12" t="s">
        <v>1148</v>
      </c>
    </row>
    <row r="17" spans="1:2" x14ac:dyDescent="0.2">
      <c r="A17" s="12">
        <v>360</v>
      </c>
      <c r="B17" s="12" t="s">
        <v>1153</v>
      </c>
    </row>
    <row r="18" spans="1:2" x14ac:dyDescent="0.2">
      <c r="A18" s="12">
        <v>360</v>
      </c>
      <c r="B18" s="12" t="s">
        <v>1153</v>
      </c>
    </row>
    <row r="19" spans="1:2" x14ac:dyDescent="0.2">
      <c r="A19" s="12" t="s">
        <v>5</v>
      </c>
      <c r="B19" s="12" t="s">
        <v>1162</v>
      </c>
    </row>
    <row r="20" spans="1:2" x14ac:dyDescent="0.2">
      <c r="A20" s="12" t="s">
        <v>56</v>
      </c>
      <c r="B20" s="12" t="s">
        <v>1151</v>
      </c>
    </row>
    <row r="21" spans="1:2" x14ac:dyDescent="0.2">
      <c r="A21" s="12" t="s">
        <v>108</v>
      </c>
      <c r="B21" s="12" t="s">
        <v>1219</v>
      </c>
    </row>
    <row r="22" spans="1:2" x14ac:dyDescent="0.2">
      <c r="A22" s="12" t="s">
        <v>114</v>
      </c>
      <c r="B22" s="12" t="s">
        <v>1165</v>
      </c>
    </row>
    <row r="23" spans="1:2" x14ac:dyDescent="0.2">
      <c r="A23" s="12" t="s">
        <v>96</v>
      </c>
      <c r="B23" s="12" t="s">
        <v>1194</v>
      </c>
    </row>
    <row r="24" spans="1:2" x14ac:dyDescent="0.2">
      <c r="A24" s="12">
        <v>330</v>
      </c>
      <c r="B24" s="12" t="s">
        <v>1148</v>
      </c>
    </row>
    <row r="25" spans="1:2" x14ac:dyDescent="0.2">
      <c r="A25" s="12" t="s">
        <v>122</v>
      </c>
      <c r="B25" s="12" t="s">
        <v>1147</v>
      </c>
    </row>
    <row r="26" spans="1:2" x14ac:dyDescent="0.2">
      <c r="A26" s="12" t="s">
        <v>56</v>
      </c>
      <c r="B26" s="12" t="s">
        <v>1151</v>
      </c>
    </row>
    <row r="27" spans="1:2" x14ac:dyDescent="0.2">
      <c r="A27" s="12">
        <v>438</v>
      </c>
      <c r="B27" s="12" t="s">
        <v>1157</v>
      </c>
    </row>
    <row r="28" spans="1:2" x14ac:dyDescent="0.2">
      <c r="A28" s="12" t="s">
        <v>122</v>
      </c>
      <c r="B28" s="12" t="s">
        <v>1147</v>
      </c>
    </row>
    <row r="29" spans="1:2" x14ac:dyDescent="0.2">
      <c r="A29" s="12">
        <v>438</v>
      </c>
      <c r="B29" s="12" t="s">
        <v>1157</v>
      </c>
    </row>
    <row r="30" spans="1:2" x14ac:dyDescent="0.2">
      <c r="A30" s="12">
        <v>440</v>
      </c>
      <c r="B30" s="12" t="s">
        <v>1161</v>
      </c>
    </row>
    <row r="31" spans="1:2" x14ac:dyDescent="0.2">
      <c r="A31" s="12" t="s">
        <v>136</v>
      </c>
      <c r="B31" s="12" t="s">
        <v>1178</v>
      </c>
    </row>
    <row r="32" spans="1:2" x14ac:dyDescent="0.2">
      <c r="A32" s="12">
        <v>438</v>
      </c>
      <c r="B32" s="12" t="s">
        <v>1157</v>
      </c>
    </row>
    <row r="33" spans="1:2" x14ac:dyDescent="0.2">
      <c r="A33" s="12">
        <v>438</v>
      </c>
      <c r="B33" s="12" t="s">
        <v>1157</v>
      </c>
    </row>
    <row r="34" spans="1:2" x14ac:dyDescent="0.2">
      <c r="A34" s="12" t="s">
        <v>56</v>
      </c>
      <c r="B34" s="12" t="s">
        <v>1151</v>
      </c>
    </row>
    <row r="35" spans="1:2" x14ac:dyDescent="0.2">
      <c r="A35" s="12" t="s">
        <v>122</v>
      </c>
      <c r="B35" s="12" t="s">
        <v>1147</v>
      </c>
    </row>
    <row r="36" spans="1:2" x14ac:dyDescent="0.2">
      <c r="A36" s="12" t="s">
        <v>80</v>
      </c>
      <c r="B36" s="12" t="s">
        <v>1151</v>
      </c>
    </row>
    <row r="37" spans="1:2" x14ac:dyDescent="0.2">
      <c r="A37" s="12" t="s">
        <v>62</v>
      </c>
      <c r="B37" s="12" t="s">
        <v>1152</v>
      </c>
    </row>
    <row r="38" spans="1:2" x14ac:dyDescent="0.2">
      <c r="A38" s="12" t="s">
        <v>56</v>
      </c>
      <c r="B38" s="12" t="s">
        <v>1151</v>
      </c>
    </row>
    <row r="39" spans="1:2" x14ac:dyDescent="0.2">
      <c r="A39" s="12" t="s">
        <v>158</v>
      </c>
      <c r="B39" s="12" t="s">
        <v>1195</v>
      </c>
    </row>
    <row r="40" spans="1:2" x14ac:dyDescent="0.2">
      <c r="A40" s="12" t="s">
        <v>62</v>
      </c>
      <c r="B40" s="12" t="s">
        <v>1152</v>
      </c>
    </row>
    <row r="41" spans="1:2" x14ac:dyDescent="0.2">
      <c r="A41" s="12" t="s">
        <v>5</v>
      </c>
      <c r="B41" s="12" t="s">
        <v>1162</v>
      </c>
    </row>
    <row r="42" spans="1:2" x14ac:dyDescent="0.2">
      <c r="A42" s="12" t="s">
        <v>166</v>
      </c>
      <c r="B42" s="12" t="s">
        <v>475</v>
      </c>
    </row>
    <row r="43" spans="1:2" x14ac:dyDescent="0.2">
      <c r="A43" s="12" t="s">
        <v>166</v>
      </c>
      <c r="B43" s="12" t="s">
        <v>475</v>
      </c>
    </row>
    <row r="44" spans="1:2" x14ac:dyDescent="0.2">
      <c r="A44" s="12" t="s">
        <v>172</v>
      </c>
      <c r="B44" s="12" t="s">
        <v>1167</v>
      </c>
    </row>
    <row r="45" spans="1:2" x14ac:dyDescent="0.2">
      <c r="A45" s="12">
        <v>360</v>
      </c>
      <c r="B45" s="12" t="s">
        <v>1153</v>
      </c>
    </row>
    <row r="46" spans="1:2" x14ac:dyDescent="0.2">
      <c r="A46" s="12">
        <v>440</v>
      </c>
      <c r="B46" s="12" t="s">
        <v>1161</v>
      </c>
    </row>
    <row r="47" spans="1:2" x14ac:dyDescent="0.2">
      <c r="A47" s="12" t="s">
        <v>31</v>
      </c>
      <c r="B47" s="12" t="s">
        <v>1193</v>
      </c>
    </row>
    <row r="48" spans="1:2" x14ac:dyDescent="0.2">
      <c r="A48" s="12" t="s">
        <v>182</v>
      </c>
      <c r="B48" s="12" t="s">
        <v>1220</v>
      </c>
    </row>
    <row r="49" spans="1:2" x14ac:dyDescent="0.2">
      <c r="A49" s="12" t="s">
        <v>186</v>
      </c>
      <c r="B49" s="12" t="s">
        <v>1221</v>
      </c>
    </row>
    <row r="50" spans="1:2" x14ac:dyDescent="0.2">
      <c r="A50" s="12" t="s">
        <v>195</v>
      </c>
      <c r="B50" s="12" t="s">
        <v>1222</v>
      </c>
    </row>
    <row r="51" spans="1:2" x14ac:dyDescent="0.2">
      <c r="A51" s="12" t="s">
        <v>204</v>
      </c>
      <c r="B51" s="12" t="s">
        <v>1163</v>
      </c>
    </row>
    <row r="52" spans="1:2" x14ac:dyDescent="0.2">
      <c r="A52" s="12" t="s">
        <v>208</v>
      </c>
      <c r="B52" s="12" t="s">
        <v>1177</v>
      </c>
    </row>
    <row r="53" spans="1:2" x14ac:dyDescent="0.2">
      <c r="A53" s="12" t="s">
        <v>208</v>
      </c>
      <c r="B53" s="12" t="s">
        <v>1177</v>
      </c>
    </row>
    <row r="54" spans="1:2" x14ac:dyDescent="0.2">
      <c r="A54" s="12" t="s">
        <v>208</v>
      </c>
      <c r="B54" s="12" t="s">
        <v>1177</v>
      </c>
    </row>
    <row r="55" spans="1:2" x14ac:dyDescent="0.2">
      <c r="A55" s="12" t="s">
        <v>208</v>
      </c>
      <c r="B55" s="12" t="s">
        <v>1177</v>
      </c>
    </row>
    <row r="56" spans="1:2" x14ac:dyDescent="0.2">
      <c r="A56" s="12" t="s">
        <v>9</v>
      </c>
      <c r="B56" s="12" t="s">
        <v>1197</v>
      </c>
    </row>
    <row r="57" spans="1:2" x14ac:dyDescent="0.2">
      <c r="A57" s="12">
        <v>207</v>
      </c>
      <c r="B57" s="12" t="s">
        <v>1169</v>
      </c>
    </row>
    <row r="58" spans="1:2" x14ac:dyDescent="0.2">
      <c r="A58" s="12" t="s">
        <v>166</v>
      </c>
      <c r="B58" s="12" t="s">
        <v>475</v>
      </c>
    </row>
    <row r="59" spans="1:2" x14ac:dyDescent="0.2">
      <c r="A59" s="12" t="s">
        <v>166</v>
      </c>
      <c r="B59" s="12" t="s">
        <v>475</v>
      </c>
    </row>
    <row r="60" spans="1:2" x14ac:dyDescent="0.2">
      <c r="A60" s="12">
        <v>404</v>
      </c>
      <c r="B60" s="12" t="s">
        <v>1153</v>
      </c>
    </row>
    <row r="61" spans="1:2" x14ac:dyDescent="0.2">
      <c r="A61" s="12">
        <v>404</v>
      </c>
      <c r="B61" s="12" t="s">
        <v>1153</v>
      </c>
    </row>
    <row r="62" spans="1:2" x14ac:dyDescent="0.2">
      <c r="A62" s="12">
        <v>330</v>
      </c>
      <c r="B62" s="12" t="s">
        <v>1148</v>
      </c>
    </row>
    <row r="63" spans="1:2" x14ac:dyDescent="0.2">
      <c r="A63" s="12">
        <v>330</v>
      </c>
      <c r="B63" s="12" t="s">
        <v>1148</v>
      </c>
    </row>
    <row r="64" spans="1:2" x14ac:dyDescent="0.2">
      <c r="A64" s="12">
        <v>437</v>
      </c>
      <c r="B64" s="12" t="s">
        <v>1150</v>
      </c>
    </row>
    <row r="65" spans="1:2" x14ac:dyDescent="0.2">
      <c r="A65" s="12">
        <v>437</v>
      </c>
      <c r="B65" s="12" t="s">
        <v>1150</v>
      </c>
    </row>
    <row r="66" spans="1:2" x14ac:dyDescent="0.2">
      <c r="A66" s="12">
        <v>438</v>
      </c>
      <c r="B66" s="12" t="s">
        <v>1157</v>
      </c>
    </row>
    <row r="67" spans="1:2" x14ac:dyDescent="0.2">
      <c r="A67" s="12">
        <v>440</v>
      </c>
      <c r="B67" s="12" t="s">
        <v>1161</v>
      </c>
    </row>
    <row r="68" spans="1:2" x14ac:dyDescent="0.2">
      <c r="A68" s="12">
        <v>781</v>
      </c>
      <c r="B68" s="12" t="s">
        <v>1170</v>
      </c>
    </row>
    <row r="69" spans="1:2" x14ac:dyDescent="0.2">
      <c r="A69" s="12">
        <v>802</v>
      </c>
      <c r="B69" s="12" t="s">
        <v>1181</v>
      </c>
    </row>
    <row r="70" spans="1:2" x14ac:dyDescent="0.2">
      <c r="A70" s="12" t="s">
        <v>285</v>
      </c>
      <c r="B70" s="12" t="s">
        <v>1223</v>
      </c>
    </row>
    <row r="71" spans="1:2" x14ac:dyDescent="0.2">
      <c r="A71" s="12" t="s">
        <v>295</v>
      </c>
      <c r="B71" s="12" t="s">
        <v>1224</v>
      </c>
    </row>
    <row r="72" spans="1:2" x14ac:dyDescent="0.2">
      <c r="A72" s="12" t="s">
        <v>5</v>
      </c>
      <c r="B72" s="12" t="s">
        <v>1162</v>
      </c>
    </row>
    <row r="73" spans="1:2" x14ac:dyDescent="0.2">
      <c r="A73" s="12">
        <v>404</v>
      </c>
      <c r="B73" s="12" t="s">
        <v>1153</v>
      </c>
    </row>
    <row r="74" spans="1:2" x14ac:dyDescent="0.2">
      <c r="A74" s="12" t="s">
        <v>281</v>
      </c>
      <c r="B74" s="12" t="s">
        <v>1164</v>
      </c>
    </row>
    <row r="75" spans="1:2" x14ac:dyDescent="0.2">
      <c r="A75" s="12" t="s">
        <v>321</v>
      </c>
      <c r="B75" s="12" t="s">
        <v>1225</v>
      </c>
    </row>
    <row r="76" spans="1:2" x14ac:dyDescent="0.2">
      <c r="A76" s="12" t="s">
        <v>62</v>
      </c>
      <c r="B76" s="12" t="s">
        <v>1152</v>
      </c>
    </row>
    <row r="77" spans="1:2" x14ac:dyDescent="0.2">
      <c r="A77" s="12">
        <v>437</v>
      </c>
      <c r="B77" s="12" t="s">
        <v>1150</v>
      </c>
    </row>
    <row r="78" spans="1:2" x14ac:dyDescent="0.2">
      <c r="A78" s="12" t="s">
        <v>62</v>
      </c>
      <c r="B78" s="12" t="s">
        <v>1152</v>
      </c>
    </row>
    <row r="79" spans="1:2" x14ac:dyDescent="0.2">
      <c r="A79" s="12" t="s">
        <v>39</v>
      </c>
      <c r="B79" s="12" t="s">
        <v>1174</v>
      </c>
    </row>
    <row r="80" spans="1:2" x14ac:dyDescent="0.2">
      <c r="A80" s="12" t="s">
        <v>341</v>
      </c>
      <c r="B80" s="12" t="s">
        <v>1196</v>
      </c>
    </row>
    <row r="81" spans="1:2" x14ac:dyDescent="0.2">
      <c r="A81" s="12" t="s">
        <v>56</v>
      </c>
      <c r="B81" s="12" t="s">
        <v>1151</v>
      </c>
    </row>
    <row r="82" spans="1:2" x14ac:dyDescent="0.2">
      <c r="A82" s="12" t="s">
        <v>56</v>
      </c>
      <c r="B82" s="12" t="s">
        <v>1151</v>
      </c>
    </row>
    <row r="83" spans="1:2" x14ac:dyDescent="0.2">
      <c r="A83" s="12">
        <v>802</v>
      </c>
      <c r="B83" s="12" t="s">
        <v>1181</v>
      </c>
    </row>
    <row r="84" spans="1:2" x14ac:dyDescent="0.2">
      <c r="A84" s="12">
        <v>781</v>
      </c>
      <c r="B84" s="12" t="s">
        <v>1170</v>
      </c>
    </row>
    <row r="85" spans="1:2" x14ac:dyDescent="0.2">
      <c r="A85" s="12">
        <v>460</v>
      </c>
      <c r="B85" s="12" t="s">
        <v>1171</v>
      </c>
    </row>
    <row r="86" spans="1:2" x14ac:dyDescent="0.2">
      <c r="A86" s="12">
        <v>460</v>
      </c>
      <c r="B86" s="12" t="s">
        <v>1171</v>
      </c>
    </row>
    <row r="87" spans="1:2" x14ac:dyDescent="0.2">
      <c r="A87" s="12">
        <v>440</v>
      </c>
      <c r="B87" s="12" t="s">
        <v>1161</v>
      </c>
    </row>
    <row r="88" spans="1:2" x14ac:dyDescent="0.2">
      <c r="A88" s="12">
        <v>438</v>
      </c>
      <c r="B88" s="12" t="s">
        <v>1157</v>
      </c>
    </row>
    <row r="89" spans="1:2" x14ac:dyDescent="0.2">
      <c r="A89" s="12">
        <v>438</v>
      </c>
      <c r="B89" s="12" t="s">
        <v>1157</v>
      </c>
    </row>
    <row r="90" spans="1:2" x14ac:dyDescent="0.2">
      <c r="A90" s="12">
        <v>438</v>
      </c>
      <c r="B90" s="12" t="s">
        <v>1157</v>
      </c>
    </row>
    <row r="91" spans="1:2" x14ac:dyDescent="0.2">
      <c r="A91" s="12">
        <v>438</v>
      </c>
      <c r="B91" s="12" t="s">
        <v>1157</v>
      </c>
    </row>
    <row r="92" spans="1:2" x14ac:dyDescent="0.2">
      <c r="A92" s="12">
        <v>438</v>
      </c>
      <c r="B92" s="12" t="s">
        <v>1157</v>
      </c>
    </row>
    <row r="93" spans="1:2" x14ac:dyDescent="0.2">
      <c r="A93" s="12">
        <v>438</v>
      </c>
      <c r="B93" s="12" t="s">
        <v>1157</v>
      </c>
    </row>
    <row r="94" spans="1:2" x14ac:dyDescent="0.2">
      <c r="A94" s="12">
        <v>438</v>
      </c>
      <c r="B94" s="12" t="s">
        <v>1157</v>
      </c>
    </row>
    <row r="95" spans="1:2" x14ac:dyDescent="0.2">
      <c r="A95" s="12">
        <v>437</v>
      </c>
      <c r="B95" s="12" t="s">
        <v>1150</v>
      </c>
    </row>
    <row r="96" spans="1:2" x14ac:dyDescent="0.2">
      <c r="A96" s="12">
        <v>437</v>
      </c>
      <c r="B96" s="12" t="s">
        <v>1150</v>
      </c>
    </row>
    <row r="97" spans="1:2" x14ac:dyDescent="0.2">
      <c r="A97" s="12">
        <v>437</v>
      </c>
      <c r="B97" s="12" t="s">
        <v>1150</v>
      </c>
    </row>
    <row r="98" spans="1:2" x14ac:dyDescent="0.2">
      <c r="A98" s="12">
        <v>330</v>
      </c>
      <c r="B98" s="12" t="s">
        <v>1148</v>
      </c>
    </row>
    <row r="99" spans="1:2" x14ac:dyDescent="0.2">
      <c r="A99" s="12">
        <v>404</v>
      </c>
      <c r="B99" s="12" t="s">
        <v>1153</v>
      </c>
    </row>
    <row r="100" spans="1:2" x14ac:dyDescent="0.2">
      <c r="A100" s="12">
        <v>391</v>
      </c>
      <c r="B100" s="12" t="s">
        <v>1173</v>
      </c>
    </row>
    <row r="101" spans="1:2" x14ac:dyDescent="0.2">
      <c r="A101" s="12">
        <v>360</v>
      </c>
      <c r="B101" s="12" t="s">
        <v>1153</v>
      </c>
    </row>
    <row r="102" spans="1:2" x14ac:dyDescent="0.2">
      <c r="A102" s="12">
        <v>330</v>
      </c>
      <c r="B102" s="12" t="s">
        <v>1148</v>
      </c>
    </row>
    <row r="103" spans="1:2" x14ac:dyDescent="0.2">
      <c r="A103" s="12">
        <v>293</v>
      </c>
      <c r="B103" s="12" t="s">
        <v>1226</v>
      </c>
    </row>
    <row r="104" spans="1:2" x14ac:dyDescent="0.2">
      <c r="A104" s="12" t="s">
        <v>204</v>
      </c>
      <c r="B104" s="12" t="s">
        <v>1163</v>
      </c>
    </row>
    <row r="105" spans="1:2" x14ac:dyDescent="0.2">
      <c r="A105" s="12" t="s">
        <v>208</v>
      </c>
      <c r="B105" s="12" t="s">
        <v>1177</v>
      </c>
    </row>
    <row r="106" spans="1:2" x14ac:dyDescent="0.2">
      <c r="A106" s="12" t="s">
        <v>208</v>
      </c>
      <c r="B106" s="12" t="s">
        <v>1177</v>
      </c>
    </row>
    <row r="107" spans="1:2" x14ac:dyDescent="0.2">
      <c r="A107" s="12" t="s">
        <v>208</v>
      </c>
      <c r="B107" s="12" t="s">
        <v>1177</v>
      </c>
    </row>
    <row r="108" spans="1:2" x14ac:dyDescent="0.2">
      <c r="A108" s="12" t="s">
        <v>208</v>
      </c>
      <c r="B108" s="12" t="s">
        <v>1177</v>
      </c>
    </row>
    <row r="109" spans="1:2" x14ac:dyDescent="0.2">
      <c r="A109" s="12" t="s">
        <v>208</v>
      </c>
      <c r="B109" s="12" t="s">
        <v>1177</v>
      </c>
    </row>
    <row r="110" spans="1:2" x14ac:dyDescent="0.2">
      <c r="A110" s="12" t="s">
        <v>208</v>
      </c>
      <c r="B110" s="12" t="s">
        <v>1177</v>
      </c>
    </row>
    <row r="111" spans="1:2" x14ac:dyDescent="0.2">
      <c r="A111" s="12" t="s">
        <v>166</v>
      </c>
      <c r="B111" s="12" t="s">
        <v>475</v>
      </c>
    </row>
    <row r="112" spans="1:2" x14ac:dyDescent="0.2">
      <c r="A112" s="12" t="s">
        <v>166</v>
      </c>
      <c r="B112" s="12" t="s">
        <v>475</v>
      </c>
    </row>
    <row r="113" spans="1:2" x14ac:dyDescent="0.2">
      <c r="A113" s="12" t="s">
        <v>208</v>
      </c>
      <c r="B113" s="12" t="s">
        <v>1177</v>
      </c>
    </row>
    <row r="114" spans="1:2" x14ac:dyDescent="0.2">
      <c r="A114" s="12">
        <v>330</v>
      </c>
      <c r="B114" s="12" t="s">
        <v>1148</v>
      </c>
    </row>
    <row r="115" spans="1:2" x14ac:dyDescent="0.2">
      <c r="A115" s="12">
        <v>207</v>
      </c>
      <c r="B115" s="12" t="s">
        <v>1169</v>
      </c>
    </row>
    <row r="116" spans="1:2" x14ac:dyDescent="0.2">
      <c r="A116" s="12">
        <v>330</v>
      </c>
      <c r="B116" s="12" t="s">
        <v>1148</v>
      </c>
    </row>
    <row r="117" spans="1:2" x14ac:dyDescent="0.2">
      <c r="A117" s="12">
        <v>330</v>
      </c>
      <c r="B117" s="12" t="s">
        <v>1148</v>
      </c>
    </row>
    <row r="118" spans="1:2" x14ac:dyDescent="0.2">
      <c r="A118" s="12">
        <v>330</v>
      </c>
      <c r="B118" s="12" t="s">
        <v>1148</v>
      </c>
    </row>
    <row r="119" spans="1:2" x14ac:dyDescent="0.2">
      <c r="A119" s="12">
        <v>330</v>
      </c>
      <c r="B119" s="12" t="s">
        <v>1148</v>
      </c>
    </row>
    <row r="120" spans="1:2" x14ac:dyDescent="0.2">
      <c r="A120" s="12">
        <v>360</v>
      </c>
      <c r="B120" s="12" t="s">
        <v>1153</v>
      </c>
    </row>
    <row r="121" spans="1:2" x14ac:dyDescent="0.2">
      <c r="A121" s="12">
        <v>360</v>
      </c>
      <c r="B121" s="12" t="s">
        <v>1153</v>
      </c>
    </row>
    <row r="122" spans="1:2" x14ac:dyDescent="0.2">
      <c r="A122" s="12">
        <v>360</v>
      </c>
      <c r="B122" s="12" t="s">
        <v>1153</v>
      </c>
    </row>
    <row r="123" spans="1:2" x14ac:dyDescent="0.2">
      <c r="A123" s="12">
        <v>360</v>
      </c>
      <c r="B123" s="12" t="s">
        <v>1153</v>
      </c>
    </row>
    <row r="124" spans="1:2" x14ac:dyDescent="0.2">
      <c r="A124" s="12">
        <v>437</v>
      </c>
      <c r="B124" s="12" t="s">
        <v>1150</v>
      </c>
    </row>
    <row r="125" spans="1:2" x14ac:dyDescent="0.2">
      <c r="A125" s="12">
        <v>440</v>
      </c>
      <c r="B125" s="12" t="s">
        <v>1161</v>
      </c>
    </row>
    <row r="126" spans="1:2" x14ac:dyDescent="0.2">
      <c r="A126" s="12" t="s">
        <v>56</v>
      </c>
      <c r="B126" s="12" t="s">
        <v>1151</v>
      </c>
    </row>
    <row r="127" spans="1:2" x14ac:dyDescent="0.2">
      <c r="A127" s="12" t="s">
        <v>158</v>
      </c>
      <c r="B127" s="12" t="s">
        <v>1195</v>
      </c>
    </row>
    <row r="128" spans="1:2" x14ac:dyDescent="0.2">
      <c r="A128" s="12" t="s">
        <v>208</v>
      </c>
      <c r="B128" s="12" t="s">
        <v>1177</v>
      </c>
    </row>
    <row r="129" spans="1:2" x14ac:dyDescent="0.2">
      <c r="A129" s="12" t="s">
        <v>208</v>
      </c>
      <c r="B129" s="12" t="s">
        <v>1177</v>
      </c>
    </row>
    <row r="130" spans="1:2" x14ac:dyDescent="0.2">
      <c r="A130" s="12" t="s">
        <v>208</v>
      </c>
      <c r="B130" s="12" t="s">
        <v>1177</v>
      </c>
    </row>
    <row r="131" spans="1:2" x14ac:dyDescent="0.2">
      <c r="A131" s="12">
        <v>460</v>
      </c>
      <c r="B131" s="12" t="s">
        <v>1171</v>
      </c>
    </row>
    <row r="132" spans="1:2" x14ac:dyDescent="0.2">
      <c r="A132" s="12">
        <v>460</v>
      </c>
      <c r="B132" s="12" t="s">
        <v>1171</v>
      </c>
    </row>
    <row r="133" spans="1:2" x14ac:dyDescent="0.2">
      <c r="A133" s="12">
        <v>460</v>
      </c>
      <c r="B133" s="12" t="s">
        <v>1171</v>
      </c>
    </row>
    <row r="134" spans="1:2" x14ac:dyDescent="0.2">
      <c r="A134" s="12" t="s">
        <v>52</v>
      </c>
      <c r="B134" s="12" t="s">
        <v>1175</v>
      </c>
    </row>
    <row r="135" spans="1:2" x14ac:dyDescent="0.2">
      <c r="A135" s="12" t="s">
        <v>136</v>
      </c>
      <c r="B135" s="12" t="s">
        <v>1178</v>
      </c>
    </row>
    <row r="136" spans="1:2" x14ac:dyDescent="0.2">
      <c r="A136" s="12" t="s">
        <v>568</v>
      </c>
      <c r="B136" s="12" t="s">
        <v>1227</v>
      </c>
    </row>
    <row r="137" spans="1:2" x14ac:dyDescent="0.2">
      <c r="A137" s="12" t="s">
        <v>62</v>
      </c>
      <c r="B137" s="12" t="s">
        <v>1152</v>
      </c>
    </row>
    <row r="138" spans="1:2" x14ac:dyDescent="0.2">
      <c r="A138" s="12" t="s">
        <v>574</v>
      </c>
      <c r="B138" s="12" t="s">
        <v>1188</v>
      </c>
    </row>
    <row r="139" spans="1:2" x14ac:dyDescent="0.2">
      <c r="A139" s="12" t="s">
        <v>166</v>
      </c>
      <c r="B139" s="12" t="s">
        <v>475</v>
      </c>
    </row>
    <row r="140" spans="1:2" x14ac:dyDescent="0.2">
      <c r="A140" s="12" t="s">
        <v>114</v>
      </c>
      <c r="B140" s="12" t="s">
        <v>1165</v>
      </c>
    </row>
    <row r="141" spans="1:2" x14ac:dyDescent="0.2">
      <c r="A141" s="12" t="s">
        <v>96</v>
      </c>
      <c r="B141" s="12" t="s">
        <v>1194</v>
      </c>
    </row>
    <row r="142" spans="1:2" x14ac:dyDescent="0.2">
      <c r="A142" s="12" t="s">
        <v>5</v>
      </c>
      <c r="B142" s="12" t="s">
        <v>1162</v>
      </c>
    </row>
    <row r="143" spans="1:2" x14ac:dyDescent="0.2">
      <c r="A143" s="12" t="s">
        <v>62</v>
      </c>
      <c r="B143" s="12" t="s">
        <v>1152</v>
      </c>
    </row>
    <row r="144" spans="1:2" x14ac:dyDescent="0.2">
      <c r="A144" s="12" t="s">
        <v>56</v>
      </c>
      <c r="B144" s="12" t="s">
        <v>1151</v>
      </c>
    </row>
    <row r="145" spans="1:2" x14ac:dyDescent="0.2">
      <c r="A145" s="12" t="s">
        <v>56</v>
      </c>
      <c r="B145" s="12" t="s">
        <v>1151</v>
      </c>
    </row>
    <row r="146" spans="1:2" x14ac:dyDescent="0.2">
      <c r="A146" s="63">
        <v>437</v>
      </c>
      <c r="B146" s="12" t="s">
        <v>1150</v>
      </c>
    </row>
    <row r="147" spans="1:2" x14ac:dyDescent="0.2">
      <c r="A147" s="63">
        <v>437</v>
      </c>
      <c r="B147" s="12" t="s">
        <v>1150</v>
      </c>
    </row>
    <row r="148" spans="1:2" x14ac:dyDescent="0.2">
      <c r="A148" s="12" t="s">
        <v>713</v>
      </c>
      <c r="B148" s="12" t="s">
        <v>1155</v>
      </c>
    </row>
    <row r="149" spans="1:2" x14ac:dyDescent="0.2">
      <c r="A149" s="12" t="s">
        <v>729</v>
      </c>
      <c r="B149" s="12" t="s">
        <v>1187</v>
      </c>
    </row>
    <row r="150" spans="1:2" x14ac:dyDescent="0.2">
      <c r="A150" s="12" t="s">
        <v>122</v>
      </c>
      <c r="B150" s="12" t="s">
        <v>1147</v>
      </c>
    </row>
    <row r="151" spans="1:2" x14ac:dyDescent="0.2">
      <c r="A151" s="12" t="s">
        <v>303</v>
      </c>
      <c r="B151" s="12" t="s">
        <v>1159</v>
      </c>
    </row>
    <row r="152" spans="1:2" x14ac:dyDescent="0.2">
      <c r="A152" s="12" t="s">
        <v>303</v>
      </c>
      <c r="B152" s="12" t="s">
        <v>1159</v>
      </c>
    </row>
    <row r="153" spans="1:2" x14ac:dyDescent="0.2">
      <c r="A153" s="12" t="s">
        <v>186</v>
      </c>
      <c r="B153" s="12" t="s">
        <v>1221</v>
      </c>
    </row>
    <row r="154" spans="1:2" x14ac:dyDescent="0.2">
      <c r="A154" s="12" t="s">
        <v>1228</v>
      </c>
      <c r="B154" s="12" t="s">
        <v>1229</v>
      </c>
    </row>
    <row r="155" spans="1:2" x14ac:dyDescent="0.2">
      <c r="A155" s="12" t="s">
        <v>744</v>
      </c>
      <c r="B155" s="12" t="s">
        <v>1158</v>
      </c>
    </row>
    <row r="156" spans="1:2" x14ac:dyDescent="0.2">
      <c r="A156" s="12" t="s">
        <v>748</v>
      </c>
      <c r="B156" s="12" t="s">
        <v>1160</v>
      </c>
    </row>
    <row r="157" spans="1:2" x14ac:dyDescent="0.2">
      <c r="A157" s="12" t="s">
        <v>96</v>
      </c>
      <c r="B157" s="12" t="s">
        <v>1194</v>
      </c>
    </row>
    <row r="158" spans="1:2" x14ac:dyDescent="0.2">
      <c r="A158" s="12">
        <v>28</v>
      </c>
      <c r="B158" s="12" t="s">
        <v>1149</v>
      </c>
    </row>
    <row r="159" spans="1:2" x14ac:dyDescent="0.2">
      <c r="A159" s="12" t="s">
        <v>80</v>
      </c>
      <c r="B159" s="12" t="s">
        <v>1151</v>
      </c>
    </row>
    <row r="160" spans="1:2" x14ac:dyDescent="0.2">
      <c r="A160" s="12" t="s">
        <v>96</v>
      </c>
      <c r="B160" s="12" t="s">
        <v>1194</v>
      </c>
    </row>
    <row r="161" spans="1:2" x14ac:dyDescent="0.2">
      <c r="A161" s="12" t="s">
        <v>186</v>
      </c>
      <c r="B161" s="12" t="s">
        <v>1221</v>
      </c>
    </row>
    <row r="162" spans="1:2" x14ac:dyDescent="0.2">
      <c r="A162" s="12" t="s">
        <v>762</v>
      </c>
      <c r="B162" s="12" t="s">
        <v>1230</v>
      </c>
    </row>
    <row r="163" spans="1:2" x14ac:dyDescent="0.2">
      <c r="A163" s="12" t="s">
        <v>208</v>
      </c>
      <c r="B163" s="12" t="s">
        <v>1177</v>
      </c>
    </row>
    <row r="164" spans="1:2" x14ac:dyDescent="0.2">
      <c r="A164" s="12" t="s">
        <v>208</v>
      </c>
      <c r="B164" s="12" t="s">
        <v>1177</v>
      </c>
    </row>
    <row r="165" spans="1:2" x14ac:dyDescent="0.2">
      <c r="A165" s="12" t="s">
        <v>770</v>
      </c>
      <c r="B165" s="12" t="s">
        <v>1198</v>
      </c>
    </row>
    <row r="166" spans="1:2" x14ac:dyDescent="0.2">
      <c r="A166" s="12">
        <v>360</v>
      </c>
      <c r="B166" s="12" t="s">
        <v>1153</v>
      </c>
    </row>
    <row r="167" spans="1:2" x14ac:dyDescent="0.2">
      <c r="A167" s="12">
        <v>28</v>
      </c>
      <c r="B167" s="12" t="s">
        <v>1149</v>
      </c>
    </row>
    <row r="168" spans="1:2" x14ac:dyDescent="0.2">
      <c r="A168" s="12" t="s">
        <v>778</v>
      </c>
      <c r="B168" s="12" t="s">
        <v>1231</v>
      </c>
    </row>
    <row r="169" spans="1:2" x14ac:dyDescent="0.2">
      <c r="A169" s="12">
        <v>437</v>
      </c>
      <c r="B169" s="12" t="s">
        <v>1150</v>
      </c>
    </row>
    <row r="170" spans="1:2" x14ac:dyDescent="0.2">
      <c r="A170" s="12" t="s">
        <v>784</v>
      </c>
      <c r="B170" s="12" t="s">
        <v>785</v>
      </c>
    </row>
    <row r="171" spans="1:2" x14ac:dyDescent="0.2">
      <c r="A171" s="12" t="s">
        <v>705</v>
      </c>
      <c r="B171" s="12" t="s">
        <v>1232</v>
      </c>
    </row>
    <row r="172" spans="1:2" x14ac:dyDescent="0.2">
      <c r="A172" s="12" t="s">
        <v>790</v>
      </c>
      <c r="B172" s="12" t="s">
        <v>1168</v>
      </c>
    </row>
    <row r="173" spans="1:2" x14ac:dyDescent="0.2">
      <c r="A173" s="12" t="s">
        <v>68</v>
      </c>
      <c r="B173" s="12" t="s">
        <v>1179</v>
      </c>
    </row>
    <row r="174" spans="1:2" x14ac:dyDescent="0.2">
      <c r="A174" s="12" t="s">
        <v>56</v>
      </c>
      <c r="B174" s="12" t="s">
        <v>1151</v>
      </c>
    </row>
    <row r="175" spans="1:2" x14ac:dyDescent="0.2">
      <c r="A175" s="12" t="s">
        <v>798</v>
      </c>
      <c r="B175" s="12" t="s">
        <v>1186</v>
      </c>
    </row>
    <row r="176" spans="1:2" x14ac:dyDescent="0.2">
      <c r="A176" s="12" t="s">
        <v>208</v>
      </c>
      <c r="B176" s="12" t="s">
        <v>1177</v>
      </c>
    </row>
    <row r="177" spans="1:2" x14ac:dyDescent="0.2">
      <c r="A177" s="12" t="s">
        <v>80</v>
      </c>
      <c r="B177" s="12" t="s">
        <v>1151</v>
      </c>
    </row>
    <row r="178" spans="1:2" x14ac:dyDescent="0.2">
      <c r="A178" s="12" t="s">
        <v>1233</v>
      </c>
      <c r="B178" s="12" t="s">
        <v>1234</v>
      </c>
    </row>
    <row r="179" spans="1:2" x14ac:dyDescent="0.2">
      <c r="A179" s="63">
        <v>440</v>
      </c>
      <c r="B179" s="12" t="s">
        <v>1161</v>
      </c>
    </row>
    <row r="180" spans="1:2" x14ac:dyDescent="0.2">
      <c r="A180" s="63">
        <v>440</v>
      </c>
      <c r="B180" s="12" t="s">
        <v>1161</v>
      </c>
    </row>
    <row r="181" spans="1:2" x14ac:dyDescent="0.2">
      <c r="A181" s="63" t="s">
        <v>811</v>
      </c>
      <c r="B181" s="12" t="s">
        <v>1192</v>
      </c>
    </row>
    <row r="182" spans="1:2" x14ac:dyDescent="0.2">
      <c r="A182" s="12" t="s">
        <v>122</v>
      </c>
      <c r="B182" s="12" t="s">
        <v>1147</v>
      </c>
    </row>
    <row r="183" spans="1:2" x14ac:dyDescent="0.2">
      <c r="A183" s="12" t="s">
        <v>56</v>
      </c>
      <c r="B183" s="12" t="s">
        <v>1151</v>
      </c>
    </row>
    <row r="184" spans="1:2" x14ac:dyDescent="0.2">
      <c r="A184" s="63" t="s">
        <v>136</v>
      </c>
      <c r="B184" s="12" t="s">
        <v>1178</v>
      </c>
    </row>
    <row r="185" spans="1:2" x14ac:dyDescent="0.2">
      <c r="A185" s="63">
        <v>438</v>
      </c>
      <c r="B185" s="12" t="s">
        <v>1157</v>
      </c>
    </row>
    <row r="186" spans="1:2" x14ac:dyDescent="0.2">
      <c r="A186" s="63">
        <v>781</v>
      </c>
      <c r="B186" s="12" t="s">
        <v>1170</v>
      </c>
    </row>
    <row r="187" spans="1:2" x14ac:dyDescent="0.2">
      <c r="A187" s="63">
        <v>781</v>
      </c>
      <c r="B187" s="12" t="s">
        <v>1170</v>
      </c>
    </row>
    <row r="188" spans="1:2" x14ac:dyDescent="0.2">
      <c r="A188" s="63">
        <v>440</v>
      </c>
      <c r="B188" s="12" t="s">
        <v>1161</v>
      </c>
    </row>
    <row r="189" spans="1:2" x14ac:dyDescent="0.2">
      <c r="A189" s="63">
        <v>460</v>
      </c>
      <c r="B189" s="12" t="s">
        <v>1171</v>
      </c>
    </row>
    <row r="190" spans="1:2" x14ac:dyDescent="0.2">
      <c r="A190" s="63" t="s">
        <v>830</v>
      </c>
      <c r="B190" s="12" t="s">
        <v>1160</v>
      </c>
    </row>
    <row r="191" spans="1:2" x14ac:dyDescent="0.2">
      <c r="A191" s="63" t="s">
        <v>729</v>
      </c>
      <c r="B191" s="12" t="s">
        <v>1187</v>
      </c>
    </row>
    <row r="192" spans="1:2" x14ac:dyDescent="0.2">
      <c r="A192" s="63">
        <v>460</v>
      </c>
      <c r="B192" s="12" t="s">
        <v>1171</v>
      </c>
    </row>
    <row r="193" spans="1:2" x14ac:dyDescent="0.2">
      <c r="A193" s="63" t="s">
        <v>56</v>
      </c>
      <c r="B193" s="12" t="s">
        <v>1151</v>
      </c>
    </row>
    <row r="194" spans="1:2" x14ac:dyDescent="0.2">
      <c r="A194" s="63" t="s">
        <v>56</v>
      </c>
      <c r="B194" s="12" t="s">
        <v>1151</v>
      </c>
    </row>
    <row r="195" spans="1:2" x14ac:dyDescent="0.2">
      <c r="A195" s="63" t="s">
        <v>841</v>
      </c>
      <c r="B195" s="12" t="s">
        <v>1189</v>
      </c>
    </row>
    <row r="196" spans="1:2" x14ac:dyDescent="0.2">
      <c r="A196" s="63" t="s">
        <v>845</v>
      </c>
      <c r="B196" s="12" t="s">
        <v>1172</v>
      </c>
    </row>
    <row r="197" spans="1:2" x14ac:dyDescent="0.2">
      <c r="A197" s="63" t="s">
        <v>166</v>
      </c>
      <c r="B197" s="12" t="s">
        <v>475</v>
      </c>
    </row>
    <row r="198" spans="1:2" x14ac:dyDescent="0.2">
      <c r="A198" s="63">
        <v>360</v>
      </c>
      <c r="B198" s="12" t="s">
        <v>1153</v>
      </c>
    </row>
    <row r="199" spans="1:2" x14ac:dyDescent="0.2">
      <c r="A199" s="63" t="s">
        <v>52</v>
      </c>
      <c r="B199" s="12" t="s">
        <v>1175</v>
      </c>
    </row>
    <row r="200" spans="1:2" x14ac:dyDescent="0.2">
      <c r="A200" s="63" t="s">
        <v>705</v>
      </c>
      <c r="B200" s="12" t="s">
        <v>1232</v>
      </c>
    </row>
    <row r="201" spans="1:2" x14ac:dyDescent="0.2">
      <c r="A201" s="63" t="s">
        <v>875</v>
      </c>
      <c r="B201" s="12" t="s">
        <v>1235</v>
      </c>
    </row>
    <row r="202" spans="1:2" x14ac:dyDescent="0.2">
      <c r="A202" s="63" t="s">
        <v>878</v>
      </c>
      <c r="B202" s="12" t="s">
        <v>1236</v>
      </c>
    </row>
    <row r="203" spans="1:2" x14ac:dyDescent="0.2">
      <c r="A203" s="63" t="s">
        <v>62</v>
      </c>
      <c r="B203" s="12" t="s">
        <v>1152</v>
      </c>
    </row>
    <row r="204" spans="1:2" x14ac:dyDescent="0.2">
      <c r="A204" s="63" t="s">
        <v>830</v>
      </c>
      <c r="B204" s="12" t="s">
        <v>1160</v>
      </c>
    </row>
    <row r="205" spans="1:2" x14ac:dyDescent="0.2">
      <c r="A205" s="63" t="s">
        <v>62</v>
      </c>
      <c r="B205" s="12" t="s">
        <v>1152</v>
      </c>
    </row>
    <row r="206" spans="1:2" x14ac:dyDescent="0.2">
      <c r="A206" s="63">
        <v>330</v>
      </c>
      <c r="B206" s="12" t="s">
        <v>1148</v>
      </c>
    </row>
    <row r="207" spans="1:2" x14ac:dyDescent="0.2">
      <c r="A207" s="63" t="s">
        <v>875</v>
      </c>
      <c r="B207" s="12" t="s">
        <v>1235</v>
      </c>
    </row>
    <row r="208" spans="1:2" x14ac:dyDescent="0.2">
      <c r="A208" s="63">
        <v>330</v>
      </c>
      <c r="B208" s="12" t="s">
        <v>1148</v>
      </c>
    </row>
    <row r="209" spans="1:2" x14ac:dyDescent="0.2">
      <c r="A209" s="63" t="s">
        <v>35</v>
      </c>
      <c r="B209" s="12">
        <v>268</v>
      </c>
    </row>
    <row r="210" spans="1:2" x14ac:dyDescent="0.2">
      <c r="A210" s="63">
        <v>440</v>
      </c>
      <c r="B210" s="12" t="s">
        <v>1161</v>
      </c>
    </row>
    <row r="211" spans="1:2" x14ac:dyDescent="0.2">
      <c r="A211" s="63">
        <v>460</v>
      </c>
      <c r="B211" s="12" t="s">
        <v>1171</v>
      </c>
    </row>
    <row r="212" spans="1:2" x14ac:dyDescent="0.2">
      <c r="A212" s="63">
        <v>460</v>
      </c>
      <c r="B212" s="12" t="s">
        <v>1171</v>
      </c>
    </row>
    <row r="213" spans="1:2" x14ac:dyDescent="0.2">
      <c r="A213" s="63" t="s">
        <v>9</v>
      </c>
      <c r="B213" s="12" t="s">
        <v>1197</v>
      </c>
    </row>
    <row r="214" spans="1:2" x14ac:dyDescent="0.2">
      <c r="A214" s="63" t="s">
        <v>892</v>
      </c>
      <c r="B214" s="12" t="s">
        <v>1237</v>
      </c>
    </row>
    <row r="215" spans="1:2" x14ac:dyDescent="0.2">
      <c r="A215" s="63" t="s">
        <v>56</v>
      </c>
      <c r="B215" s="12" t="s">
        <v>1151</v>
      </c>
    </row>
    <row r="216" spans="1:2" x14ac:dyDescent="0.2">
      <c r="A216" s="63">
        <v>800</v>
      </c>
      <c r="B216" s="12" t="s">
        <v>1156</v>
      </c>
    </row>
    <row r="217" spans="1:2" x14ac:dyDescent="0.2">
      <c r="A217" s="63">
        <v>440</v>
      </c>
      <c r="B217" s="12" t="s">
        <v>1161</v>
      </c>
    </row>
    <row r="218" spans="1:2" x14ac:dyDescent="0.2">
      <c r="A218" s="63" t="s">
        <v>208</v>
      </c>
      <c r="B218" s="12" t="s">
        <v>1177</v>
      </c>
    </row>
    <row r="219" spans="1:2" x14ac:dyDescent="0.2">
      <c r="A219" s="63" t="s">
        <v>158</v>
      </c>
      <c r="B219" s="12" t="s">
        <v>1195</v>
      </c>
    </row>
    <row r="220" spans="1:2" x14ac:dyDescent="0.2">
      <c r="A220" s="63" t="s">
        <v>158</v>
      </c>
      <c r="B220" s="12" t="s">
        <v>1195</v>
      </c>
    </row>
    <row r="221" spans="1:2" x14ac:dyDescent="0.2">
      <c r="A221" s="63" t="s">
        <v>166</v>
      </c>
      <c r="B221" s="12" t="s">
        <v>475</v>
      </c>
    </row>
    <row r="222" spans="1:2" x14ac:dyDescent="0.2">
      <c r="A222" s="63" t="s">
        <v>96</v>
      </c>
      <c r="B222" s="12" t="s">
        <v>1194</v>
      </c>
    </row>
    <row r="223" spans="1:2" x14ac:dyDescent="0.2">
      <c r="A223" s="12">
        <v>438</v>
      </c>
      <c r="B223" s="12" t="s">
        <v>1157</v>
      </c>
    </row>
    <row r="224" spans="1:2" x14ac:dyDescent="0.2">
      <c r="A224" s="63">
        <v>330</v>
      </c>
      <c r="B224" s="12" t="s">
        <v>1148</v>
      </c>
    </row>
    <row r="225" spans="1:2" x14ac:dyDescent="0.2">
      <c r="A225" s="63">
        <v>781</v>
      </c>
      <c r="B225" s="12" t="s">
        <v>1170</v>
      </c>
    </row>
    <row r="226" spans="1:2" x14ac:dyDescent="0.2">
      <c r="A226" s="63">
        <v>330</v>
      </c>
      <c r="B226" s="12" t="s">
        <v>1148</v>
      </c>
    </row>
    <row r="227" spans="1:2" x14ac:dyDescent="0.2">
      <c r="A227" s="63" t="s">
        <v>285</v>
      </c>
      <c r="B227" s="12" t="s">
        <v>1223</v>
      </c>
    </row>
    <row r="228" spans="1:2" x14ac:dyDescent="0.2">
      <c r="A228" s="63">
        <v>438</v>
      </c>
      <c r="B228" s="12" t="s">
        <v>1157</v>
      </c>
    </row>
    <row r="229" spans="1:2" x14ac:dyDescent="0.2">
      <c r="A229" s="63" t="s">
        <v>327</v>
      </c>
      <c r="B229" s="12" t="s">
        <v>1166</v>
      </c>
    </row>
    <row r="230" spans="1:2" x14ac:dyDescent="0.2">
      <c r="A230" s="63" t="s">
        <v>790</v>
      </c>
      <c r="B230" s="12" t="s">
        <v>1168</v>
      </c>
    </row>
    <row r="231" spans="1:2" x14ac:dyDescent="0.2">
      <c r="A231" s="63">
        <v>438</v>
      </c>
      <c r="B231" s="12" t="s">
        <v>1157</v>
      </c>
    </row>
    <row r="232" spans="1:2" x14ac:dyDescent="0.2">
      <c r="A232" s="63" t="s">
        <v>208</v>
      </c>
      <c r="B232" s="12" t="s">
        <v>1177</v>
      </c>
    </row>
    <row r="233" spans="1:2" x14ac:dyDescent="0.2">
      <c r="A233" s="63" t="s">
        <v>96</v>
      </c>
      <c r="B233" s="12" t="s">
        <v>1194</v>
      </c>
    </row>
    <row r="234" spans="1:2" x14ac:dyDescent="0.2">
      <c r="A234" s="63">
        <v>437</v>
      </c>
      <c r="B234" s="12" t="s">
        <v>1150</v>
      </c>
    </row>
    <row r="235" spans="1:2" x14ac:dyDescent="0.2">
      <c r="A235" s="63">
        <v>437</v>
      </c>
      <c r="B235" s="12" t="s">
        <v>1150</v>
      </c>
    </row>
    <row r="236" spans="1:2" x14ac:dyDescent="0.2">
      <c r="A236" s="63" t="s">
        <v>923</v>
      </c>
      <c r="B236" s="12" t="s">
        <v>1154</v>
      </c>
    </row>
    <row r="237" spans="1:2" x14ac:dyDescent="0.2">
      <c r="A237" s="63">
        <v>440</v>
      </c>
      <c r="B237" s="12" t="s">
        <v>1161</v>
      </c>
    </row>
    <row r="238" spans="1:2" x14ac:dyDescent="0.2">
      <c r="A238" s="63">
        <v>438</v>
      </c>
      <c r="B238" s="12" t="s">
        <v>1157</v>
      </c>
    </row>
    <row r="239" spans="1:2" x14ac:dyDescent="0.2">
      <c r="A239" s="63" t="s">
        <v>56</v>
      </c>
      <c r="B239" s="12" t="s">
        <v>1151</v>
      </c>
    </row>
    <row r="240" spans="1:2" x14ac:dyDescent="0.2">
      <c r="A240" s="63">
        <v>440</v>
      </c>
      <c r="B240" s="12" t="s">
        <v>1161</v>
      </c>
    </row>
    <row r="241" spans="1:2" x14ac:dyDescent="0.2">
      <c r="A241" s="63">
        <v>404</v>
      </c>
      <c r="B241" s="12" t="s">
        <v>1153</v>
      </c>
    </row>
    <row r="242" spans="1:2" x14ac:dyDescent="0.2">
      <c r="A242" s="63" t="s">
        <v>762</v>
      </c>
      <c r="B242" s="12" t="s">
        <v>1230</v>
      </c>
    </row>
    <row r="243" spans="1:2" x14ac:dyDescent="0.2">
      <c r="A243" s="63" t="s">
        <v>208</v>
      </c>
      <c r="B243" s="12" t="s">
        <v>1177</v>
      </c>
    </row>
    <row r="244" spans="1:2" x14ac:dyDescent="0.2">
      <c r="A244" s="63" t="s">
        <v>933</v>
      </c>
      <c r="B244" s="12" t="s">
        <v>1238</v>
      </c>
    </row>
    <row r="245" spans="1:2" x14ac:dyDescent="0.2">
      <c r="A245" s="63">
        <v>291</v>
      </c>
      <c r="B245" s="12" t="s">
        <v>1239</v>
      </c>
    </row>
    <row r="246" spans="1:2" x14ac:dyDescent="0.2">
      <c r="A246" s="63" t="s">
        <v>748</v>
      </c>
      <c r="B246" s="12" t="s">
        <v>1160</v>
      </c>
    </row>
    <row r="247" spans="1:2" x14ac:dyDescent="0.2">
      <c r="A247" s="63" t="s">
        <v>39</v>
      </c>
      <c r="B247" s="12" t="s">
        <v>1174</v>
      </c>
    </row>
    <row r="248" spans="1:2" x14ac:dyDescent="0.2">
      <c r="A248" s="63" t="s">
        <v>955</v>
      </c>
      <c r="B248" s="12" t="s">
        <v>1183</v>
      </c>
    </row>
    <row r="249" spans="1:2" x14ac:dyDescent="0.2">
      <c r="A249" s="63">
        <v>440</v>
      </c>
      <c r="B249" s="12" t="s">
        <v>1161</v>
      </c>
    </row>
    <row r="250" spans="1:2" x14ac:dyDescent="0.2">
      <c r="A250" s="63">
        <v>440</v>
      </c>
      <c r="B250" s="12" t="s">
        <v>1161</v>
      </c>
    </row>
    <row r="251" spans="1:2" x14ac:dyDescent="0.2">
      <c r="A251" s="63">
        <v>440</v>
      </c>
      <c r="B251" s="12" t="s">
        <v>1161</v>
      </c>
    </row>
    <row r="252" spans="1:2" x14ac:dyDescent="0.2">
      <c r="A252" s="63">
        <v>440</v>
      </c>
      <c r="B252" s="12" t="s">
        <v>1161</v>
      </c>
    </row>
    <row r="253" spans="1:2" x14ac:dyDescent="0.2">
      <c r="A253" s="63">
        <v>440</v>
      </c>
      <c r="B253" s="12" t="s">
        <v>1161</v>
      </c>
    </row>
    <row r="254" spans="1:2" x14ac:dyDescent="0.2">
      <c r="A254" s="63" t="s">
        <v>5</v>
      </c>
      <c r="B254" s="12" t="s">
        <v>1162</v>
      </c>
    </row>
    <row r="255" spans="1:2" x14ac:dyDescent="0.2">
      <c r="A255" s="63" t="s">
        <v>303</v>
      </c>
      <c r="B255" s="12" t="s">
        <v>1159</v>
      </c>
    </row>
    <row r="256" spans="1:2" x14ac:dyDescent="0.2">
      <c r="A256" s="63">
        <v>330</v>
      </c>
      <c r="B256" s="12" t="s">
        <v>1148</v>
      </c>
    </row>
    <row r="257" spans="1:2" x14ac:dyDescent="0.2">
      <c r="A257" s="63" t="s">
        <v>96</v>
      </c>
      <c r="B257" s="12" t="s">
        <v>1194</v>
      </c>
    </row>
    <row r="258" spans="1:2" x14ac:dyDescent="0.2">
      <c r="A258" s="63" t="s">
        <v>56</v>
      </c>
      <c r="B258" s="12" t="s">
        <v>1151</v>
      </c>
    </row>
    <row r="259" spans="1:2" x14ac:dyDescent="0.2">
      <c r="A259" s="63" t="s">
        <v>961</v>
      </c>
      <c r="B259" s="12" t="s">
        <v>1184</v>
      </c>
    </row>
    <row r="260" spans="1:2" x14ac:dyDescent="0.2">
      <c r="A260" s="63" t="s">
        <v>166</v>
      </c>
      <c r="B260" s="12" t="s">
        <v>475</v>
      </c>
    </row>
    <row r="261" spans="1:2" x14ac:dyDescent="0.2">
      <c r="A261" s="63" t="s">
        <v>56</v>
      </c>
      <c r="B261" s="12" t="s">
        <v>1151</v>
      </c>
    </row>
    <row r="262" spans="1:2" x14ac:dyDescent="0.2">
      <c r="A262" s="63" t="s">
        <v>762</v>
      </c>
      <c r="B262" s="12" t="s">
        <v>1230</v>
      </c>
    </row>
    <row r="263" spans="1:2" x14ac:dyDescent="0.2">
      <c r="A263" s="63" t="s">
        <v>762</v>
      </c>
      <c r="B263" s="12" t="s">
        <v>1230</v>
      </c>
    </row>
    <row r="264" spans="1:2" x14ac:dyDescent="0.2">
      <c r="A264" s="63" t="s">
        <v>204</v>
      </c>
      <c r="B264" s="12" t="s">
        <v>1163</v>
      </c>
    </row>
    <row r="265" spans="1:2" x14ac:dyDescent="0.2">
      <c r="A265" s="63" t="s">
        <v>933</v>
      </c>
      <c r="B265" s="12" t="s">
        <v>1238</v>
      </c>
    </row>
    <row r="266" spans="1:2" x14ac:dyDescent="0.2">
      <c r="A266" s="63" t="s">
        <v>122</v>
      </c>
      <c r="B266" s="12" t="s">
        <v>1147</v>
      </c>
    </row>
    <row r="267" spans="1:2" x14ac:dyDescent="0.2">
      <c r="A267" s="63">
        <v>330</v>
      </c>
      <c r="B267" s="12" t="s">
        <v>1148</v>
      </c>
    </row>
    <row r="268" spans="1:2" x14ac:dyDescent="0.2">
      <c r="A268" s="63" t="s">
        <v>748</v>
      </c>
      <c r="B268" s="12" t="s">
        <v>1160</v>
      </c>
    </row>
    <row r="269" spans="1:2" x14ac:dyDescent="0.2">
      <c r="A269" s="63" t="s">
        <v>56</v>
      </c>
      <c r="B269" s="12" t="s">
        <v>1151</v>
      </c>
    </row>
    <row r="270" spans="1:2" x14ac:dyDescent="0.2">
      <c r="A270" s="63">
        <v>404</v>
      </c>
      <c r="B270" s="12" t="s">
        <v>1153</v>
      </c>
    </row>
    <row r="271" spans="1:2" x14ac:dyDescent="0.2">
      <c r="A271" s="63">
        <v>360</v>
      </c>
      <c r="B271" s="12" t="s">
        <v>1153</v>
      </c>
    </row>
    <row r="272" spans="1:2" x14ac:dyDescent="0.2">
      <c r="A272" s="63">
        <v>360</v>
      </c>
      <c r="B272" s="12" t="s">
        <v>1153</v>
      </c>
    </row>
    <row r="273" spans="1:2" x14ac:dyDescent="0.2">
      <c r="A273" s="63">
        <v>360</v>
      </c>
      <c r="B273" s="12" t="s">
        <v>1153</v>
      </c>
    </row>
    <row r="274" spans="1:2" x14ac:dyDescent="0.2">
      <c r="A274" s="63">
        <v>302</v>
      </c>
      <c r="B274" s="12" t="s">
        <v>1240</v>
      </c>
    </row>
    <row r="275" spans="1:2" x14ac:dyDescent="0.2">
      <c r="A275" s="63">
        <v>293</v>
      </c>
      <c r="B275" s="12" t="s">
        <v>1226</v>
      </c>
    </row>
    <row r="276" spans="1:2" x14ac:dyDescent="0.2">
      <c r="A276" s="63" t="s">
        <v>208</v>
      </c>
      <c r="B276" s="12" t="s">
        <v>1177</v>
      </c>
    </row>
    <row r="277" spans="1:2" x14ac:dyDescent="0.2">
      <c r="A277" s="63">
        <v>250</v>
      </c>
      <c r="B277" s="12" t="s">
        <v>1241</v>
      </c>
    </row>
    <row r="278" spans="1:2" x14ac:dyDescent="0.2">
      <c r="A278" s="63">
        <v>438</v>
      </c>
      <c r="B278" s="12" t="s">
        <v>1157</v>
      </c>
    </row>
    <row r="279" spans="1:2" x14ac:dyDescent="0.2">
      <c r="A279" s="63">
        <v>330</v>
      </c>
      <c r="B279" s="12" t="s">
        <v>1148</v>
      </c>
    </row>
    <row r="280" spans="1:2" x14ac:dyDescent="0.2">
      <c r="A280" s="63">
        <v>404</v>
      </c>
      <c r="B280" s="12" t="s">
        <v>1153</v>
      </c>
    </row>
    <row r="281" spans="1:2" x14ac:dyDescent="0.2">
      <c r="A281" s="63">
        <v>370</v>
      </c>
      <c r="B281" s="12" t="s">
        <v>997</v>
      </c>
    </row>
    <row r="282" spans="1:2" x14ac:dyDescent="0.2">
      <c r="A282" s="63">
        <v>440</v>
      </c>
      <c r="B282" s="12" t="s">
        <v>1161</v>
      </c>
    </row>
    <row r="283" spans="1:2" x14ac:dyDescent="0.2">
      <c r="A283" s="63" t="s">
        <v>208</v>
      </c>
      <c r="B283" s="12" t="s">
        <v>1177</v>
      </c>
    </row>
    <row r="284" spans="1:2" x14ac:dyDescent="0.2">
      <c r="A284" s="63" t="s">
        <v>1002</v>
      </c>
      <c r="B284" s="12" t="s">
        <v>1242</v>
      </c>
    </row>
    <row r="285" spans="1:2" x14ac:dyDescent="0.2">
      <c r="A285" s="63" t="s">
        <v>122</v>
      </c>
      <c r="B285" s="12" t="s">
        <v>1147</v>
      </c>
    </row>
    <row r="286" spans="1:2" x14ac:dyDescent="0.2">
      <c r="A286" s="63" t="s">
        <v>5</v>
      </c>
      <c r="B286" s="12" t="s">
        <v>1162</v>
      </c>
    </row>
    <row r="287" spans="1:2" x14ac:dyDescent="0.2">
      <c r="A287" s="63" t="s">
        <v>45</v>
      </c>
      <c r="B287" s="12" t="s">
        <v>1243</v>
      </c>
    </row>
    <row r="288" spans="1:2" x14ac:dyDescent="0.2">
      <c r="A288" s="63">
        <v>25001</v>
      </c>
      <c r="B288" s="12" t="s">
        <v>1241</v>
      </c>
    </row>
    <row r="289" spans="1:2" x14ac:dyDescent="0.2">
      <c r="A289" s="63">
        <v>25011</v>
      </c>
      <c r="B289" s="12" t="s">
        <v>1241</v>
      </c>
    </row>
    <row r="290" spans="1:2" x14ac:dyDescent="0.2">
      <c r="A290" s="63">
        <v>330</v>
      </c>
      <c r="B290" s="12" t="s">
        <v>1148</v>
      </c>
    </row>
    <row r="291" spans="1:2" x14ac:dyDescent="0.2">
      <c r="A291" s="63">
        <v>330</v>
      </c>
      <c r="B291" s="12" t="s">
        <v>1148</v>
      </c>
    </row>
    <row r="292" spans="1:2" x14ac:dyDescent="0.2">
      <c r="A292" s="63">
        <v>297</v>
      </c>
      <c r="B292" s="12" t="s">
        <v>1244</v>
      </c>
    </row>
    <row r="293" spans="1:2" x14ac:dyDescent="0.2">
      <c r="A293" s="63">
        <v>360</v>
      </c>
      <c r="B293" s="12" t="s">
        <v>1153</v>
      </c>
    </row>
    <row r="294" spans="1:2" x14ac:dyDescent="0.2">
      <c r="A294" s="63">
        <v>437</v>
      </c>
      <c r="B294" s="12" t="s">
        <v>1150</v>
      </c>
    </row>
    <row r="295" spans="1:2" x14ac:dyDescent="0.2">
      <c r="A295" s="63">
        <v>440</v>
      </c>
      <c r="B295" s="12" t="s">
        <v>1161</v>
      </c>
    </row>
    <row r="296" spans="1:2" x14ac:dyDescent="0.2">
      <c r="A296" s="63">
        <v>40406</v>
      </c>
      <c r="B296" s="12" t="s">
        <v>1153</v>
      </c>
    </row>
    <row r="297" spans="1:2" x14ac:dyDescent="0.2">
      <c r="A297" s="63" t="s">
        <v>56</v>
      </c>
      <c r="B297" s="12" t="s">
        <v>1151</v>
      </c>
    </row>
    <row r="298" spans="1:2" x14ac:dyDescent="0.2">
      <c r="A298" s="63" t="s">
        <v>122</v>
      </c>
      <c r="B298" s="12" t="s">
        <v>1147</v>
      </c>
    </row>
    <row r="299" spans="1:2" x14ac:dyDescent="0.2">
      <c r="A299" s="63" t="s">
        <v>1028</v>
      </c>
      <c r="B299" s="12" t="s">
        <v>1180</v>
      </c>
    </row>
    <row r="300" spans="1:2" x14ac:dyDescent="0.2">
      <c r="A300" s="63" t="s">
        <v>1032</v>
      </c>
      <c r="B300" s="12" t="s">
        <v>1033</v>
      </c>
    </row>
    <row r="301" spans="1:2" x14ac:dyDescent="0.2">
      <c r="A301" s="63" t="s">
        <v>208</v>
      </c>
      <c r="B301" s="12" t="s">
        <v>1177</v>
      </c>
    </row>
    <row r="302" spans="1:2" x14ac:dyDescent="0.2">
      <c r="A302" s="63" t="s">
        <v>1038</v>
      </c>
      <c r="B302" s="12" t="s">
        <v>1245</v>
      </c>
    </row>
    <row r="303" spans="1:2" x14ac:dyDescent="0.2">
      <c r="A303" s="63" t="s">
        <v>1042</v>
      </c>
      <c r="B303" s="12" t="s">
        <v>1190</v>
      </c>
    </row>
    <row r="304" spans="1:2" x14ac:dyDescent="0.2">
      <c r="A304" s="63" t="s">
        <v>56</v>
      </c>
      <c r="B304" s="12" t="s">
        <v>1151</v>
      </c>
    </row>
    <row r="305" spans="1:2" x14ac:dyDescent="0.2">
      <c r="A305" s="63">
        <v>437</v>
      </c>
      <c r="B305" s="12" t="s">
        <v>1150</v>
      </c>
    </row>
    <row r="306" spans="1:2" x14ac:dyDescent="0.2">
      <c r="A306" s="63" t="s">
        <v>1050</v>
      </c>
      <c r="B306" s="12" t="s">
        <v>1246</v>
      </c>
    </row>
    <row r="307" spans="1:2" x14ac:dyDescent="0.2">
      <c r="A307" s="63" t="s">
        <v>122</v>
      </c>
      <c r="B307" s="12" t="s">
        <v>1147</v>
      </c>
    </row>
    <row r="308" spans="1:2" x14ac:dyDescent="0.2">
      <c r="A308" s="63" t="s">
        <v>1056</v>
      </c>
      <c r="B308" s="12" t="s">
        <v>1185</v>
      </c>
    </row>
    <row r="309" spans="1:2" x14ac:dyDescent="0.2">
      <c r="A309" s="63">
        <v>330</v>
      </c>
      <c r="B309" s="12" t="s">
        <v>1148</v>
      </c>
    </row>
    <row r="310" spans="1:2" x14ac:dyDescent="0.2">
      <c r="A310" s="63" t="s">
        <v>1062</v>
      </c>
      <c r="B310" s="12" t="s">
        <v>1176</v>
      </c>
    </row>
    <row r="311" spans="1:2" x14ac:dyDescent="0.2">
      <c r="A311" s="63" t="s">
        <v>56</v>
      </c>
      <c r="B311" s="12" t="s">
        <v>1151</v>
      </c>
    </row>
    <row r="312" spans="1:2" x14ac:dyDescent="0.2">
      <c r="A312" s="63">
        <v>330</v>
      </c>
      <c r="B312" s="12" t="s">
        <v>1148</v>
      </c>
    </row>
    <row r="313" spans="1:2" x14ac:dyDescent="0.2">
      <c r="A313" s="67" t="s">
        <v>933</v>
      </c>
      <c r="B313" s="12" t="s">
        <v>1238</v>
      </c>
    </row>
    <row r="314" spans="1:2" x14ac:dyDescent="0.2">
      <c r="A314" s="67" t="s">
        <v>1089</v>
      </c>
      <c r="B314" s="12" t="s">
        <v>1247</v>
      </c>
    </row>
    <row r="315" spans="1:2" x14ac:dyDescent="0.2">
      <c r="A315" s="63">
        <v>440</v>
      </c>
      <c r="B315" s="12" t="s">
        <v>1161</v>
      </c>
    </row>
    <row r="316" spans="1:2" x14ac:dyDescent="0.2">
      <c r="A316" s="63" t="s">
        <v>35</v>
      </c>
      <c r="B316" s="12">
        <v>268</v>
      </c>
    </row>
    <row r="317" spans="1:2" x14ac:dyDescent="0.2">
      <c r="A317" s="63">
        <v>330</v>
      </c>
      <c r="B317" s="12" t="s">
        <v>1148</v>
      </c>
    </row>
    <row r="318" spans="1:2" x14ac:dyDescent="0.2">
      <c r="A318" s="63" t="s">
        <v>1073</v>
      </c>
      <c r="B318" s="12" t="s">
        <v>1182</v>
      </c>
    </row>
    <row r="319" spans="1:2" x14ac:dyDescent="0.2">
      <c r="A319" s="63">
        <v>330</v>
      </c>
      <c r="B319" s="12" t="s">
        <v>1148</v>
      </c>
    </row>
    <row r="320" spans="1:2" x14ac:dyDescent="0.2">
      <c r="A320" s="63" t="s">
        <v>5</v>
      </c>
      <c r="B320" s="12" t="s">
        <v>1162</v>
      </c>
    </row>
    <row r="321" spans="1:2" x14ac:dyDescent="0.2">
      <c r="A321" s="63" t="s">
        <v>166</v>
      </c>
      <c r="B321" s="12" t="s">
        <v>475</v>
      </c>
    </row>
    <row r="322" spans="1:2" x14ac:dyDescent="0.2">
      <c r="A322" s="63" t="s">
        <v>56</v>
      </c>
      <c r="B322" s="12" t="s">
        <v>1151</v>
      </c>
    </row>
    <row r="323" spans="1:2" x14ac:dyDescent="0.2">
      <c r="A323" s="63" t="s">
        <v>1085</v>
      </c>
      <c r="B323" s="12" t="s">
        <v>1191</v>
      </c>
    </row>
    <row r="324" spans="1:2" x14ac:dyDescent="0.2">
      <c r="A324" s="63" t="s">
        <v>1085</v>
      </c>
      <c r="B324" s="12" t="s">
        <v>1191</v>
      </c>
    </row>
    <row r="325" spans="1:2" x14ac:dyDescent="0.2">
      <c r="A325" s="63" t="s">
        <v>166</v>
      </c>
      <c r="B325" s="12" t="s">
        <v>475</v>
      </c>
    </row>
    <row r="326" spans="1:2" x14ac:dyDescent="0.2">
      <c r="A326" s="63" t="s">
        <v>166</v>
      </c>
      <c r="B326" s="12" t="s">
        <v>475</v>
      </c>
    </row>
    <row r="327" spans="1:2" x14ac:dyDescent="0.2">
      <c r="A327" s="63" t="s">
        <v>62</v>
      </c>
      <c r="B327" s="12" t="s">
        <v>1152</v>
      </c>
    </row>
    <row r="328" spans="1:2" x14ac:dyDescent="0.2">
      <c r="A328" s="63" t="s">
        <v>281</v>
      </c>
      <c r="B328" s="12" t="s">
        <v>1164</v>
      </c>
    </row>
    <row r="329" spans="1:2" x14ac:dyDescent="0.2">
      <c r="A329" s="63" t="s">
        <v>1107</v>
      </c>
      <c r="B329" s="12" t="s">
        <v>1248</v>
      </c>
    </row>
    <row r="330" spans="1:2" x14ac:dyDescent="0.2">
      <c r="A330" s="63" t="s">
        <v>62</v>
      </c>
      <c r="B330" s="12" t="s">
        <v>1152</v>
      </c>
    </row>
    <row r="331" spans="1:2" x14ac:dyDescent="0.2">
      <c r="A331" s="63" t="s">
        <v>62</v>
      </c>
      <c r="B331" s="12" t="s">
        <v>1152</v>
      </c>
    </row>
    <row r="332" spans="1:2" x14ac:dyDescent="0.2">
      <c r="A332" s="63" t="s">
        <v>56</v>
      </c>
      <c r="B332" s="12" t="s">
        <v>1151</v>
      </c>
    </row>
    <row r="333" spans="1:2" x14ac:dyDescent="0.2">
      <c r="A333" s="63" t="s">
        <v>56</v>
      </c>
      <c r="B333" s="12" t="s">
        <v>1151</v>
      </c>
    </row>
    <row r="334" spans="1:2" x14ac:dyDescent="0.2">
      <c r="A334" s="63">
        <v>330</v>
      </c>
      <c r="B334" s="12" t="s">
        <v>1148</v>
      </c>
    </row>
    <row r="335" spans="1:2" x14ac:dyDescent="0.2">
      <c r="A335" s="63" t="s">
        <v>56</v>
      </c>
      <c r="B335" s="12" t="s">
        <v>1151</v>
      </c>
    </row>
    <row r="336" spans="1:2" x14ac:dyDescent="0.2">
      <c r="A336" s="63" t="s">
        <v>327</v>
      </c>
      <c r="B336" s="12" t="s">
        <v>1166</v>
      </c>
    </row>
    <row r="337" spans="1:2" x14ac:dyDescent="0.2">
      <c r="A337" s="63" t="s">
        <v>1056</v>
      </c>
      <c r="B337" s="12" t="s">
        <v>1185</v>
      </c>
    </row>
    <row r="338" spans="1:2" x14ac:dyDescent="0.2">
      <c r="A338" s="63">
        <v>440</v>
      </c>
      <c r="B338" s="12" t="s">
        <v>1161</v>
      </c>
    </row>
    <row r="339" spans="1:2" x14ac:dyDescent="0.2">
      <c r="A339" s="63" t="s">
        <v>1028</v>
      </c>
      <c r="B339" s="12" t="s">
        <v>1180</v>
      </c>
    </row>
    <row r="340" spans="1:2" x14ac:dyDescent="0.2">
      <c r="A340" s="63" t="s">
        <v>80</v>
      </c>
      <c r="B340" s="12" t="s">
        <v>1151</v>
      </c>
    </row>
    <row r="341" spans="1:2" x14ac:dyDescent="0.2">
      <c r="A341" s="63">
        <v>438</v>
      </c>
      <c r="B341" s="12" t="s">
        <v>1157</v>
      </c>
    </row>
    <row r="342" spans="1:2" x14ac:dyDescent="0.2">
      <c r="A342" s="63" t="s">
        <v>62</v>
      </c>
      <c r="B342" s="12" t="s">
        <v>1152</v>
      </c>
    </row>
    <row r="343" spans="1:2" x14ac:dyDescent="0.2">
      <c r="A343" s="63" t="s">
        <v>1056</v>
      </c>
      <c r="B343" s="12" t="s">
        <v>1185</v>
      </c>
    </row>
    <row r="344" spans="1:2" x14ac:dyDescent="0.2">
      <c r="A344" s="63" t="s">
        <v>1129</v>
      </c>
      <c r="B344" s="71" t="s">
        <v>1249</v>
      </c>
    </row>
    <row r="345" spans="1:2" x14ac:dyDescent="0.2">
      <c r="A345" s="63" t="s">
        <v>136</v>
      </c>
      <c r="B345" s="12" t="s">
        <v>1178</v>
      </c>
    </row>
    <row r="346" spans="1:2" x14ac:dyDescent="0.2">
      <c r="A346" s="63" t="s">
        <v>1032</v>
      </c>
      <c r="B346" s="12" t="s">
        <v>1033</v>
      </c>
    </row>
    <row r="347" spans="1:2" x14ac:dyDescent="0.2">
      <c r="A347" s="12" t="s">
        <v>1228</v>
      </c>
      <c r="B347" s="71" t="s">
        <v>1251</v>
      </c>
    </row>
    <row r="348" spans="1:2" x14ac:dyDescent="0.2">
      <c r="A348" s="63" t="s">
        <v>1202</v>
      </c>
      <c r="B348" s="71" t="s">
        <v>1252</v>
      </c>
    </row>
    <row r="349" spans="1:2" x14ac:dyDescent="0.2">
      <c r="A349" s="63" t="s">
        <v>1211</v>
      </c>
      <c r="B349" s="71" t="s">
        <v>1254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17</vt:i4>
      </vt:variant>
    </vt:vector>
  </HeadingPairs>
  <TitlesOfParts>
    <vt:vector size="17" baseType="lpstr">
      <vt:lpstr>TKP 终端汇总</vt:lpstr>
      <vt:lpstr>TKP 项目汇总</vt:lpstr>
      <vt:lpstr>按BU汇总</vt:lpstr>
      <vt:lpstr>HP1</vt:lpstr>
      <vt:lpstr>HP2</vt:lpstr>
      <vt:lpstr>HP3</vt:lpstr>
      <vt:lpstr>HP4</vt:lpstr>
      <vt:lpstr>SD1</vt:lpstr>
      <vt:lpstr>MDT</vt:lpstr>
      <vt:lpstr>HCT</vt:lpstr>
      <vt:lpstr>HZ1 </vt:lpstr>
      <vt:lpstr>HD1</vt:lpstr>
      <vt:lpstr>HD2</vt:lpstr>
      <vt:lpstr>TKTC</vt:lpstr>
      <vt:lpstr>TKYN</vt:lpstr>
      <vt:lpstr>PDS</vt:lpstr>
      <vt:lpstr>终端匹配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莫凤萍</cp:lastModifiedBy>
  <cp:revision>1</cp:revision>
  <dcterms:modified xsi:type="dcterms:W3CDTF">2024-07-25T00:51:44Z</dcterms:modified>
  <cp:category/>
</cp:coreProperties>
</file>